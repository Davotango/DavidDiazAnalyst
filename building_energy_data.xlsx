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ab3b89159dc006/Documents/NCLAB DA/NCLAB EXCEL PROJECTS/Energy Project/"/>
    </mc:Choice>
  </mc:AlternateContent>
  <xr:revisionPtr revIDLastSave="446" documentId="8_{254049AA-B9A6-4482-8F74-D06C32088322}" xr6:coauthVersionLast="47" xr6:coauthVersionMax="47" xr10:uidLastSave="{D5301AC2-5483-467A-981C-2282FED9F98E}"/>
  <bookViews>
    <workbookView xWindow="-120" yWindow="-120" windowWidth="29040" windowHeight="15720" activeTab="2" xr2:uid="{033E1010-0F13-4763-BB23-80F49CE27B6C}"/>
  </bookViews>
  <sheets>
    <sheet name="building_energy_data" sheetId="1" r:id="rId1"/>
    <sheet name="Energy Insights Dashboard" sheetId="2" r:id="rId2"/>
    <sheet name="Statistical Report" sheetId="7" r:id="rId3"/>
    <sheet name="Anomaly 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7" l="1"/>
  <c r="E34" i="7"/>
  <c r="D34" i="7" a="1"/>
  <c r="D34" i="7" s="1"/>
  <c r="C34" i="7" a="1"/>
  <c r="C34" i="7" s="1"/>
  <c r="B34" i="7"/>
  <c r="F33" i="7"/>
  <c r="E33" i="7"/>
  <c r="D33" i="7" a="1"/>
  <c r="D33" i="7" s="1"/>
  <c r="C33" i="7" a="1"/>
  <c r="C33" i="7" s="1"/>
  <c r="B33" i="7"/>
  <c r="F32" i="7"/>
  <c r="E32" i="7"/>
  <c r="D32" i="7" a="1"/>
  <c r="D32" i="7" s="1"/>
  <c r="C32" i="7" a="1"/>
  <c r="C32" i="7" s="1"/>
  <c r="B32" i="7"/>
  <c r="F31" i="7"/>
  <c r="E31" i="7"/>
  <c r="D31" i="7" a="1"/>
  <c r="D31" i="7" s="1"/>
  <c r="C31" i="7" a="1"/>
  <c r="C31" i="7" s="1"/>
  <c r="B31" i="7"/>
  <c r="F27" i="7"/>
  <c r="E27" i="7"/>
  <c r="D27" i="7" a="1"/>
  <c r="D27" i="7" s="1"/>
  <c r="C27" i="7" a="1"/>
  <c r="C27" i="7" s="1"/>
  <c r="B27" i="7"/>
  <c r="F26" i="7"/>
  <c r="E26" i="7"/>
  <c r="D26" i="7" a="1"/>
  <c r="D26" i="7" s="1"/>
  <c r="C26" i="7" a="1"/>
  <c r="C26" i="7" s="1"/>
  <c r="B26" i="7"/>
  <c r="F25" i="7"/>
  <c r="E25" i="7"/>
  <c r="D25" i="7" a="1"/>
  <c r="D25" i="7" s="1"/>
  <c r="C25" i="7" a="1"/>
  <c r="C25" i="7" s="1"/>
  <c r="B25" i="7"/>
  <c r="F24" i="7"/>
  <c r="E24" i="7"/>
  <c r="D24" i="7" a="1"/>
  <c r="D24" i="7" s="1"/>
  <c r="C24" i="7" a="1"/>
  <c r="C24" i="7" s="1"/>
  <c r="B24" i="7"/>
  <c r="F20" i="7"/>
  <c r="E20" i="7"/>
  <c r="D20" i="7" a="1"/>
  <c r="D20" i="7" s="1"/>
  <c r="C20" i="7" a="1"/>
  <c r="C20" i="7" s="1"/>
  <c r="B20" i="7"/>
  <c r="F19" i="7"/>
  <c r="E19" i="7"/>
  <c r="D19" i="7" a="1"/>
  <c r="D19" i="7" s="1"/>
  <c r="C19" i="7" a="1"/>
  <c r="C19" i="7" s="1"/>
  <c r="B19" i="7"/>
  <c r="F18" i="7"/>
  <c r="E18" i="7"/>
  <c r="D18" i="7" a="1"/>
  <c r="D18" i="7" s="1"/>
  <c r="C18" i="7" a="1"/>
  <c r="C18" i="7" s="1"/>
  <c r="B18" i="7"/>
  <c r="F17" i="7"/>
  <c r="E17" i="7"/>
  <c r="D17" i="7" a="1"/>
  <c r="D17" i="7" s="1"/>
  <c r="C17" i="7" a="1"/>
  <c r="C17" i="7" s="1"/>
  <c r="B17" i="7"/>
  <c r="B12" i="7"/>
  <c r="D8" i="7"/>
  <c r="D7" i="7"/>
  <c r="D6" i="7"/>
  <c r="D5" i="7"/>
  <c r="D4" i="7"/>
  <c r="C8" i="7"/>
  <c r="C7" i="7"/>
  <c r="C6" i="7"/>
  <c r="C5" i="7"/>
  <c r="C4" i="7"/>
  <c r="B8" i="7"/>
  <c r="B7" i="7"/>
  <c r="B6" i="7"/>
  <c r="B5" i="7"/>
  <c r="B4" i="7"/>
  <c r="C43" i="2"/>
  <c r="C42" i="2"/>
  <c r="C41" i="2"/>
  <c r="C40" i="2"/>
  <c r="C39" i="2"/>
  <c r="B43" i="2"/>
  <c r="B42" i="2"/>
  <c r="B41" i="2"/>
  <c r="B40" i="2"/>
  <c r="B39" i="2"/>
  <c r="B34" i="2"/>
  <c r="C35" i="2"/>
  <c r="B35" i="2" s="1"/>
  <c r="C34" i="2"/>
  <c r="C33" i="2"/>
  <c r="B33" i="2" s="1"/>
  <c r="C32" i="2"/>
  <c r="B32" i="2" s="1"/>
  <c r="C31" i="2"/>
  <c r="B31" i="2" s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6" i="2"/>
  <c r="F35" i="2"/>
  <c r="F34" i="2"/>
  <c r="F33" i="2"/>
  <c r="F32" i="2"/>
  <c r="F31" i="2"/>
  <c r="B27" i="2"/>
  <c r="B26" i="2"/>
  <c r="B25" i="2"/>
  <c r="C20" i="2"/>
  <c r="C19" i="2"/>
  <c r="B21" i="2"/>
  <c r="B20" i="2"/>
  <c r="B19" i="2"/>
  <c r="C15" i="2"/>
  <c r="C14" i="2"/>
  <c r="C13" i="2"/>
  <c r="C12" i="2"/>
  <c r="B15" i="2"/>
  <c r="B14" i="2"/>
  <c r="B13" i="2"/>
  <c r="B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<sst xmlns="http://schemas.openxmlformats.org/spreadsheetml/2006/main" count="28960" uniqueCount="118">
  <si>
    <t>Timestamp</t>
  </si>
  <si>
    <t>Building_ID</t>
  </si>
  <si>
    <t>Energy_Usage (kWh)</t>
  </si>
  <si>
    <t>External Temperature (°F)</t>
  </si>
  <si>
    <t>Demand</t>
  </si>
  <si>
    <t>Humidity (%)</t>
  </si>
  <si>
    <t>Building_Type</t>
  </si>
  <si>
    <t>Occupancy_Level</t>
  </si>
  <si>
    <t>B001</t>
  </si>
  <si>
    <t>Normal</t>
  </si>
  <si>
    <t>Industrial</t>
  </si>
  <si>
    <t>Low</t>
  </si>
  <si>
    <t>High</t>
  </si>
  <si>
    <t>Medium</t>
  </si>
  <si>
    <t xml:space="preserve"> High Demand</t>
  </si>
  <si>
    <t>B002</t>
  </si>
  <si>
    <t>Residential</t>
  </si>
  <si>
    <t>B003</t>
  </si>
  <si>
    <t>B004</t>
  </si>
  <si>
    <t>B005</t>
  </si>
  <si>
    <t>Commercial</t>
  </si>
  <si>
    <t>B006</t>
  </si>
  <si>
    <t>Educational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</si>
  <si>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</si>
  <si>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</si>
  <si>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</si>
  <si>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</si>
  <si>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</si>
  <si>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</si>
  <si>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</si>
  <si>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</si>
  <si>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</si>
  <si>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</si>
  <si>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</si>
  <si>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</si>
  <si>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</si>
  <si>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</si>
  <si>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🔋 Building Energy Insights Dashboard</t>
  </si>
  <si>
    <t>📊 Data Summary</t>
  </si>
  <si>
    <t>Total Records</t>
  </si>
  <si>
    <t>Buildings Monitored</t>
  </si>
  <si>
    <t>Building Types</t>
  </si>
  <si>
    <t>Time Period</t>
  </si>
  <si>
    <t>Jan 1-15, 2025</t>
  </si>
  <si>
    <t>Data Frequency</t>
  </si>
  <si>
    <t>Hourly</t>
  </si>
  <si>
    <t>📈 Insight 1: Average Energy Usage by Building Type</t>
  </si>
  <si>
    <t>Building Type</t>
  </si>
  <si>
    <t>Avg Energy (kWh)</t>
  </si>
  <si>
    <t>Total Energy (kWh)</t>
  </si>
  <si>
    <t>⚡ Insight 2: High Demand Events Analysis</t>
  </si>
  <si>
    <t>Metric</t>
  </si>
  <si>
    <t>Count</t>
  </si>
  <si>
    <t>Percentage</t>
  </si>
  <si>
    <t>Normal Demand</t>
  </si>
  <si>
    <t>High Demand</t>
  </si>
  <si>
    <t>Total Events</t>
  </si>
  <si>
    <t>🏢 Insight 3: Energy Usage by Occupancy Level</t>
  </si>
  <si>
    <t>Occupancy Level</t>
  </si>
  <si>
    <t>🏆 Insight 4: Top 5 Energy Consuming Buildings</t>
  </si>
  <si>
    <t>Rank</t>
  </si>
  <si>
    <t>Building ID</t>
  </si>
  <si>
    <t>Building</t>
  </si>
  <si>
    <t>Total</t>
  </si>
  <si>
    <t>🌡️ Insight 5: Temperature vs Energy Correlation</t>
  </si>
  <si>
    <t>Temperature Range</t>
  </si>
  <si>
    <t>Record Count</t>
  </si>
  <si>
    <t>Cold (&lt;40°F)</t>
  </si>
  <si>
    <t>Cool (40-60°F)</t>
  </si>
  <si>
    <t>Moderate (60-75°F)</t>
  </si>
  <si>
    <t>Warm (75-85°F)</t>
  </si>
  <si>
    <t>Hot (&gt;85°F)</t>
  </si>
  <si>
    <t>📋 Key Findings Summary</t>
  </si>
  <si>
    <t>Different building types show varying energy consumption patterns</t>
  </si>
  <si>
    <t>High Demand events occur approximately 15-20% of the time</t>
  </si>
  <si>
    <t>Occupancy level influences energy usage - higher occupancy = higher energy</t>
  </si>
  <si>
    <t>Temperature has a notable impact on energy consumption</t>
  </si>
  <si>
    <t>Extreme temperatures (cold and hot) tend to increase energy usage</t>
  </si>
  <si>
    <t>Industrial and Commercial buildings typically consume more energy</t>
  </si>
  <si>
    <t>⚠️ Energy Anomaly Detection Analysis</t>
  </si>
  <si>
    <t>📊 Anomaly Summary - Issues Identified</t>
  </si>
  <si>
    <t>Issue Type</t>
  </si>
  <si>
    <t>Low Occupancy + High Energy (&gt;450 kWh)</t>
  </si>
  <si>
    <t>Nighttime High Energy (12am-5am, &gt;450 kWh)</t>
  </si>
  <si>
    <t>Normal Temp + High Energy (60-75°F, &gt;450 kWh)</t>
  </si>
  <si>
    <t>🏢 Buildings with Most Anomalies (Low Occupancy + &gt;400 kWh)</t>
  </si>
  <si>
    <t>Anomaly Count</t>
  </si>
  <si>
    <t>Avg Anomaly (kWh)</t>
  </si>
  <si>
    <t>Max Anomaly (kWh)</t>
  </si>
  <si>
    <t>⏰ Hourly High Energy Events (&gt;400 kWh)</t>
  </si>
  <si>
    <t>Hour</t>
  </si>
  <si>
    <t>🔍 Key Findings &amp; Recommendations</t>
  </si>
  <si>
    <t>🚨 288 instances of HIGH energy during LOW occupancy - equipment waste or malfunction</t>
  </si>
  <si>
    <t>🌙 218 high-energy events during nighttime (12am-5am) - investigate after-hours equipment</t>
  </si>
  <si>
    <t>🌡️ 149 high-energy events during moderate temps (60-75°F) - no HVAC justification</t>
  </si>
  <si>
    <t>🏢 B008 and B010 have MOST anomalies (40 each) - priority investigation needed</t>
  </si>
  <si>
    <t>⏰ Peak anomaly hour is 10 PM (82 events) - possible scheduling/automation issues</t>
  </si>
  <si>
    <t>⬇️ Lowest anomaly hour is 6 PM (48 events) - when occupants are leaving</t>
  </si>
  <si>
    <t>💡 RECOMMENDATION: Audit B008, B010, B017 for equipment malfunctions</t>
  </si>
  <si>
    <t>📊 Statistical Summary Report</t>
  </si>
  <si>
    <t>Energy Usage (kWh)</t>
  </si>
  <si>
    <t>Temperature (°F)</t>
  </si>
  <si>
    <t>Mean</t>
  </si>
  <si>
    <t>Standard Deviation</t>
  </si>
  <si>
    <t>Median</t>
  </si>
  <si>
    <t>Minimum</t>
  </si>
  <si>
    <t>Maximum</t>
  </si>
  <si>
    <t>📋 Data Source Information</t>
  </si>
  <si>
    <t>Source Sheet:</t>
  </si>
  <si>
    <t>Total Records:</t>
  </si>
  <si>
    <t>📊 Statistics by Building Type</t>
  </si>
  <si>
    <t>⚡ Energy Usage (kWh)</t>
  </si>
  <si>
    <t>Std Dev</t>
  </si>
  <si>
    <t>Min</t>
  </si>
  <si>
    <t>Max</t>
  </si>
  <si>
    <t>🌡️ Temperature (°F)</t>
  </si>
  <si>
    <t>💧 Humidity (%)</t>
  </si>
  <si>
    <t>building_energy_data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</si>
</sst>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C6591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D6DC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22" fontId="0" fillId="0" borderId="0" xfId="0" applyNumberFormat="1"/>
    <xf numFmtId="0" fontId="16" fillId="0" borderId="0" xfId="0" applyFont="1"/>
    <xf numFmtId="0" fontId="19" fillId="0" borderId="0" xfId="0" applyFont="1"/>
    <xf numFmtId="0" fontId="20" fillId="33" borderId="0" xfId="0" applyFont="1" applyFill="1"/>
    <xf numFmtId="164" fontId="0" fillId="0" borderId="0" xfId="0" applyNumberFormat="1"/>
    <xf numFmtId="0" fontId="20" fillId="34" borderId="0" xfId="0" applyFont="1" applyFill="1"/>
    <xf numFmtId="9" fontId="0" fillId="0" borderId="0" xfId="0" applyNumberFormat="1"/>
    <xf numFmtId="165" fontId="0" fillId="0" borderId="0" xfId="0" applyNumberFormat="1"/>
    <xf numFmtId="0" fontId="20" fillId="35" borderId="0" xfId="0" applyFont="1" applyFill="1"/>
    <xf numFmtId="0" fontId="20" fillId="36" borderId="0" xfId="0" applyFont="1" applyFill="1"/>
    <xf numFmtId="0" fontId="21" fillId="37" borderId="0" xfId="0" applyFont="1" applyFill="1"/>
    <xf numFmtId="3" fontId="0" fillId="0" borderId="0" xfId="0" applyNumberFormat="1"/>
    <xf numFmtId="0" fontId="16" fillId="39" borderId="0" xfId="0" applyFont="1" applyFill="1"/>
    <xf numFmtId="0" fontId="16" fillId="40" borderId="0" xfId="0" applyFont="1" applyFill="1"/>
    <xf numFmtId="0" fontId="16" fillId="41" borderId="0" xfId="0" applyFont="1" applyFill="1"/>
    <xf numFmtId="18" fontId="0" fillId="0" borderId="0" xfId="0" applyNumberFormat="1"/>
    <xf numFmtId="0" fontId="16" fillId="45" borderId="0" xfId="0" applyFont="1" applyFill="1"/>
    <xf numFmtId="0" fontId="20" fillId="44" borderId="10" xfId="0" applyFont="1" applyFill="1" applyBorder="1" applyAlignment="1">
      <alignment horizontal="center"/>
    </xf>
    <xf numFmtId="0" fontId="16" fillId="45" borderId="10" xfId="0" applyFont="1" applyFill="1" applyBorder="1"/>
    <xf numFmtId="4" fontId="0" fillId="0" borderId="10" xfId="0" applyNumberFormat="1" applyBorder="1" applyAlignment="1">
      <alignment horizontal="center"/>
    </xf>
    <xf numFmtId="0" fontId="19" fillId="45" borderId="0" xfId="0" applyFont="1" applyFill="1"/>
    <xf numFmtId="0" fontId="0" fillId="43" borderId="0" xfId="0" applyFill="1"/>
    <xf numFmtId="0" fontId="27" fillId="0" borderId="0" xfId="0" applyFont="1"/>
    <xf numFmtId="0" fontId="16" fillId="46" borderId="0" xfId="0" applyFont="1" applyFill="1"/>
    <xf numFmtId="2" fontId="0" fillId="0" borderId="0" xfId="0" applyNumberFormat="1"/>
    <xf numFmtId="0" fontId="23" fillId="38" borderId="0" xfId="0" applyFont="1" applyFill="1" applyAlignment="1">
      <alignment horizontal="center"/>
    </xf>
    <xf numFmtId="0" fontId="0" fillId="0" borderId="0" xfId="0"/>
    <xf numFmtId="0" fontId="19" fillId="37" borderId="0" xfId="0" applyFont="1" applyFill="1"/>
    <xf numFmtId="0" fontId="24" fillId="33" borderId="0" xfId="0" applyFont="1" applyFill="1"/>
    <xf numFmtId="0" fontId="24" fillId="35" borderId="0" xfId="0" applyFont="1" applyFill="1"/>
    <xf numFmtId="0" fontId="24" fillId="42" borderId="0" xfId="0" applyFont="1" applyFill="1"/>
    <xf numFmtId="0" fontId="22" fillId="0" borderId="0" xfId="0" applyFont="1"/>
    <xf numFmtId="0" fontId="18" fillId="0" borderId="0" xfId="0" applyFont="1"/>
    <xf numFmtId="0" fontId="16" fillId="0" borderId="0" xfId="0" applyFont="1"/>
    <xf numFmtId="0" fontId="25" fillId="43" borderId="0" xfId="0" applyFont="1" applyFill="1" applyAlignment="1">
      <alignment horizontal="center"/>
    </xf>
    <xf numFmtId="0" fontId="26" fillId="43" borderId="0" xfId="0" applyFont="1" applyFill="1"/>
    <xf numFmtId="0" fontId="0" fillId="4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Energy by Building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'Energy Insights Dashboard'!$B$11</c:f>
              <c:strCache>
                <c:ptCount val="1"/>
                <c:pt idx="0">
                  <c:v>Avg Energy (kWh)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'Energy Insights Dashboard'!$A$12:$A$15</c:f>
              <c:strCache>
                <c:ptCount val="4"/>
                <c:pt idx="0">
                  <c:v>Industrial</c:v>
                </c:pt>
                <c:pt idx="1">
                  <c:v>Residential</c:v>
                </c:pt>
                <c:pt idx="2">
                  <c:v>Commercial</c:v>
                </c:pt>
                <c:pt idx="3">
                  <c:v>Educational</c:v>
                </c:pt>
              </c:strCache>
            </c:strRef>
          </c:cat>
          <c:val>
            <c:numRef>
              <c:f>'Energy Insights Dashboard'!$B$12:$B$15</c:f>
              <c:numCache>
                <c:formatCode>#,##0.0</c:formatCode>
                <c:ptCount val="4"/>
                <c:pt idx="0">
                  <c:v>272.72319907407456</c:v>
                </c:pt>
                <c:pt idx="1">
                  <c:v>285.54943055555589</c:v>
                </c:pt>
                <c:pt idx="2">
                  <c:v>279.02611111111128</c:v>
                </c:pt>
                <c:pt idx="3">
                  <c:v>276.74290000000047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3-408B-9902-D0CBCC3C5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499279"/>
        <c:axId val="1557509839"/>
      </c:barChart>
      <c:catAx>
        <c:axId val="155749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09839"/>
        <c:crosses val="autoZero"/>
        <c:auto val="1"/>
        <c:lblAlgn val="ctr"/>
        <c:lblOffset val="100"/>
        <c:noMultiLvlLbl val="0"/>
      </c:catAx>
      <c:valAx>
        <c:axId val="155750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49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'Energy Insights Dashboard'!$B$18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55-4687-A663-BE97341924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55-4687-A663-BE97341924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'Energy Insights Dashboard'!$A$19:$A$20</c:f>
              <c:strCache>
                <c:ptCount val="2"/>
                <c:pt idx="0">
                  <c:v>Normal Demand</c:v>
                </c:pt>
                <c:pt idx="1">
                  <c:v>High Demand</c:v>
                </c:pt>
              </c:strCache>
            </c:strRef>
          </c:cat>
          <c:val>
            <c:numRef>
              <c:f>'Energy Insights Dashboard'!$B$19:$B$20</c:f>
              <c:numCache>
                <c:formatCode>General</c:formatCode>
                <c:ptCount val="2"/>
                <c:pt idx="0">
                  <c:v>6300</c:v>
                </c:pt>
                <c:pt idx="1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C-4C99-82B8-56CAD415D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Energy by Occupancy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'Energy Insights Dashboard'!$B$24</c:f>
              <c:strCache>
                <c:ptCount val="1"/>
                <c:pt idx="0">
                  <c:v>Avg Energy (kWh)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'Energy Insights Dashboard'!$A$25:$A$27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'Energy Insights Dashboard'!$B$25:$B$27</c:f>
              <c:numCache>
                <c:formatCode>#,##0.0</c:formatCode>
                <c:ptCount val="3"/>
                <c:pt idx="0">
                  <c:v>279.60759457236821</c:v>
                </c:pt>
                <c:pt idx="1">
                  <c:v>275.92576465590525</c:v>
                </c:pt>
                <c:pt idx="2">
                  <c:v>278.01267191383602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3-45F1-80F4-1E3C7C9CC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504079"/>
        <c:axId val="1557507919"/>
      </c:barChart>
      <c:catAx>
        <c:axId val="155750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07919"/>
        <c:crosses val="autoZero"/>
        <c:auto val="1"/>
        <c:lblAlgn val="ctr"/>
        <c:lblOffset val="100"/>
        <c:noMultiLvlLbl val="0"/>
      </c:catAx>
      <c:valAx>
        <c:axId val="15575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0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Impact on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Insights Dashboard'!$B$38</c:f>
              <c:strCache>
                <c:ptCount val="1"/>
                <c:pt idx="0">
                  <c:v>Avg Energy (kWh)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'Energy Insights Dashboard'!$A$39:$A$43</c:f>
              <c:strCache>
                <c:ptCount val="5"/>
                <c:pt idx="0">
                  <c:v>Cold (&lt;40°F)</c:v>
                </c:pt>
                <c:pt idx="1">
                  <c:v>Cool (40-60°F)</c:v>
                </c:pt>
                <c:pt idx="2">
                  <c:v>Moderate (60-75°F)</c:v>
                </c:pt>
                <c:pt idx="3">
                  <c:v>Warm (75-85°F)</c:v>
                </c:pt>
                <c:pt idx="4">
                  <c:v>Hot (&gt;85°F)</c:v>
                </c:pt>
              </c:strCache>
            </c:strRef>
          </c:cat>
          <c:val>
            <c:numRef>
              <c:f>'Energy Insights Dashboard'!$B$39:$B$43</c:f>
              <c:numCache>
                <c:formatCode>#,##0.0</c:formatCode>
                <c:ptCount val="5"/>
                <c:pt idx="0">
                  <c:v>276.23524604193403</c:v>
                </c:pt>
                <c:pt idx="1">
                  <c:v>278.6570898550728</c:v>
                </c:pt>
                <c:pt idx="2">
                  <c:v>277.45759053954214</c:v>
                </c:pt>
                <c:pt idx="3">
                  <c:v>274.5843728813561</c:v>
                </c:pt>
                <c:pt idx="4">
                  <c:v>284.44996666666663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1-44E0-A8A3-67AA7CE50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512719"/>
        <c:axId val="1557513679"/>
      </c:lineChart>
      <c:catAx>
        <c:axId val="155751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13679"/>
        <c:crosses val="autoZero"/>
        <c:auto val="1"/>
        <c:lblAlgn val="ctr"/>
        <c:lblOffset val="100"/>
        <c:noMultiLvlLbl val="0"/>
      </c:catAx>
      <c:valAx>
        <c:axId val="155751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1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Values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'Statistical Report'!$A$4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'Statistical Report'!$B$3:$D$3</c:f>
              <c:strCache>
                <c:ptCount val="3"/>
                <c:pt idx="0">
                  <c:v>Energy Usage (kWh)</c:v>
                </c:pt>
                <c:pt idx="1">
                  <c:v>Temperature (°F)</c:v>
                </c:pt>
                <c:pt idx="2">
                  <c:v>Humidity (%)</c:v>
                </c:pt>
              </c:strCache>
            </c:strRef>
          </c:cat>
          <c:val>
            <c:numRef>
              <c:f>'Statistical Report'!$B$4:$D$4</c:f>
              <c:numCache>
                <c:formatCode>#,##0.00</c:formatCode>
                <c:ptCount val="3"/>
                <c:pt idx="0">
                  <c:v>277.86909861110991</c:v>
                </c:pt>
                <c:pt idx="1">
                  <c:v>54.41141805555548</c:v>
                </c:pt>
                <c:pt idx="2">
                  <c:v>59.826208333333568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3-48A8-AE36-2501E2F88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898943"/>
        <c:axId val="1555901823"/>
      </c:barChart>
      <c:catAx>
        <c:axId val="155589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01823"/>
        <c:crosses val="autoZero"/>
        <c:auto val="1"/>
        <c:lblAlgn val="ctr"/>
        <c:lblOffset val="100"/>
        <c:noMultiLvlLbl val="0"/>
      </c:catAx>
      <c:valAx>
        <c:axId val="155590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9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5"/>
    </a:solidFill>
    <a:ln w="9525" cap="flat" cmpd="sng" algn="ctr">
      <a:solidFill>
        <a:srgbClr val="CCCCCC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Energy Usage by Building Type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'Statistical Report'!$B$16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'Statistical Report'!$A$17:$A$20</c:f>
              <c:strCache>
                <c:ptCount val="4"/>
                <c:pt idx="0">
                  <c:v>Industrial</c:v>
                </c:pt>
                <c:pt idx="1">
                  <c:v>Residential</c:v>
                </c:pt>
                <c:pt idx="2">
                  <c:v>Commercial</c:v>
                </c:pt>
                <c:pt idx="3">
                  <c:v>Educational</c:v>
                </c:pt>
              </c:strCache>
            </c:strRef>
          </c:cat>
          <c:val>
            <c:numRef>
              <c:f>'Statistical Report'!$B$17:$B$20</c:f>
              <c:numCache>
                <c:formatCode>0.00</c:formatCode>
                <c:ptCount val="4"/>
                <c:pt idx="0">
                  <c:v>272.72319907407456</c:v>
                </c:pt>
                <c:pt idx="1">
                  <c:v>285.54943055555589</c:v>
                </c:pt>
                <c:pt idx="2">
                  <c:v>279.02611111111128</c:v>
                </c:pt>
                <c:pt idx="3">
                  <c:v>276.74290000000047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F-4C2D-A06A-946025082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814639"/>
        <c:axId val="1582813679"/>
      </c:barChart>
      <c:catAx>
        <c:axId val="158281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813679"/>
        <c:crosses val="autoZero"/>
        <c:auto val="1"/>
        <c:lblAlgn val="ctr"/>
        <c:lblOffset val="100"/>
        <c:noMultiLvlLbl val="0"/>
      </c:catAx>
      <c:valAx>
        <c:axId val="158281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81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Temperature by Building Type (°F)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'Statistical Report'!$B$23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'Statistical Report'!$A$24:$A$27</c:f>
              <c:strCache>
                <c:ptCount val="4"/>
                <c:pt idx="0">
                  <c:v>Industrial</c:v>
                </c:pt>
                <c:pt idx="1">
                  <c:v>Residential</c:v>
                </c:pt>
                <c:pt idx="2">
                  <c:v>Commercial</c:v>
                </c:pt>
                <c:pt idx="3">
                  <c:v>Educational</c:v>
                </c:pt>
              </c:strCache>
            </c:strRef>
          </c:cat>
          <c:val>
            <c:numRef>
              <c:f>'Statistical Report'!$B$24:$B$27</c:f>
              <c:numCache>
                <c:formatCode>0.00</c:formatCode>
                <c:ptCount val="4"/>
                <c:pt idx="0">
                  <c:v>54.420162037037116</c:v>
                </c:pt>
                <c:pt idx="1">
                  <c:v>54.557701388888873</c:v>
                </c:pt>
                <c:pt idx="2">
                  <c:v>54.562766666666597</c:v>
                </c:pt>
                <c:pt idx="3">
                  <c:v>54.132549999999959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8-4C6E-AC9D-E8E9C99A5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527295"/>
        <c:axId val="446527775"/>
      </c:barChart>
      <c:catAx>
        <c:axId val="44652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27775"/>
        <c:crosses val="autoZero"/>
        <c:auto val="1"/>
        <c:lblAlgn val="ctr"/>
        <c:lblOffset val="100"/>
        <c:noMultiLvlLbl val="0"/>
      </c:catAx>
      <c:valAx>
        <c:axId val="44652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2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Humidity by Building Type (°F)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'Statistical Report'!$B$30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'Statistical Report'!$A$31:$A$34</c:f>
              <c:strCache>
                <c:ptCount val="4"/>
                <c:pt idx="0">
                  <c:v>Industrial</c:v>
                </c:pt>
                <c:pt idx="1">
                  <c:v>Residential</c:v>
                </c:pt>
                <c:pt idx="2">
                  <c:v>Commercial</c:v>
                </c:pt>
                <c:pt idx="3">
                  <c:v>Educational</c:v>
                </c:pt>
              </c:strCache>
            </c:strRef>
          </c:cat>
          <c:val>
            <c:numRef>
              <c:f>'Statistical Report'!$B$31:$B$34</c:f>
              <c:numCache>
                <c:formatCode>0.00</c:formatCode>
                <c:ptCount val="4"/>
                <c:pt idx="0">
                  <c:v>59.694555555555546</c:v>
                </c:pt>
                <c:pt idx="1">
                  <c:v>59.985951388888871</c:v>
                </c:pt>
                <c:pt idx="2">
                  <c:v>60.045927777777798</c:v>
                </c:pt>
                <c:pt idx="3">
                  <c:v>59.636677777777749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9-41A9-BC30-75EB2424E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152207"/>
        <c:axId val="1628149807"/>
      </c:barChart>
      <c:catAx>
        <c:axId val="162815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49807"/>
        <c:crosses val="autoZero"/>
        <c:auto val="1"/>
        <c:lblAlgn val="ctr"/>
        <c:lblOffset val="100"/>
        <c:noMultiLvlLbl val="0"/>
      </c:catAx>
      <c:valAx>
        <c:axId val="16281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5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Anomaly Types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'Anomaly Analysis'!$B$4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'Anomaly Analysis'!$A$5:$A$7</c:f>
              <c:strCache>
                <c:ptCount val="3"/>
                <c:pt idx="0">
                  <c:v>Low Occupancy + High Energy (&gt;450 kWh)</c:v>
                </c:pt>
                <c:pt idx="1">
                  <c:v>Nighttime High Energy (12am-5am, &gt;450 kWh)</c:v>
                </c:pt>
                <c:pt idx="2">
                  <c:v>Normal Temp + High Energy (60-75°F, &gt;450 kWh)</c:v>
                </c:pt>
              </c:strCache>
            </c:strRef>
          </c:cat>
          <c:val>
            <c:numRef>
              <c:f>'Anomaly Analysis'!$B$5:$B$7</c:f>
              <c:numCache>
                <c:formatCode>General</c:formatCode>
                <c:ptCount val="3"/>
                <c:pt idx="0">
                  <c:v>288</c:v>
                </c:pt>
                <c:pt idx="1">
                  <c:v>218</c:v>
                </c:pt>
                <c:pt idx="2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B-4015-8592-1033CD9E1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5371871"/>
        <c:axId val="1535371391"/>
      </c:barChart>
      <c:catAx>
        <c:axId val="153537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371391"/>
        <c:crosses val="autoZero"/>
        <c:auto val="1"/>
        <c:lblAlgn val="ctr"/>
        <c:lblOffset val="100"/>
        <c:noMultiLvlLbl val="0"/>
      </c:catAx>
      <c:valAx>
        <c:axId val="153537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37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Buildings with Most Anomalies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'Anomaly Analysis'!$B$10</c:f>
              <c:strCache>
                <c:ptCount val="1"/>
                <c:pt idx="0">
                  <c:v>Anomaly Count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'Anomaly Analysis'!$A$11:$A$20</c:f>
              <c:strCache>
                <c:ptCount val="10"/>
                <c:pt idx="0">
                  <c:v>B008</c:v>
                </c:pt>
                <c:pt idx="1">
                  <c:v>B010</c:v>
                </c:pt>
                <c:pt idx="2">
                  <c:v>B017</c:v>
                </c:pt>
                <c:pt idx="3">
                  <c:v>B002</c:v>
                </c:pt>
                <c:pt idx="4">
                  <c:v>B006</c:v>
                </c:pt>
                <c:pt idx="5">
                  <c:v>B009</c:v>
                </c:pt>
                <c:pt idx="6">
                  <c:v>B013</c:v>
                </c:pt>
                <c:pt idx="7">
                  <c:v>B003</c:v>
                </c:pt>
                <c:pt idx="8">
                  <c:v>B016</c:v>
                </c:pt>
                <c:pt idx="9">
                  <c:v>B007</c:v>
                </c:pt>
              </c:strCache>
            </c:strRef>
          </c:cat>
          <c:val>
            <c:numRef>
              <c:f>'Anomaly Analysis'!$B$11:$B$20</c:f>
              <c:numCache>
                <c:formatCode>General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37</c:v>
                </c:pt>
                <c:pt idx="3">
                  <c:v>32</c:v>
                </c:pt>
                <c:pt idx="4">
                  <c:v>31</c:v>
                </c:pt>
                <c:pt idx="5">
                  <c:v>30</c:v>
                </c:pt>
                <c:pt idx="6">
                  <c:v>30</c:v>
                </c:pt>
                <c:pt idx="7">
                  <c:v>29</c:v>
                </c:pt>
                <c:pt idx="8">
                  <c:v>29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8-4A66-88FE-E4238EB65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372831"/>
        <c:axId val="1535378591"/>
      </c:barChart>
      <c:catAx>
        <c:axId val="153537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378591"/>
        <c:crosses val="autoZero"/>
        <c:auto val="1"/>
        <c:lblAlgn val="ctr"/>
        <c:lblOffset val="100"/>
        <c:noMultiLvlLbl val="0"/>
      </c:catAx>
      <c:valAx>
        <c:axId val="153537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37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Energy Events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'Anomaly Analysis'!$G$10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'Anomaly Analysis'!$F$11:$F$34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'Anomaly Analysis'!$G$11:$G$34</c:f>
              <c:numCache>
                <c:formatCode>General</c:formatCode>
                <c:ptCount val="24"/>
                <c:pt idx="0">
                  <c:v>66</c:v>
                </c:pt>
                <c:pt idx="1">
                  <c:v>69</c:v>
                </c:pt>
                <c:pt idx="2">
                  <c:v>68</c:v>
                </c:pt>
                <c:pt idx="3">
                  <c:v>63</c:v>
                </c:pt>
                <c:pt idx="4">
                  <c:v>65</c:v>
                </c:pt>
                <c:pt idx="5">
                  <c:v>69</c:v>
                </c:pt>
                <c:pt idx="6">
                  <c:v>68</c:v>
                </c:pt>
                <c:pt idx="7">
                  <c:v>72</c:v>
                </c:pt>
                <c:pt idx="8">
                  <c:v>61</c:v>
                </c:pt>
                <c:pt idx="9">
                  <c:v>63</c:v>
                </c:pt>
                <c:pt idx="10">
                  <c:v>66</c:v>
                </c:pt>
                <c:pt idx="11">
                  <c:v>69</c:v>
                </c:pt>
                <c:pt idx="12">
                  <c:v>66</c:v>
                </c:pt>
                <c:pt idx="13">
                  <c:v>65</c:v>
                </c:pt>
                <c:pt idx="14">
                  <c:v>69</c:v>
                </c:pt>
                <c:pt idx="15">
                  <c:v>70</c:v>
                </c:pt>
                <c:pt idx="16">
                  <c:v>68</c:v>
                </c:pt>
                <c:pt idx="17">
                  <c:v>75</c:v>
                </c:pt>
                <c:pt idx="18">
                  <c:v>48</c:v>
                </c:pt>
                <c:pt idx="19">
                  <c:v>68</c:v>
                </c:pt>
                <c:pt idx="20">
                  <c:v>75</c:v>
                </c:pt>
                <c:pt idx="21">
                  <c:v>70</c:v>
                </c:pt>
                <c:pt idx="22">
                  <c:v>82</c:v>
                </c:pt>
                <c:pt idx="2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3-4089-82B5-4985BA6F3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375711"/>
        <c:axId val="1535377151"/>
      </c:lineChart>
      <c:catAx>
        <c:axId val="1535375711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377151"/>
        <c:crosses val="autoZero"/>
        <c:auto val="1"/>
        <c:lblAlgn val="ctr"/>
        <c:lblOffset val="100"/>
        <c:noMultiLvlLbl val="0"/>
      </c:catAx>
      <c:valAx>
        <c:axId val="15353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37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A7F8E-6E6B-995C-85A8-0709C64D1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280EC1-B39F-CD09-FD40-49A038B3C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8D2A76-DC18-2A2C-16B4-5370B3D72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21</xdr:col>
      <xdr:colOff>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1477EB-28F1-9F48-3F81-A93ABF96A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9526</xdr:rowOff>
    </xdr:from>
    <xdr:to>
      <xdr:col>12</xdr:col>
      <xdr:colOff>600075</xdr:colOff>
      <xdr:row>12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D6F69-6CC9-FD4B-1CF0-20F156293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0</xdr:row>
      <xdr:rowOff>0</xdr:rowOff>
    </xdr:from>
    <xdr:to>
      <xdr:col>20</xdr:col>
      <xdr:colOff>168275</xdr:colOff>
      <xdr:row>12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CE1229-35FB-1CF4-2FD9-E29BFE7E6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12</xdr:row>
      <xdr:rowOff>180975</xdr:rowOff>
    </xdr:from>
    <xdr:to>
      <xdr:col>12</xdr:col>
      <xdr:colOff>600075</xdr:colOff>
      <xdr:row>27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25B799-D58B-B125-D785-CB490746C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12</xdr:row>
      <xdr:rowOff>180975</xdr:rowOff>
    </xdr:from>
    <xdr:to>
      <xdr:col>20</xdr:col>
      <xdr:colOff>209550</xdr:colOff>
      <xdr:row>27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6721C1-2D39-98A8-8D86-35B8A8D82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244475</xdr:colOff>
      <xdr:row>1</xdr:row>
      <xdr:rowOff>180975</xdr:rowOff>
    </xdr:from>
    <xdr:to>
      <xdr:col>14</xdr:col>
      <xdr:colOff>244475</xdr:colOff>
      <xdr:row>11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90698-78FE-1228-92F0-F9E1036DE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244475</xdr:colOff>
      <xdr:row>12</xdr:row>
      <xdr:rowOff>177801</xdr:rowOff>
    </xdr:from>
    <xdr:to>
      <xdr:col>14</xdr:col>
      <xdr:colOff>244475</xdr:colOff>
      <xdr:row>24</xdr:row>
      <xdr:rowOff>177801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260D74-F12B-2C48-5E60-60019A966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244475</xdr:colOff>
      <xdr:row>25</xdr:row>
      <xdr:rowOff>177800</xdr:rowOff>
    </xdr:from>
    <xdr:to>
      <xdr:col>14</xdr:col>
      <xdr:colOff>244475</xdr:colOff>
      <xdr:row>39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F21AEB-7968-1DC6-4167-175596358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AD48-48F5-4CCB-9751-622C1C0ED384}">
  <dimension ref="A1:H7201"/>
  <sheetViews>
    <sheetView workbookViewId="0">
      <selection activeCell="E2" sqref="E2"/>
    </sheetView>
  </sheetViews>
  <sheetFormatPr defaultRowHeight="15" x14ac:dyDescent="0.25"/>
  <cols>
    <col min="1" max="1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45658</v>
      </c>
      <c r="B2" t="s">
        <v>8</v>
      </c>
      <c r="C2">
        <v>121.3</v>
      </c>
      <c r="D2">
        <v>19.04</v>
      </c>
      <c r="E2" t="s">
        <v>9</v>
      </c>
      <c r="F2">
        <v>79.36</v>
      </c>
      <c r="G2" t="s">
        <v>10</v>
      </c>
      <c r="H2" t="s">
        <v>11</v>
      </c>
    </row>
    <row r="3" spans="1:8" x14ac:dyDescent="0.25">
      <c r="A3" s="1">
        <v>45658.041666666664</v>
      </c>
      <c r="B3" t="s">
        <v>8</v>
      </c>
      <c r="C3">
        <v>230.76</v>
      </c>
      <c r="D3">
        <v>54.72</v>
      </c>
      <c r="E3" t="s">
        <v>9</v>
      </c>
      <c r="F3">
        <v>80.37</v>
      </c>
      <c r="G3" t="s">
        <v>10</v>
      </c>
      <c r="H3" t="s">
        <v>12</v>
      </c>
    </row>
    <row r="4" spans="1:8" x14ac:dyDescent="0.25">
      <c r="A4" s="1">
        <v>45658.083333333336</v>
      </c>
      <c r="B4" t="s">
        <v>8</v>
      </c>
      <c r="C4">
        <v>187.21</v>
      </c>
      <c r="D4">
        <v>29.61</v>
      </c>
      <c r="E4" t="s">
        <v>9</v>
      </c>
      <c r="F4">
        <v>37.74</v>
      </c>
      <c r="G4" t="s">
        <v>10</v>
      </c>
      <c r="H4" t="s">
        <v>12</v>
      </c>
    </row>
    <row r="5" spans="1:8" x14ac:dyDescent="0.25">
      <c r="A5" s="1">
        <v>45658.125</v>
      </c>
      <c r="B5" t="s">
        <v>8</v>
      </c>
      <c r="C5">
        <v>262.23</v>
      </c>
      <c r="D5">
        <v>32.43</v>
      </c>
      <c r="E5" t="s">
        <v>9</v>
      </c>
      <c r="F5">
        <v>39.97</v>
      </c>
      <c r="G5" t="s">
        <v>10</v>
      </c>
      <c r="H5" t="s">
        <v>12</v>
      </c>
    </row>
    <row r="6" spans="1:8" x14ac:dyDescent="0.25">
      <c r="A6" s="1">
        <v>45658.166666666664</v>
      </c>
      <c r="B6" t="s">
        <v>8</v>
      </c>
      <c r="C6">
        <v>472.97</v>
      </c>
      <c r="D6">
        <v>41.79</v>
      </c>
      <c r="E6" t="s">
        <v>9</v>
      </c>
      <c r="F6">
        <v>89.29</v>
      </c>
      <c r="G6" t="s">
        <v>10</v>
      </c>
      <c r="H6" t="s">
        <v>13</v>
      </c>
    </row>
    <row r="7" spans="1:8" x14ac:dyDescent="0.25">
      <c r="A7" s="1">
        <v>45658.208333333336</v>
      </c>
      <c r="B7" t="s">
        <v>8</v>
      </c>
      <c r="C7">
        <v>198.15</v>
      </c>
      <c r="D7">
        <v>18.25</v>
      </c>
      <c r="E7" t="s">
        <v>9</v>
      </c>
      <c r="F7">
        <v>57.01</v>
      </c>
      <c r="G7" t="s">
        <v>10</v>
      </c>
      <c r="H7" t="s">
        <v>13</v>
      </c>
    </row>
    <row r="8" spans="1:8" x14ac:dyDescent="0.25">
      <c r="A8" s="1">
        <v>45658.25</v>
      </c>
      <c r="B8" t="s">
        <v>8</v>
      </c>
      <c r="C8">
        <v>369.35</v>
      </c>
      <c r="D8">
        <v>93.69</v>
      </c>
      <c r="E8" t="s">
        <v>14</v>
      </c>
      <c r="F8">
        <v>33.01</v>
      </c>
      <c r="G8" t="s">
        <v>10</v>
      </c>
      <c r="H8" t="s">
        <v>11</v>
      </c>
    </row>
    <row r="9" spans="1:8" x14ac:dyDescent="0.25">
      <c r="A9" s="1">
        <v>45658.291666666664</v>
      </c>
      <c r="B9" t="s">
        <v>8</v>
      </c>
      <c r="C9">
        <v>374.21</v>
      </c>
      <c r="D9">
        <v>36.82</v>
      </c>
      <c r="E9" t="s">
        <v>9</v>
      </c>
      <c r="F9">
        <v>41.06</v>
      </c>
      <c r="G9" t="s">
        <v>10</v>
      </c>
      <c r="H9" t="s">
        <v>11</v>
      </c>
    </row>
    <row r="10" spans="1:8" x14ac:dyDescent="0.25">
      <c r="A10" s="1">
        <v>45658.333333333336</v>
      </c>
      <c r="B10" t="s">
        <v>8</v>
      </c>
      <c r="C10">
        <v>85.65</v>
      </c>
      <c r="D10">
        <v>17.82</v>
      </c>
      <c r="E10" t="s">
        <v>9</v>
      </c>
      <c r="F10">
        <v>31.17</v>
      </c>
      <c r="G10" t="s">
        <v>10</v>
      </c>
      <c r="H10" t="s">
        <v>13</v>
      </c>
    </row>
    <row r="11" spans="1:8" x14ac:dyDescent="0.25">
      <c r="A11" s="1">
        <v>45658.375</v>
      </c>
      <c r="B11" t="s">
        <v>8</v>
      </c>
      <c r="C11">
        <v>260.47000000000003</v>
      </c>
      <c r="D11">
        <v>63.09</v>
      </c>
      <c r="E11" t="s">
        <v>9</v>
      </c>
      <c r="F11">
        <v>55.7</v>
      </c>
      <c r="G11" t="s">
        <v>10</v>
      </c>
      <c r="H11" t="s">
        <v>12</v>
      </c>
    </row>
    <row r="12" spans="1:8" x14ac:dyDescent="0.25">
      <c r="A12" s="1">
        <v>45658.416666666664</v>
      </c>
      <c r="B12" t="s">
        <v>8</v>
      </c>
      <c r="C12">
        <v>180.61</v>
      </c>
      <c r="D12">
        <v>59.52</v>
      </c>
      <c r="E12" t="s">
        <v>9</v>
      </c>
      <c r="F12">
        <v>36.72</v>
      </c>
      <c r="G12" t="s">
        <v>10</v>
      </c>
      <c r="H12" t="s">
        <v>11</v>
      </c>
    </row>
    <row r="13" spans="1:8" x14ac:dyDescent="0.25">
      <c r="A13" s="1">
        <v>45658.458333333336</v>
      </c>
      <c r="B13" t="s">
        <v>8</v>
      </c>
      <c r="C13">
        <v>305.79000000000002</v>
      </c>
      <c r="D13">
        <v>78.150000000000006</v>
      </c>
      <c r="E13" t="s">
        <v>9</v>
      </c>
      <c r="F13">
        <v>89.2</v>
      </c>
      <c r="G13" t="s">
        <v>10</v>
      </c>
      <c r="H13" t="s">
        <v>13</v>
      </c>
    </row>
    <row r="14" spans="1:8" x14ac:dyDescent="0.25">
      <c r="A14" s="1">
        <v>45658.5</v>
      </c>
      <c r="B14" t="s">
        <v>8</v>
      </c>
      <c r="C14">
        <v>279.35000000000002</v>
      </c>
      <c r="D14">
        <v>87.62</v>
      </c>
      <c r="E14" t="s">
        <v>14</v>
      </c>
      <c r="F14">
        <v>77.11</v>
      </c>
      <c r="G14" t="s">
        <v>10</v>
      </c>
      <c r="H14" t="s">
        <v>12</v>
      </c>
    </row>
    <row r="15" spans="1:8" x14ac:dyDescent="0.25">
      <c r="A15" s="1">
        <v>45658.541666666664</v>
      </c>
      <c r="B15" t="s">
        <v>8</v>
      </c>
      <c r="C15">
        <v>326.77999999999997</v>
      </c>
      <c r="D15">
        <v>89.08</v>
      </c>
      <c r="E15" t="s">
        <v>14</v>
      </c>
      <c r="F15">
        <v>87.72</v>
      </c>
      <c r="G15" t="s">
        <v>10</v>
      </c>
      <c r="H15" t="s">
        <v>12</v>
      </c>
    </row>
    <row r="16" spans="1:8" x14ac:dyDescent="0.25">
      <c r="A16" s="1">
        <v>45658.583333333336</v>
      </c>
      <c r="B16" t="s">
        <v>8</v>
      </c>
      <c r="C16">
        <v>72.73</v>
      </c>
      <c r="D16">
        <v>58.33</v>
      </c>
      <c r="E16" t="s">
        <v>9</v>
      </c>
      <c r="F16">
        <v>83.43</v>
      </c>
      <c r="G16" t="s">
        <v>10</v>
      </c>
      <c r="H16" t="s">
        <v>11</v>
      </c>
    </row>
    <row r="17" spans="1:8" x14ac:dyDescent="0.25">
      <c r="A17" s="1">
        <v>45658.625</v>
      </c>
      <c r="B17" t="s">
        <v>8</v>
      </c>
      <c r="C17">
        <v>114.27</v>
      </c>
      <c r="D17">
        <v>60.96</v>
      </c>
      <c r="E17" t="s">
        <v>9</v>
      </c>
      <c r="F17">
        <v>46.95</v>
      </c>
      <c r="G17" t="s">
        <v>10</v>
      </c>
      <c r="H17" t="s">
        <v>11</v>
      </c>
    </row>
    <row r="18" spans="1:8" x14ac:dyDescent="0.25">
      <c r="A18" s="1">
        <v>45658.666666666664</v>
      </c>
      <c r="B18" t="s">
        <v>8</v>
      </c>
      <c r="C18">
        <v>420.64</v>
      </c>
      <c r="D18">
        <v>71.44</v>
      </c>
      <c r="E18" t="s">
        <v>9</v>
      </c>
      <c r="F18">
        <v>65.260000000000005</v>
      </c>
      <c r="G18" t="s">
        <v>10</v>
      </c>
      <c r="H18" t="s">
        <v>13</v>
      </c>
    </row>
    <row r="19" spans="1:8" x14ac:dyDescent="0.25">
      <c r="A19" s="1">
        <v>45658.708333333336</v>
      </c>
      <c r="B19" t="s">
        <v>8</v>
      </c>
      <c r="C19">
        <v>310.33999999999997</v>
      </c>
      <c r="D19">
        <v>20.7</v>
      </c>
      <c r="E19" t="s">
        <v>9</v>
      </c>
      <c r="F19">
        <v>39.270000000000003</v>
      </c>
      <c r="G19" t="s">
        <v>10</v>
      </c>
      <c r="H19" t="s">
        <v>12</v>
      </c>
    </row>
    <row r="20" spans="1:8" x14ac:dyDescent="0.25">
      <c r="A20" s="1">
        <v>45658.75</v>
      </c>
      <c r="B20" t="s">
        <v>8</v>
      </c>
      <c r="C20">
        <v>210.99</v>
      </c>
      <c r="D20">
        <v>19.18</v>
      </c>
      <c r="E20" t="s">
        <v>9</v>
      </c>
      <c r="F20">
        <v>34.46</v>
      </c>
      <c r="G20" t="s">
        <v>10</v>
      </c>
      <c r="H20" t="s">
        <v>11</v>
      </c>
    </row>
    <row r="21" spans="1:8" x14ac:dyDescent="0.25">
      <c r="A21" s="1">
        <v>45658.791666666664</v>
      </c>
      <c r="B21" t="s">
        <v>8</v>
      </c>
      <c r="C21">
        <v>441.36</v>
      </c>
      <c r="D21">
        <v>52.25</v>
      </c>
      <c r="E21" t="s">
        <v>9</v>
      </c>
      <c r="F21">
        <v>72.77</v>
      </c>
      <c r="G21" t="s">
        <v>10</v>
      </c>
      <c r="H21" t="s">
        <v>13</v>
      </c>
    </row>
    <row r="22" spans="1:8" x14ac:dyDescent="0.25">
      <c r="A22" s="1">
        <v>45658.833333333336</v>
      </c>
      <c r="B22" t="s">
        <v>8</v>
      </c>
      <c r="C22">
        <v>200.7</v>
      </c>
      <c r="D22">
        <v>60.24</v>
      </c>
      <c r="E22" t="s">
        <v>9</v>
      </c>
      <c r="F22">
        <v>84.58</v>
      </c>
      <c r="G22" t="s">
        <v>10</v>
      </c>
      <c r="H22" t="s">
        <v>11</v>
      </c>
    </row>
    <row r="23" spans="1:8" x14ac:dyDescent="0.25">
      <c r="A23" s="1">
        <v>45658.875</v>
      </c>
      <c r="B23" t="s">
        <v>8</v>
      </c>
      <c r="C23">
        <v>331.35</v>
      </c>
      <c r="D23">
        <v>89.94</v>
      </c>
      <c r="E23" t="s">
        <v>14</v>
      </c>
      <c r="F23">
        <v>70.78</v>
      </c>
      <c r="G23" t="s">
        <v>10</v>
      </c>
      <c r="H23" t="s">
        <v>13</v>
      </c>
    </row>
    <row r="24" spans="1:8" x14ac:dyDescent="0.25">
      <c r="A24" s="1">
        <v>45658.916666666664</v>
      </c>
      <c r="B24" t="s">
        <v>8</v>
      </c>
      <c r="C24">
        <v>122.65</v>
      </c>
      <c r="D24">
        <v>91.81</v>
      </c>
      <c r="E24" t="s">
        <v>14</v>
      </c>
      <c r="F24">
        <v>62.25</v>
      </c>
      <c r="G24" t="s">
        <v>10</v>
      </c>
      <c r="H24" t="s">
        <v>11</v>
      </c>
    </row>
    <row r="25" spans="1:8" x14ac:dyDescent="0.25">
      <c r="A25" s="1">
        <v>45658.958333333336</v>
      </c>
      <c r="B25" t="s">
        <v>8</v>
      </c>
      <c r="C25">
        <v>60.82</v>
      </c>
      <c r="D25">
        <v>57.27</v>
      </c>
      <c r="E25" t="s">
        <v>9</v>
      </c>
      <c r="F25">
        <v>71.3</v>
      </c>
      <c r="G25" t="s">
        <v>10</v>
      </c>
      <c r="H25" t="s">
        <v>12</v>
      </c>
    </row>
    <row r="26" spans="1:8" x14ac:dyDescent="0.25">
      <c r="A26" s="1">
        <v>45659</v>
      </c>
      <c r="B26" t="s">
        <v>8</v>
      </c>
      <c r="C26">
        <v>379.92</v>
      </c>
      <c r="D26">
        <v>94.62</v>
      </c>
      <c r="E26" t="s">
        <v>14</v>
      </c>
      <c r="F26">
        <v>47.25</v>
      </c>
      <c r="G26" t="s">
        <v>10</v>
      </c>
      <c r="H26" t="s">
        <v>12</v>
      </c>
    </row>
    <row r="27" spans="1:8" x14ac:dyDescent="0.25">
      <c r="A27" s="1">
        <v>45659.041666666664</v>
      </c>
      <c r="B27" t="s">
        <v>8</v>
      </c>
      <c r="C27">
        <v>156.52000000000001</v>
      </c>
      <c r="D27">
        <v>85.5</v>
      </c>
      <c r="E27" t="s">
        <v>14</v>
      </c>
      <c r="F27">
        <v>35.82</v>
      </c>
      <c r="G27" t="s">
        <v>10</v>
      </c>
      <c r="H27" t="s">
        <v>13</v>
      </c>
    </row>
    <row r="28" spans="1:8" x14ac:dyDescent="0.25">
      <c r="A28" s="1">
        <v>45659.083333333336</v>
      </c>
      <c r="B28" t="s">
        <v>8</v>
      </c>
      <c r="C28">
        <v>108.15</v>
      </c>
      <c r="D28">
        <v>18.68</v>
      </c>
      <c r="E28" t="s">
        <v>9</v>
      </c>
      <c r="F28">
        <v>80.7</v>
      </c>
      <c r="G28" t="s">
        <v>10</v>
      </c>
      <c r="H28" t="s">
        <v>11</v>
      </c>
    </row>
    <row r="29" spans="1:8" x14ac:dyDescent="0.25">
      <c r="A29" s="1">
        <v>45659.125</v>
      </c>
      <c r="B29" t="s">
        <v>8</v>
      </c>
      <c r="C29">
        <v>152.27000000000001</v>
      </c>
      <c r="D29">
        <v>58.05</v>
      </c>
      <c r="E29" t="s">
        <v>9</v>
      </c>
      <c r="F29">
        <v>71.7</v>
      </c>
      <c r="G29" t="s">
        <v>10</v>
      </c>
      <c r="H29" t="s">
        <v>13</v>
      </c>
    </row>
    <row r="30" spans="1:8" x14ac:dyDescent="0.25">
      <c r="A30" s="1">
        <v>45659.166666666664</v>
      </c>
      <c r="B30" t="s">
        <v>8</v>
      </c>
      <c r="C30">
        <v>90.75</v>
      </c>
      <c r="D30">
        <v>68.11</v>
      </c>
      <c r="E30" t="s">
        <v>9</v>
      </c>
      <c r="F30">
        <v>38</v>
      </c>
      <c r="G30" t="s">
        <v>10</v>
      </c>
      <c r="H30" t="s">
        <v>13</v>
      </c>
    </row>
    <row r="31" spans="1:8" x14ac:dyDescent="0.25">
      <c r="A31" s="1">
        <v>45659.208333333336</v>
      </c>
      <c r="B31" t="s">
        <v>8</v>
      </c>
      <c r="C31">
        <v>397.47</v>
      </c>
      <c r="D31">
        <v>27.81</v>
      </c>
      <c r="E31" t="s">
        <v>9</v>
      </c>
      <c r="F31">
        <v>53.07</v>
      </c>
      <c r="G31" t="s">
        <v>10</v>
      </c>
      <c r="H31" t="s">
        <v>12</v>
      </c>
    </row>
    <row r="32" spans="1:8" x14ac:dyDescent="0.25">
      <c r="A32" s="1">
        <v>45659.25</v>
      </c>
      <c r="B32" t="s">
        <v>8</v>
      </c>
      <c r="C32">
        <v>63.02</v>
      </c>
      <c r="D32">
        <v>33.4</v>
      </c>
      <c r="E32" t="s">
        <v>9</v>
      </c>
      <c r="F32">
        <v>31.94</v>
      </c>
      <c r="G32" t="s">
        <v>10</v>
      </c>
      <c r="H32" t="s">
        <v>11</v>
      </c>
    </row>
    <row r="33" spans="1:8" x14ac:dyDescent="0.25">
      <c r="A33" s="1">
        <v>45659.291666666664</v>
      </c>
      <c r="B33" t="s">
        <v>8</v>
      </c>
      <c r="C33">
        <v>281.24</v>
      </c>
      <c r="D33">
        <v>78.53</v>
      </c>
      <c r="E33" t="s">
        <v>9</v>
      </c>
      <c r="F33">
        <v>50.28</v>
      </c>
      <c r="G33" t="s">
        <v>10</v>
      </c>
      <c r="H33" t="s">
        <v>11</v>
      </c>
    </row>
    <row r="34" spans="1:8" x14ac:dyDescent="0.25">
      <c r="A34" s="1">
        <v>45659.333333333336</v>
      </c>
      <c r="B34" t="s">
        <v>8</v>
      </c>
      <c r="C34">
        <v>134.38</v>
      </c>
      <c r="D34">
        <v>74.8</v>
      </c>
      <c r="E34" t="s">
        <v>9</v>
      </c>
      <c r="F34">
        <v>44.16</v>
      </c>
      <c r="G34" t="s">
        <v>10</v>
      </c>
      <c r="H34" t="s">
        <v>12</v>
      </c>
    </row>
    <row r="35" spans="1:8" x14ac:dyDescent="0.25">
      <c r="A35" s="1">
        <v>45659.375</v>
      </c>
      <c r="B35" t="s">
        <v>8</v>
      </c>
      <c r="C35">
        <v>54.09</v>
      </c>
      <c r="D35">
        <v>66.510000000000005</v>
      </c>
      <c r="E35" t="s">
        <v>9</v>
      </c>
      <c r="F35">
        <v>60.67</v>
      </c>
      <c r="G35" t="s">
        <v>10</v>
      </c>
      <c r="H35" t="s">
        <v>13</v>
      </c>
    </row>
    <row r="36" spans="1:8" x14ac:dyDescent="0.25">
      <c r="A36" s="1">
        <v>45659.416666666664</v>
      </c>
      <c r="B36" t="s">
        <v>8</v>
      </c>
      <c r="C36">
        <v>430.16</v>
      </c>
      <c r="D36">
        <v>20.440000000000001</v>
      </c>
      <c r="E36" t="s">
        <v>9</v>
      </c>
      <c r="F36">
        <v>72.42</v>
      </c>
      <c r="G36" t="s">
        <v>10</v>
      </c>
      <c r="H36" t="s">
        <v>12</v>
      </c>
    </row>
    <row r="37" spans="1:8" x14ac:dyDescent="0.25">
      <c r="A37" s="1">
        <v>45659.458333333336</v>
      </c>
      <c r="B37" t="s">
        <v>8</v>
      </c>
      <c r="C37">
        <v>112.75</v>
      </c>
      <c r="D37">
        <v>60.1</v>
      </c>
      <c r="E37" t="s">
        <v>9</v>
      </c>
      <c r="F37">
        <v>82.08</v>
      </c>
      <c r="G37" t="s">
        <v>10</v>
      </c>
      <c r="H37" t="s">
        <v>13</v>
      </c>
    </row>
    <row r="38" spans="1:8" x14ac:dyDescent="0.25">
      <c r="A38" s="1">
        <v>45659.5</v>
      </c>
      <c r="B38" t="s">
        <v>8</v>
      </c>
      <c r="C38">
        <v>466.62</v>
      </c>
      <c r="D38">
        <v>67.459999999999994</v>
      </c>
      <c r="E38" t="s">
        <v>9</v>
      </c>
      <c r="F38">
        <v>53.33</v>
      </c>
      <c r="G38" t="s">
        <v>10</v>
      </c>
      <c r="H38" t="s">
        <v>13</v>
      </c>
    </row>
    <row r="39" spans="1:8" x14ac:dyDescent="0.25">
      <c r="A39" s="1">
        <v>45659.541666666664</v>
      </c>
      <c r="B39" t="s">
        <v>8</v>
      </c>
      <c r="C39">
        <v>168.12</v>
      </c>
      <c r="D39">
        <v>61.07</v>
      </c>
      <c r="E39" t="s">
        <v>9</v>
      </c>
      <c r="F39">
        <v>73.09</v>
      </c>
      <c r="G39" t="s">
        <v>10</v>
      </c>
      <c r="H39" t="s">
        <v>12</v>
      </c>
    </row>
    <row r="40" spans="1:8" x14ac:dyDescent="0.25">
      <c r="A40" s="1">
        <v>45659.583333333336</v>
      </c>
      <c r="B40" t="s">
        <v>8</v>
      </c>
      <c r="C40">
        <v>319.82</v>
      </c>
      <c r="D40">
        <v>58.59</v>
      </c>
      <c r="E40" t="s">
        <v>9</v>
      </c>
      <c r="F40">
        <v>60.84</v>
      </c>
      <c r="G40" t="s">
        <v>10</v>
      </c>
      <c r="H40" t="s">
        <v>13</v>
      </c>
    </row>
    <row r="41" spans="1:8" x14ac:dyDescent="0.25">
      <c r="A41" s="1">
        <v>45659.625</v>
      </c>
      <c r="B41" t="s">
        <v>8</v>
      </c>
      <c r="C41">
        <v>453</v>
      </c>
      <c r="D41">
        <v>92.3</v>
      </c>
      <c r="E41" t="s">
        <v>14</v>
      </c>
      <c r="F41">
        <v>56.61</v>
      </c>
      <c r="G41" t="s">
        <v>10</v>
      </c>
      <c r="H41" t="s">
        <v>13</v>
      </c>
    </row>
    <row r="42" spans="1:8" x14ac:dyDescent="0.25">
      <c r="A42" s="1">
        <v>45659.666666666664</v>
      </c>
      <c r="B42" t="s">
        <v>8</v>
      </c>
      <c r="C42">
        <v>286.74</v>
      </c>
      <c r="D42">
        <v>69.709999999999994</v>
      </c>
      <c r="E42" t="s">
        <v>9</v>
      </c>
      <c r="F42">
        <v>46.41</v>
      </c>
      <c r="G42" t="s">
        <v>10</v>
      </c>
      <c r="H42" t="s">
        <v>11</v>
      </c>
    </row>
    <row r="43" spans="1:8" x14ac:dyDescent="0.25">
      <c r="A43" s="1">
        <v>45659.708333333336</v>
      </c>
      <c r="B43" t="s">
        <v>8</v>
      </c>
      <c r="C43">
        <v>73.25</v>
      </c>
      <c r="D43">
        <v>18</v>
      </c>
      <c r="E43" t="s">
        <v>9</v>
      </c>
      <c r="F43">
        <v>53.18</v>
      </c>
      <c r="G43" t="s">
        <v>10</v>
      </c>
      <c r="H43" t="s">
        <v>11</v>
      </c>
    </row>
    <row r="44" spans="1:8" x14ac:dyDescent="0.25">
      <c r="A44" s="1">
        <v>45659.75</v>
      </c>
      <c r="B44" t="s">
        <v>8</v>
      </c>
      <c r="C44">
        <v>386.28</v>
      </c>
      <c r="D44">
        <v>17.89</v>
      </c>
      <c r="E44" t="s">
        <v>9</v>
      </c>
      <c r="F44">
        <v>86.91</v>
      </c>
      <c r="G44" t="s">
        <v>10</v>
      </c>
      <c r="H44" t="s">
        <v>13</v>
      </c>
    </row>
    <row r="45" spans="1:8" x14ac:dyDescent="0.25">
      <c r="A45" s="1">
        <v>45659.791666666664</v>
      </c>
      <c r="B45" t="s">
        <v>8</v>
      </c>
      <c r="C45">
        <v>53.06</v>
      </c>
      <c r="D45">
        <v>75.87</v>
      </c>
      <c r="E45" t="s">
        <v>9</v>
      </c>
      <c r="F45">
        <v>60.84</v>
      </c>
      <c r="G45" t="s">
        <v>10</v>
      </c>
      <c r="H45" t="s">
        <v>13</v>
      </c>
    </row>
    <row r="46" spans="1:8" x14ac:dyDescent="0.25">
      <c r="A46" s="1">
        <v>45659.833333333336</v>
      </c>
      <c r="B46" t="s">
        <v>8</v>
      </c>
      <c r="C46">
        <v>250.12</v>
      </c>
      <c r="D46">
        <v>60.69</v>
      </c>
      <c r="E46" t="s">
        <v>9</v>
      </c>
      <c r="F46">
        <v>89</v>
      </c>
      <c r="G46" t="s">
        <v>10</v>
      </c>
      <c r="H46" t="s">
        <v>12</v>
      </c>
    </row>
    <row r="47" spans="1:8" x14ac:dyDescent="0.25">
      <c r="A47" s="1">
        <v>45659.875</v>
      </c>
      <c r="B47" t="s">
        <v>8</v>
      </c>
      <c r="C47">
        <v>356.58</v>
      </c>
      <c r="D47">
        <v>72</v>
      </c>
      <c r="E47" t="s">
        <v>9</v>
      </c>
      <c r="F47">
        <v>66.44</v>
      </c>
      <c r="G47" t="s">
        <v>10</v>
      </c>
      <c r="H47" t="s">
        <v>12</v>
      </c>
    </row>
    <row r="48" spans="1:8" x14ac:dyDescent="0.25">
      <c r="A48" s="1">
        <v>45659.916666666664</v>
      </c>
      <c r="B48" t="s">
        <v>8</v>
      </c>
      <c r="C48">
        <v>273.22000000000003</v>
      </c>
      <c r="D48">
        <v>14.63</v>
      </c>
      <c r="E48" t="s">
        <v>9</v>
      </c>
      <c r="F48">
        <v>59.53</v>
      </c>
      <c r="G48" t="s">
        <v>10</v>
      </c>
      <c r="H48" t="s">
        <v>11</v>
      </c>
    </row>
    <row r="49" spans="1:8" x14ac:dyDescent="0.25">
      <c r="A49" s="1">
        <v>45659.958333333336</v>
      </c>
      <c r="B49" t="s">
        <v>8</v>
      </c>
      <c r="C49">
        <v>382.81</v>
      </c>
      <c r="D49">
        <v>31.08</v>
      </c>
      <c r="E49" t="s">
        <v>9</v>
      </c>
      <c r="F49">
        <v>80.5</v>
      </c>
      <c r="G49" t="s">
        <v>10</v>
      </c>
      <c r="H49" t="s">
        <v>13</v>
      </c>
    </row>
    <row r="50" spans="1:8" x14ac:dyDescent="0.25">
      <c r="A50" s="1">
        <v>45660</v>
      </c>
      <c r="B50" t="s">
        <v>8</v>
      </c>
      <c r="C50">
        <v>416.66</v>
      </c>
      <c r="D50">
        <v>47.8</v>
      </c>
      <c r="E50" t="s">
        <v>9</v>
      </c>
      <c r="F50">
        <v>48.58</v>
      </c>
      <c r="G50" t="s">
        <v>10</v>
      </c>
      <c r="H50" t="s">
        <v>12</v>
      </c>
    </row>
    <row r="51" spans="1:8" x14ac:dyDescent="0.25">
      <c r="A51" s="1">
        <v>45660.041666666664</v>
      </c>
      <c r="B51" t="s">
        <v>8</v>
      </c>
      <c r="C51">
        <v>110.2</v>
      </c>
      <c r="D51">
        <v>91.22</v>
      </c>
      <c r="E51" t="s">
        <v>14</v>
      </c>
      <c r="F51">
        <v>34.36</v>
      </c>
      <c r="G51" t="s">
        <v>10</v>
      </c>
      <c r="H51" t="s">
        <v>11</v>
      </c>
    </row>
    <row r="52" spans="1:8" x14ac:dyDescent="0.25">
      <c r="A52" s="1">
        <v>45660.083333333336</v>
      </c>
      <c r="B52" t="s">
        <v>8</v>
      </c>
      <c r="C52">
        <v>206.52</v>
      </c>
      <c r="D52">
        <v>64.239999999999995</v>
      </c>
      <c r="E52" t="s">
        <v>9</v>
      </c>
      <c r="F52">
        <v>62.69</v>
      </c>
      <c r="G52" t="s">
        <v>10</v>
      </c>
      <c r="H52" t="s">
        <v>13</v>
      </c>
    </row>
    <row r="53" spans="1:8" x14ac:dyDescent="0.25">
      <c r="A53" s="1">
        <v>45660.125</v>
      </c>
      <c r="B53" t="s">
        <v>8</v>
      </c>
      <c r="C53">
        <v>180.38</v>
      </c>
      <c r="D53">
        <v>33.33</v>
      </c>
      <c r="E53" t="s">
        <v>9</v>
      </c>
      <c r="F53">
        <v>42.81</v>
      </c>
      <c r="G53" t="s">
        <v>10</v>
      </c>
      <c r="H53" t="s">
        <v>11</v>
      </c>
    </row>
    <row r="54" spans="1:8" x14ac:dyDescent="0.25">
      <c r="A54" s="1">
        <v>45660.166666666664</v>
      </c>
      <c r="B54" t="s">
        <v>8</v>
      </c>
      <c r="C54">
        <v>375.09</v>
      </c>
      <c r="D54">
        <v>14.59</v>
      </c>
      <c r="E54" t="s">
        <v>9</v>
      </c>
      <c r="F54">
        <v>60.55</v>
      </c>
      <c r="G54" t="s">
        <v>10</v>
      </c>
      <c r="H54" t="s">
        <v>11</v>
      </c>
    </row>
    <row r="55" spans="1:8" x14ac:dyDescent="0.25">
      <c r="A55" s="1">
        <v>45660.208333333336</v>
      </c>
      <c r="B55" t="s">
        <v>8</v>
      </c>
      <c r="C55">
        <v>225.91</v>
      </c>
      <c r="D55">
        <v>93.09</v>
      </c>
      <c r="E55" t="s">
        <v>14</v>
      </c>
      <c r="F55">
        <v>87.28</v>
      </c>
      <c r="G55" t="s">
        <v>10</v>
      </c>
      <c r="H55" t="s">
        <v>12</v>
      </c>
    </row>
    <row r="56" spans="1:8" x14ac:dyDescent="0.25">
      <c r="A56" s="1">
        <v>45660.25</v>
      </c>
      <c r="B56" t="s">
        <v>8</v>
      </c>
      <c r="C56">
        <v>249.98</v>
      </c>
      <c r="D56">
        <v>38.57</v>
      </c>
      <c r="E56" t="s">
        <v>9</v>
      </c>
      <c r="F56">
        <v>73</v>
      </c>
      <c r="G56" t="s">
        <v>10</v>
      </c>
      <c r="H56" t="s">
        <v>12</v>
      </c>
    </row>
    <row r="57" spans="1:8" x14ac:dyDescent="0.25">
      <c r="A57" s="1">
        <v>45660.291666666664</v>
      </c>
      <c r="B57" t="s">
        <v>8</v>
      </c>
      <c r="C57">
        <v>170.06</v>
      </c>
      <c r="D57">
        <v>54.99</v>
      </c>
      <c r="E57" t="s">
        <v>9</v>
      </c>
      <c r="F57">
        <v>76.66</v>
      </c>
      <c r="G57" t="s">
        <v>10</v>
      </c>
      <c r="H57" t="s">
        <v>13</v>
      </c>
    </row>
    <row r="58" spans="1:8" x14ac:dyDescent="0.25">
      <c r="A58" s="1">
        <v>45660.333333333336</v>
      </c>
      <c r="B58" t="s">
        <v>8</v>
      </c>
      <c r="C58">
        <v>430.19</v>
      </c>
      <c r="D58">
        <v>43.14</v>
      </c>
      <c r="E58" t="s">
        <v>9</v>
      </c>
      <c r="F58">
        <v>71.23</v>
      </c>
      <c r="G58" t="s">
        <v>10</v>
      </c>
      <c r="H58" t="s">
        <v>11</v>
      </c>
    </row>
    <row r="59" spans="1:8" x14ac:dyDescent="0.25">
      <c r="A59" s="1">
        <v>45660.375</v>
      </c>
      <c r="B59" t="s">
        <v>8</v>
      </c>
      <c r="C59">
        <v>77.41</v>
      </c>
      <c r="D59">
        <v>70.83</v>
      </c>
      <c r="E59" t="s">
        <v>9</v>
      </c>
      <c r="F59">
        <v>30.59</v>
      </c>
      <c r="G59" t="s">
        <v>10</v>
      </c>
      <c r="H59" t="s">
        <v>13</v>
      </c>
    </row>
    <row r="60" spans="1:8" x14ac:dyDescent="0.25">
      <c r="A60" s="1">
        <v>45660.416666666664</v>
      </c>
      <c r="B60" t="s">
        <v>8</v>
      </c>
      <c r="C60">
        <v>198.22</v>
      </c>
      <c r="D60">
        <v>70.16</v>
      </c>
      <c r="E60" t="s">
        <v>9</v>
      </c>
      <c r="F60">
        <v>75.97</v>
      </c>
      <c r="G60" t="s">
        <v>10</v>
      </c>
      <c r="H60" t="s">
        <v>12</v>
      </c>
    </row>
    <row r="61" spans="1:8" x14ac:dyDescent="0.25">
      <c r="A61" s="1">
        <v>45660.458333333336</v>
      </c>
      <c r="B61" t="s">
        <v>8</v>
      </c>
      <c r="C61">
        <v>111.67</v>
      </c>
      <c r="D61">
        <v>83.84</v>
      </c>
      <c r="E61" t="s">
        <v>9</v>
      </c>
      <c r="F61">
        <v>78.97</v>
      </c>
      <c r="G61" t="s">
        <v>10</v>
      </c>
      <c r="H61" t="s">
        <v>11</v>
      </c>
    </row>
    <row r="62" spans="1:8" x14ac:dyDescent="0.25">
      <c r="A62" s="1">
        <v>45660.5</v>
      </c>
      <c r="B62" t="s">
        <v>8</v>
      </c>
      <c r="C62">
        <v>361.81</v>
      </c>
      <c r="D62">
        <v>93.97</v>
      </c>
      <c r="E62" t="s">
        <v>14</v>
      </c>
      <c r="F62">
        <v>43.51</v>
      </c>
      <c r="G62" t="s">
        <v>10</v>
      </c>
      <c r="H62" t="s">
        <v>11</v>
      </c>
    </row>
    <row r="63" spans="1:8" x14ac:dyDescent="0.25">
      <c r="A63" s="1">
        <v>45660.541666666664</v>
      </c>
      <c r="B63" t="s">
        <v>8</v>
      </c>
      <c r="C63">
        <v>306.04000000000002</v>
      </c>
      <c r="D63">
        <v>57.06</v>
      </c>
      <c r="E63" t="s">
        <v>9</v>
      </c>
      <c r="F63">
        <v>57.48</v>
      </c>
      <c r="G63" t="s">
        <v>10</v>
      </c>
      <c r="H63" t="s">
        <v>11</v>
      </c>
    </row>
    <row r="64" spans="1:8" x14ac:dyDescent="0.25">
      <c r="A64" s="1">
        <v>45660.583333333336</v>
      </c>
      <c r="B64" t="s">
        <v>8</v>
      </c>
      <c r="C64">
        <v>388.31</v>
      </c>
      <c r="D64">
        <v>60.03</v>
      </c>
      <c r="E64" t="s">
        <v>9</v>
      </c>
      <c r="F64">
        <v>46.48</v>
      </c>
      <c r="G64" t="s">
        <v>10</v>
      </c>
      <c r="H64" t="s">
        <v>12</v>
      </c>
    </row>
    <row r="65" spans="1:8" x14ac:dyDescent="0.25">
      <c r="A65" s="1">
        <v>45660.625</v>
      </c>
      <c r="B65" t="s">
        <v>8</v>
      </c>
      <c r="C65">
        <v>167.32</v>
      </c>
      <c r="D65">
        <v>55.98</v>
      </c>
      <c r="E65" t="s">
        <v>9</v>
      </c>
      <c r="F65">
        <v>73.33</v>
      </c>
      <c r="G65" t="s">
        <v>10</v>
      </c>
      <c r="H65" t="s">
        <v>11</v>
      </c>
    </row>
    <row r="66" spans="1:8" x14ac:dyDescent="0.25">
      <c r="A66" s="1">
        <v>45660.666666666664</v>
      </c>
      <c r="B66" t="s">
        <v>8</v>
      </c>
      <c r="C66">
        <v>306.19</v>
      </c>
      <c r="D66">
        <v>65.17</v>
      </c>
      <c r="E66" t="s">
        <v>9</v>
      </c>
      <c r="F66">
        <v>61.12</v>
      </c>
      <c r="G66" t="s">
        <v>10</v>
      </c>
      <c r="H66" t="s">
        <v>12</v>
      </c>
    </row>
    <row r="67" spans="1:8" x14ac:dyDescent="0.25">
      <c r="A67" s="1">
        <v>45660.708333333336</v>
      </c>
      <c r="B67" t="s">
        <v>8</v>
      </c>
      <c r="C67">
        <v>154.79</v>
      </c>
      <c r="D67">
        <v>53.85</v>
      </c>
      <c r="E67" t="s">
        <v>9</v>
      </c>
      <c r="F67">
        <v>48.61</v>
      </c>
      <c r="G67" t="s">
        <v>10</v>
      </c>
      <c r="H67" t="s">
        <v>11</v>
      </c>
    </row>
    <row r="68" spans="1:8" x14ac:dyDescent="0.25">
      <c r="A68" s="1">
        <v>45660.75</v>
      </c>
      <c r="B68" t="s">
        <v>8</v>
      </c>
      <c r="C68">
        <v>106.08</v>
      </c>
      <c r="D68">
        <v>66.849999999999994</v>
      </c>
      <c r="E68" t="s">
        <v>9</v>
      </c>
      <c r="F68">
        <v>33.159999999999997</v>
      </c>
      <c r="G68" t="s">
        <v>10</v>
      </c>
      <c r="H68" t="s">
        <v>11</v>
      </c>
    </row>
    <row r="69" spans="1:8" x14ac:dyDescent="0.25">
      <c r="A69" s="1">
        <v>45660.791666666664</v>
      </c>
      <c r="B69" t="s">
        <v>8</v>
      </c>
      <c r="C69">
        <v>299.29000000000002</v>
      </c>
      <c r="D69">
        <v>38.14</v>
      </c>
      <c r="E69" t="s">
        <v>9</v>
      </c>
      <c r="F69">
        <v>57.3</v>
      </c>
      <c r="G69" t="s">
        <v>10</v>
      </c>
      <c r="H69" t="s">
        <v>13</v>
      </c>
    </row>
    <row r="70" spans="1:8" x14ac:dyDescent="0.25">
      <c r="A70" s="1">
        <v>45660.833333333336</v>
      </c>
      <c r="B70" t="s">
        <v>8</v>
      </c>
      <c r="C70">
        <v>368.43</v>
      </c>
      <c r="D70">
        <v>22.6</v>
      </c>
      <c r="E70" t="s">
        <v>9</v>
      </c>
      <c r="F70">
        <v>76.55</v>
      </c>
      <c r="G70" t="s">
        <v>10</v>
      </c>
      <c r="H70" t="s">
        <v>13</v>
      </c>
    </row>
    <row r="71" spans="1:8" x14ac:dyDescent="0.25">
      <c r="A71" s="1">
        <v>45660.875</v>
      </c>
      <c r="B71" t="s">
        <v>8</v>
      </c>
      <c r="C71">
        <v>454.88</v>
      </c>
      <c r="D71">
        <v>64.900000000000006</v>
      </c>
      <c r="E71" t="s">
        <v>9</v>
      </c>
      <c r="F71">
        <v>56.32</v>
      </c>
      <c r="G71" t="s">
        <v>10</v>
      </c>
      <c r="H71" t="s">
        <v>11</v>
      </c>
    </row>
    <row r="72" spans="1:8" x14ac:dyDescent="0.25">
      <c r="A72" s="1">
        <v>45660.916666666664</v>
      </c>
      <c r="B72" t="s">
        <v>8</v>
      </c>
      <c r="C72">
        <v>425.45</v>
      </c>
      <c r="D72">
        <v>60.76</v>
      </c>
      <c r="E72" t="s">
        <v>9</v>
      </c>
      <c r="F72">
        <v>68.78</v>
      </c>
      <c r="G72" t="s">
        <v>10</v>
      </c>
      <c r="H72" t="s">
        <v>13</v>
      </c>
    </row>
    <row r="73" spans="1:8" x14ac:dyDescent="0.25">
      <c r="A73" s="1">
        <v>45660.958333333336</v>
      </c>
      <c r="B73" t="s">
        <v>8</v>
      </c>
      <c r="C73">
        <v>413.05</v>
      </c>
      <c r="D73">
        <v>34.39</v>
      </c>
      <c r="E73" t="s">
        <v>9</v>
      </c>
      <c r="F73">
        <v>79.42</v>
      </c>
      <c r="G73" t="s">
        <v>10</v>
      </c>
      <c r="H73" t="s">
        <v>13</v>
      </c>
    </row>
    <row r="74" spans="1:8" x14ac:dyDescent="0.25">
      <c r="A74" s="1">
        <v>45661</v>
      </c>
      <c r="B74" t="s">
        <v>8</v>
      </c>
      <c r="C74">
        <v>86.65</v>
      </c>
      <c r="D74">
        <v>49.24</v>
      </c>
      <c r="E74" t="s">
        <v>9</v>
      </c>
      <c r="F74">
        <v>47.56</v>
      </c>
      <c r="G74" t="s">
        <v>10</v>
      </c>
      <c r="H74" t="s">
        <v>13</v>
      </c>
    </row>
    <row r="75" spans="1:8" x14ac:dyDescent="0.25">
      <c r="A75" s="1">
        <v>45661.041666666664</v>
      </c>
      <c r="B75" t="s">
        <v>8</v>
      </c>
      <c r="C75">
        <v>169.3</v>
      </c>
      <c r="D75">
        <v>48.99</v>
      </c>
      <c r="E75" t="s">
        <v>9</v>
      </c>
      <c r="F75">
        <v>89.94</v>
      </c>
      <c r="G75" t="s">
        <v>10</v>
      </c>
      <c r="H75" t="s">
        <v>12</v>
      </c>
    </row>
    <row r="76" spans="1:8" x14ac:dyDescent="0.25">
      <c r="A76" s="1">
        <v>45661.083333333336</v>
      </c>
      <c r="B76" t="s">
        <v>8</v>
      </c>
      <c r="C76">
        <v>123.51</v>
      </c>
      <c r="D76">
        <v>22.44</v>
      </c>
      <c r="E76" t="s">
        <v>9</v>
      </c>
      <c r="F76">
        <v>38.729999999999997</v>
      </c>
      <c r="G76" t="s">
        <v>10</v>
      </c>
      <c r="H76" t="s">
        <v>13</v>
      </c>
    </row>
    <row r="77" spans="1:8" x14ac:dyDescent="0.25">
      <c r="A77" s="1">
        <v>45661.125</v>
      </c>
      <c r="B77" t="s">
        <v>8</v>
      </c>
      <c r="C77">
        <v>287.69</v>
      </c>
      <c r="D77">
        <v>51.85</v>
      </c>
      <c r="E77" t="s">
        <v>9</v>
      </c>
      <c r="F77">
        <v>36.4</v>
      </c>
      <c r="G77" t="s">
        <v>10</v>
      </c>
      <c r="H77" t="s">
        <v>12</v>
      </c>
    </row>
    <row r="78" spans="1:8" x14ac:dyDescent="0.25">
      <c r="A78" s="1">
        <v>45661.166666666664</v>
      </c>
      <c r="B78" t="s">
        <v>8</v>
      </c>
      <c r="C78">
        <v>246.05</v>
      </c>
      <c r="D78">
        <v>24.46</v>
      </c>
      <c r="E78" t="s">
        <v>9</v>
      </c>
      <c r="F78">
        <v>74.540000000000006</v>
      </c>
      <c r="G78" t="s">
        <v>10</v>
      </c>
      <c r="H78" t="s">
        <v>11</v>
      </c>
    </row>
    <row r="79" spans="1:8" x14ac:dyDescent="0.25">
      <c r="A79" s="1">
        <v>45661.208333333336</v>
      </c>
      <c r="B79" t="s">
        <v>8</v>
      </c>
      <c r="C79">
        <v>83.88</v>
      </c>
      <c r="D79">
        <v>23.11</v>
      </c>
      <c r="E79" t="s">
        <v>9</v>
      </c>
      <c r="F79">
        <v>32.96</v>
      </c>
      <c r="G79" t="s">
        <v>10</v>
      </c>
      <c r="H79" t="s">
        <v>12</v>
      </c>
    </row>
    <row r="80" spans="1:8" x14ac:dyDescent="0.25">
      <c r="A80" s="1">
        <v>45661.25</v>
      </c>
      <c r="B80" t="s">
        <v>8</v>
      </c>
      <c r="C80">
        <v>111.05</v>
      </c>
      <c r="D80">
        <v>35.06</v>
      </c>
      <c r="E80" t="s">
        <v>9</v>
      </c>
      <c r="F80">
        <v>53.1</v>
      </c>
      <c r="G80" t="s">
        <v>10</v>
      </c>
      <c r="H80" t="s">
        <v>12</v>
      </c>
    </row>
    <row r="81" spans="1:8" x14ac:dyDescent="0.25">
      <c r="A81" s="1">
        <v>45661.291666666664</v>
      </c>
      <c r="B81" t="s">
        <v>8</v>
      </c>
      <c r="C81">
        <v>419.51</v>
      </c>
      <c r="D81">
        <v>92.53</v>
      </c>
      <c r="E81" t="s">
        <v>14</v>
      </c>
      <c r="F81">
        <v>57.24</v>
      </c>
      <c r="G81" t="s">
        <v>10</v>
      </c>
      <c r="H81" t="s">
        <v>12</v>
      </c>
    </row>
    <row r="82" spans="1:8" x14ac:dyDescent="0.25">
      <c r="A82" s="1">
        <v>45661.333333333336</v>
      </c>
      <c r="B82" t="s">
        <v>8</v>
      </c>
      <c r="C82">
        <v>307.48</v>
      </c>
      <c r="D82">
        <v>89.53</v>
      </c>
      <c r="E82" t="s">
        <v>14</v>
      </c>
      <c r="F82">
        <v>81.489999999999995</v>
      </c>
      <c r="G82" t="s">
        <v>10</v>
      </c>
      <c r="H82" t="s">
        <v>13</v>
      </c>
    </row>
    <row r="83" spans="1:8" x14ac:dyDescent="0.25">
      <c r="A83" s="1">
        <v>45661.375</v>
      </c>
      <c r="B83" t="s">
        <v>8</v>
      </c>
      <c r="C83">
        <v>203.43</v>
      </c>
      <c r="D83">
        <v>94.82</v>
      </c>
      <c r="E83" t="s">
        <v>14</v>
      </c>
      <c r="F83">
        <v>45.81</v>
      </c>
      <c r="G83" t="s">
        <v>10</v>
      </c>
      <c r="H83" t="s">
        <v>11</v>
      </c>
    </row>
    <row r="84" spans="1:8" x14ac:dyDescent="0.25">
      <c r="A84" s="1">
        <v>45661.416666666664</v>
      </c>
      <c r="B84" t="s">
        <v>8</v>
      </c>
      <c r="C84">
        <v>468.8</v>
      </c>
      <c r="D84">
        <v>16</v>
      </c>
      <c r="E84" t="s">
        <v>9</v>
      </c>
      <c r="F84">
        <v>71.8</v>
      </c>
      <c r="G84" t="s">
        <v>10</v>
      </c>
      <c r="H84" t="s">
        <v>12</v>
      </c>
    </row>
    <row r="85" spans="1:8" x14ac:dyDescent="0.25">
      <c r="A85" s="1">
        <v>45661.458333333336</v>
      </c>
      <c r="B85" t="s">
        <v>8</v>
      </c>
      <c r="C85">
        <v>150.35</v>
      </c>
      <c r="D85">
        <v>47.05</v>
      </c>
      <c r="E85" t="s">
        <v>9</v>
      </c>
      <c r="F85">
        <v>50.87</v>
      </c>
      <c r="G85" t="s">
        <v>10</v>
      </c>
      <c r="H85" t="s">
        <v>13</v>
      </c>
    </row>
    <row r="86" spans="1:8" x14ac:dyDescent="0.25">
      <c r="A86" s="1">
        <v>45661.5</v>
      </c>
      <c r="B86" t="s">
        <v>8</v>
      </c>
      <c r="C86">
        <v>79.37</v>
      </c>
      <c r="D86">
        <v>80.56</v>
      </c>
      <c r="E86" t="s">
        <v>9</v>
      </c>
      <c r="F86">
        <v>68.78</v>
      </c>
      <c r="G86" t="s">
        <v>10</v>
      </c>
      <c r="H86" t="s">
        <v>11</v>
      </c>
    </row>
    <row r="87" spans="1:8" x14ac:dyDescent="0.25">
      <c r="A87" s="1">
        <v>45661.541666666664</v>
      </c>
      <c r="B87" t="s">
        <v>8</v>
      </c>
      <c r="C87">
        <v>281.39999999999998</v>
      </c>
      <c r="D87">
        <v>57.67</v>
      </c>
      <c r="E87" t="s">
        <v>9</v>
      </c>
      <c r="F87">
        <v>45.31</v>
      </c>
      <c r="G87" t="s">
        <v>10</v>
      </c>
      <c r="H87" t="s">
        <v>11</v>
      </c>
    </row>
    <row r="88" spans="1:8" x14ac:dyDescent="0.25">
      <c r="A88" s="1">
        <v>45661.583333333336</v>
      </c>
      <c r="B88" t="s">
        <v>8</v>
      </c>
      <c r="C88">
        <v>460.32</v>
      </c>
      <c r="D88">
        <v>49.57</v>
      </c>
      <c r="E88" t="s">
        <v>9</v>
      </c>
      <c r="F88">
        <v>32.4</v>
      </c>
      <c r="G88" t="s">
        <v>10</v>
      </c>
      <c r="H88" t="s">
        <v>12</v>
      </c>
    </row>
    <row r="89" spans="1:8" x14ac:dyDescent="0.25">
      <c r="A89" s="1">
        <v>45661.625</v>
      </c>
      <c r="B89" t="s">
        <v>8</v>
      </c>
      <c r="C89">
        <v>93.66</v>
      </c>
      <c r="D89">
        <v>19.2</v>
      </c>
      <c r="E89" t="s">
        <v>9</v>
      </c>
      <c r="F89">
        <v>65.56</v>
      </c>
      <c r="G89" t="s">
        <v>10</v>
      </c>
      <c r="H89" t="s">
        <v>13</v>
      </c>
    </row>
    <row r="90" spans="1:8" x14ac:dyDescent="0.25">
      <c r="A90" s="1">
        <v>45661.666666666664</v>
      </c>
      <c r="B90" t="s">
        <v>8</v>
      </c>
      <c r="C90">
        <v>74.8</v>
      </c>
      <c r="D90">
        <v>48.58</v>
      </c>
      <c r="E90" t="s">
        <v>9</v>
      </c>
      <c r="F90">
        <v>58.14</v>
      </c>
      <c r="G90" t="s">
        <v>10</v>
      </c>
      <c r="H90" t="s">
        <v>11</v>
      </c>
    </row>
    <row r="91" spans="1:8" x14ac:dyDescent="0.25">
      <c r="A91" s="1">
        <v>45661.708333333336</v>
      </c>
      <c r="B91" t="s">
        <v>8</v>
      </c>
      <c r="C91">
        <v>476.1</v>
      </c>
      <c r="D91">
        <v>36.28</v>
      </c>
      <c r="E91" t="s">
        <v>9</v>
      </c>
      <c r="F91">
        <v>53.88</v>
      </c>
      <c r="G91" t="s">
        <v>10</v>
      </c>
      <c r="H91" t="s">
        <v>11</v>
      </c>
    </row>
    <row r="92" spans="1:8" x14ac:dyDescent="0.25">
      <c r="A92" s="1">
        <v>45661.75</v>
      </c>
      <c r="B92" t="s">
        <v>8</v>
      </c>
      <c r="C92">
        <v>79.72</v>
      </c>
      <c r="D92">
        <v>92.79</v>
      </c>
      <c r="E92" t="s">
        <v>14</v>
      </c>
      <c r="F92">
        <v>51.6</v>
      </c>
      <c r="G92" t="s">
        <v>10</v>
      </c>
      <c r="H92" t="s">
        <v>13</v>
      </c>
    </row>
    <row r="93" spans="1:8" x14ac:dyDescent="0.25">
      <c r="A93" s="1">
        <v>45661.791666666664</v>
      </c>
      <c r="B93" t="s">
        <v>8</v>
      </c>
      <c r="C93">
        <v>347.81</v>
      </c>
      <c r="D93">
        <v>80.17</v>
      </c>
      <c r="E93" t="s">
        <v>9</v>
      </c>
      <c r="F93">
        <v>74.97</v>
      </c>
      <c r="G93" t="s">
        <v>10</v>
      </c>
      <c r="H93" t="s">
        <v>13</v>
      </c>
    </row>
    <row r="94" spans="1:8" x14ac:dyDescent="0.25">
      <c r="A94" s="1">
        <v>45661.833333333336</v>
      </c>
      <c r="B94" t="s">
        <v>8</v>
      </c>
      <c r="C94">
        <v>371.9</v>
      </c>
      <c r="D94">
        <v>35.729999999999997</v>
      </c>
      <c r="E94" t="s">
        <v>9</v>
      </c>
      <c r="F94">
        <v>48.94</v>
      </c>
      <c r="G94" t="s">
        <v>10</v>
      </c>
      <c r="H94" t="s">
        <v>13</v>
      </c>
    </row>
    <row r="95" spans="1:8" x14ac:dyDescent="0.25">
      <c r="A95" s="1">
        <v>45661.875</v>
      </c>
      <c r="B95" t="s">
        <v>8</v>
      </c>
      <c r="C95">
        <v>350.12</v>
      </c>
      <c r="D95">
        <v>22.3</v>
      </c>
      <c r="E95" t="s">
        <v>9</v>
      </c>
      <c r="F95">
        <v>30.72</v>
      </c>
      <c r="G95" t="s">
        <v>10</v>
      </c>
      <c r="H95" t="s">
        <v>12</v>
      </c>
    </row>
    <row r="96" spans="1:8" x14ac:dyDescent="0.25">
      <c r="A96" s="1">
        <v>45661.916666666664</v>
      </c>
      <c r="B96" t="s">
        <v>8</v>
      </c>
      <c r="C96">
        <v>441.36</v>
      </c>
      <c r="D96">
        <v>86.16</v>
      </c>
      <c r="E96" t="s">
        <v>14</v>
      </c>
      <c r="F96">
        <v>56.94</v>
      </c>
      <c r="G96" t="s">
        <v>10</v>
      </c>
      <c r="H96" t="s">
        <v>12</v>
      </c>
    </row>
    <row r="97" spans="1:8" x14ac:dyDescent="0.25">
      <c r="A97" s="1">
        <v>45661.958333333336</v>
      </c>
      <c r="B97" t="s">
        <v>8</v>
      </c>
      <c r="C97">
        <v>272.29000000000002</v>
      </c>
      <c r="D97">
        <v>84.42</v>
      </c>
      <c r="E97" t="s">
        <v>9</v>
      </c>
      <c r="F97">
        <v>74.209999999999994</v>
      </c>
      <c r="G97" t="s">
        <v>10</v>
      </c>
      <c r="H97" t="s">
        <v>13</v>
      </c>
    </row>
    <row r="98" spans="1:8" x14ac:dyDescent="0.25">
      <c r="A98" s="1">
        <v>45662</v>
      </c>
      <c r="B98" t="s">
        <v>8</v>
      </c>
      <c r="C98">
        <v>160.09</v>
      </c>
      <c r="D98">
        <v>48.13</v>
      </c>
      <c r="E98" t="s">
        <v>9</v>
      </c>
      <c r="F98">
        <v>80.33</v>
      </c>
      <c r="G98" t="s">
        <v>10</v>
      </c>
      <c r="H98" t="s">
        <v>12</v>
      </c>
    </row>
    <row r="99" spans="1:8" x14ac:dyDescent="0.25">
      <c r="A99" s="1">
        <v>45662.041666666664</v>
      </c>
      <c r="B99" t="s">
        <v>8</v>
      </c>
      <c r="C99">
        <v>208.37</v>
      </c>
      <c r="D99">
        <v>50.14</v>
      </c>
      <c r="E99" t="s">
        <v>9</v>
      </c>
      <c r="F99">
        <v>70.3</v>
      </c>
      <c r="G99" t="s">
        <v>10</v>
      </c>
      <c r="H99" t="s">
        <v>13</v>
      </c>
    </row>
    <row r="100" spans="1:8" x14ac:dyDescent="0.25">
      <c r="A100" s="1">
        <v>45662.083333333336</v>
      </c>
      <c r="B100" t="s">
        <v>8</v>
      </c>
      <c r="C100">
        <v>95.85</v>
      </c>
      <c r="D100">
        <v>87.8</v>
      </c>
      <c r="E100" t="s">
        <v>14</v>
      </c>
      <c r="F100">
        <v>79.23</v>
      </c>
      <c r="G100" t="s">
        <v>10</v>
      </c>
      <c r="H100" t="s">
        <v>13</v>
      </c>
    </row>
    <row r="101" spans="1:8" x14ac:dyDescent="0.25">
      <c r="A101" s="1">
        <v>45662.125</v>
      </c>
      <c r="B101" t="s">
        <v>8</v>
      </c>
      <c r="C101">
        <v>322.58999999999997</v>
      </c>
      <c r="D101">
        <v>65.17</v>
      </c>
      <c r="E101" t="s">
        <v>9</v>
      </c>
      <c r="F101">
        <v>61.62</v>
      </c>
      <c r="G101" t="s">
        <v>10</v>
      </c>
      <c r="H101" t="s">
        <v>11</v>
      </c>
    </row>
    <row r="102" spans="1:8" x14ac:dyDescent="0.25">
      <c r="A102" s="1">
        <v>45662.166666666664</v>
      </c>
      <c r="B102" t="s">
        <v>8</v>
      </c>
      <c r="C102">
        <v>91.11</v>
      </c>
      <c r="D102">
        <v>75.290000000000006</v>
      </c>
      <c r="E102" t="s">
        <v>9</v>
      </c>
      <c r="F102">
        <v>64.95</v>
      </c>
      <c r="G102" t="s">
        <v>10</v>
      </c>
      <c r="H102" t="s">
        <v>11</v>
      </c>
    </row>
    <row r="103" spans="1:8" x14ac:dyDescent="0.25">
      <c r="A103" s="1">
        <v>45662.208333333336</v>
      </c>
      <c r="B103" t="s">
        <v>8</v>
      </c>
      <c r="C103">
        <v>132.91</v>
      </c>
      <c r="D103">
        <v>18.63</v>
      </c>
      <c r="E103" t="s">
        <v>9</v>
      </c>
      <c r="F103">
        <v>65.27</v>
      </c>
      <c r="G103" t="s">
        <v>10</v>
      </c>
      <c r="H103" t="s">
        <v>11</v>
      </c>
    </row>
    <row r="104" spans="1:8" x14ac:dyDescent="0.25">
      <c r="A104" s="1">
        <v>45662.25</v>
      </c>
      <c r="B104" t="s">
        <v>8</v>
      </c>
      <c r="C104">
        <v>57.87</v>
      </c>
      <c r="D104">
        <v>17.98</v>
      </c>
      <c r="E104" t="s">
        <v>9</v>
      </c>
      <c r="F104">
        <v>64.37</v>
      </c>
      <c r="G104" t="s">
        <v>10</v>
      </c>
      <c r="H104" t="s">
        <v>13</v>
      </c>
    </row>
    <row r="105" spans="1:8" x14ac:dyDescent="0.25">
      <c r="A105" s="1">
        <v>45662.291666666664</v>
      </c>
      <c r="B105" t="s">
        <v>8</v>
      </c>
      <c r="C105">
        <v>499.24</v>
      </c>
      <c r="D105">
        <v>57.85</v>
      </c>
      <c r="E105" t="s">
        <v>9</v>
      </c>
      <c r="F105">
        <v>47.04</v>
      </c>
      <c r="G105" t="s">
        <v>10</v>
      </c>
      <c r="H105" t="s">
        <v>12</v>
      </c>
    </row>
    <row r="106" spans="1:8" x14ac:dyDescent="0.25">
      <c r="A106" s="1">
        <v>45662.333333333336</v>
      </c>
      <c r="B106" t="s">
        <v>8</v>
      </c>
      <c r="C106">
        <v>173.4</v>
      </c>
      <c r="D106">
        <v>16.16</v>
      </c>
      <c r="E106" t="s">
        <v>9</v>
      </c>
      <c r="F106">
        <v>74.11</v>
      </c>
      <c r="G106" t="s">
        <v>10</v>
      </c>
      <c r="H106" t="s">
        <v>12</v>
      </c>
    </row>
    <row r="107" spans="1:8" x14ac:dyDescent="0.25">
      <c r="A107" s="1">
        <v>45662.375</v>
      </c>
      <c r="B107" t="s">
        <v>8</v>
      </c>
      <c r="C107">
        <v>427.28</v>
      </c>
      <c r="D107">
        <v>71.959999999999994</v>
      </c>
      <c r="E107" t="s">
        <v>9</v>
      </c>
      <c r="F107">
        <v>71.22</v>
      </c>
      <c r="G107" t="s">
        <v>10</v>
      </c>
      <c r="H107" t="s">
        <v>13</v>
      </c>
    </row>
    <row r="108" spans="1:8" x14ac:dyDescent="0.25">
      <c r="A108" s="1">
        <v>45662.416666666664</v>
      </c>
      <c r="B108" t="s">
        <v>8</v>
      </c>
      <c r="C108">
        <v>142.65</v>
      </c>
      <c r="D108">
        <v>42.55</v>
      </c>
      <c r="E108" t="s">
        <v>9</v>
      </c>
      <c r="F108">
        <v>37.57</v>
      </c>
      <c r="G108" t="s">
        <v>10</v>
      </c>
      <c r="H108" t="s">
        <v>13</v>
      </c>
    </row>
    <row r="109" spans="1:8" x14ac:dyDescent="0.25">
      <c r="A109" s="1">
        <v>45662.458333333336</v>
      </c>
      <c r="B109" t="s">
        <v>8</v>
      </c>
      <c r="C109">
        <v>187.62</v>
      </c>
      <c r="D109">
        <v>75.510000000000005</v>
      </c>
      <c r="E109" t="s">
        <v>9</v>
      </c>
      <c r="F109">
        <v>67.180000000000007</v>
      </c>
      <c r="G109" t="s">
        <v>10</v>
      </c>
      <c r="H109" t="s">
        <v>12</v>
      </c>
    </row>
    <row r="110" spans="1:8" x14ac:dyDescent="0.25">
      <c r="A110" s="1">
        <v>45662.5</v>
      </c>
      <c r="B110" t="s">
        <v>8</v>
      </c>
      <c r="C110">
        <v>332.76</v>
      </c>
      <c r="D110">
        <v>28.9</v>
      </c>
      <c r="E110" t="s">
        <v>9</v>
      </c>
      <c r="F110">
        <v>36.340000000000003</v>
      </c>
      <c r="G110" t="s">
        <v>10</v>
      </c>
      <c r="H110" t="s">
        <v>12</v>
      </c>
    </row>
    <row r="111" spans="1:8" x14ac:dyDescent="0.25">
      <c r="A111" s="1">
        <v>45662.541666666664</v>
      </c>
      <c r="B111" t="s">
        <v>8</v>
      </c>
      <c r="C111">
        <v>321.02</v>
      </c>
      <c r="D111">
        <v>40.1</v>
      </c>
      <c r="E111" t="s">
        <v>9</v>
      </c>
      <c r="F111">
        <v>76.61</v>
      </c>
      <c r="G111" t="s">
        <v>10</v>
      </c>
      <c r="H111" t="s">
        <v>13</v>
      </c>
    </row>
    <row r="112" spans="1:8" x14ac:dyDescent="0.25">
      <c r="A112" s="1">
        <v>45662.583333333336</v>
      </c>
      <c r="B112" t="s">
        <v>8</v>
      </c>
      <c r="C112">
        <v>366.47</v>
      </c>
      <c r="D112">
        <v>81.59</v>
      </c>
      <c r="E112" t="s">
        <v>9</v>
      </c>
      <c r="F112">
        <v>33.369999999999997</v>
      </c>
      <c r="G112" t="s">
        <v>10</v>
      </c>
      <c r="H112" t="s">
        <v>11</v>
      </c>
    </row>
    <row r="113" spans="1:8" x14ac:dyDescent="0.25">
      <c r="A113" s="1">
        <v>45662.625</v>
      </c>
      <c r="B113" t="s">
        <v>8</v>
      </c>
      <c r="C113">
        <v>273.75</v>
      </c>
      <c r="D113">
        <v>90.97</v>
      </c>
      <c r="E113" t="s">
        <v>14</v>
      </c>
      <c r="F113">
        <v>48</v>
      </c>
      <c r="G113" t="s">
        <v>10</v>
      </c>
      <c r="H113" t="s">
        <v>11</v>
      </c>
    </row>
    <row r="114" spans="1:8" x14ac:dyDescent="0.25">
      <c r="A114" s="1">
        <v>45662.666666666664</v>
      </c>
      <c r="B114" t="s">
        <v>8</v>
      </c>
      <c r="C114">
        <v>191.37</v>
      </c>
      <c r="D114">
        <v>91.6</v>
      </c>
      <c r="E114" t="s">
        <v>14</v>
      </c>
      <c r="F114">
        <v>32.01</v>
      </c>
      <c r="G114" t="s">
        <v>10</v>
      </c>
      <c r="H114" t="s">
        <v>13</v>
      </c>
    </row>
    <row r="115" spans="1:8" x14ac:dyDescent="0.25">
      <c r="A115" s="1">
        <v>45662.708333333336</v>
      </c>
      <c r="B115" t="s">
        <v>8</v>
      </c>
      <c r="C115">
        <v>144.46</v>
      </c>
      <c r="D115">
        <v>77.900000000000006</v>
      </c>
      <c r="E115" t="s">
        <v>9</v>
      </c>
      <c r="F115">
        <v>76.47</v>
      </c>
      <c r="G115" t="s">
        <v>10</v>
      </c>
      <c r="H115" t="s">
        <v>13</v>
      </c>
    </row>
    <row r="116" spans="1:8" x14ac:dyDescent="0.25">
      <c r="A116" s="1">
        <v>45662.75</v>
      </c>
      <c r="B116" t="s">
        <v>8</v>
      </c>
      <c r="C116">
        <v>329.55</v>
      </c>
      <c r="D116">
        <v>17.89</v>
      </c>
      <c r="E116" t="s">
        <v>9</v>
      </c>
      <c r="F116">
        <v>59.01</v>
      </c>
      <c r="G116" t="s">
        <v>10</v>
      </c>
      <c r="H116" t="s">
        <v>12</v>
      </c>
    </row>
    <row r="117" spans="1:8" x14ac:dyDescent="0.25">
      <c r="A117" s="1">
        <v>45662.791666666664</v>
      </c>
      <c r="B117" t="s">
        <v>8</v>
      </c>
      <c r="C117">
        <v>464.51</v>
      </c>
      <c r="D117">
        <v>93.06</v>
      </c>
      <c r="E117" t="s">
        <v>14</v>
      </c>
      <c r="F117">
        <v>43.34</v>
      </c>
      <c r="G117" t="s">
        <v>10</v>
      </c>
      <c r="H117" t="s">
        <v>12</v>
      </c>
    </row>
    <row r="118" spans="1:8" x14ac:dyDescent="0.25">
      <c r="A118" s="1">
        <v>45662.833333333336</v>
      </c>
      <c r="B118" t="s">
        <v>8</v>
      </c>
      <c r="C118">
        <v>340.67</v>
      </c>
      <c r="D118">
        <v>32.86</v>
      </c>
      <c r="E118" t="s">
        <v>9</v>
      </c>
      <c r="F118">
        <v>39.409999999999997</v>
      </c>
      <c r="G118" t="s">
        <v>10</v>
      </c>
      <c r="H118" t="s">
        <v>11</v>
      </c>
    </row>
    <row r="119" spans="1:8" x14ac:dyDescent="0.25">
      <c r="A119" s="1">
        <v>45662.875</v>
      </c>
      <c r="B119" t="s">
        <v>8</v>
      </c>
      <c r="C119">
        <v>207.85</v>
      </c>
      <c r="D119">
        <v>81.45</v>
      </c>
      <c r="E119" t="s">
        <v>9</v>
      </c>
      <c r="F119">
        <v>59.6</v>
      </c>
      <c r="G119" t="s">
        <v>10</v>
      </c>
      <c r="H119" t="s">
        <v>12</v>
      </c>
    </row>
    <row r="120" spans="1:8" x14ac:dyDescent="0.25">
      <c r="A120" s="1">
        <v>45662.916666666664</v>
      </c>
      <c r="B120" t="s">
        <v>8</v>
      </c>
      <c r="C120">
        <v>467.61</v>
      </c>
      <c r="D120">
        <v>27.39</v>
      </c>
      <c r="E120" t="s">
        <v>9</v>
      </c>
      <c r="F120">
        <v>30.14</v>
      </c>
      <c r="G120" t="s">
        <v>10</v>
      </c>
      <c r="H120" t="s">
        <v>13</v>
      </c>
    </row>
    <row r="121" spans="1:8" x14ac:dyDescent="0.25">
      <c r="A121" s="1">
        <v>45662.958333333336</v>
      </c>
      <c r="B121" t="s">
        <v>8</v>
      </c>
      <c r="C121">
        <v>182.67</v>
      </c>
      <c r="D121">
        <v>42.71</v>
      </c>
      <c r="E121" t="s">
        <v>9</v>
      </c>
      <c r="F121">
        <v>63.88</v>
      </c>
      <c r="G121" t="s">
        <v>10</v>
      </c>
      <c r="H121" t="s">
        <v>12</v>
      </c>
    </row>
    <row r="122" spans="1:8" x14ac:dyDescent="0.25">
      <c r="A122" s="1">
        <v>45663</v>
      </c>
      <c r="B122" t="s">
        <v>8</v>
      </c>
      <c r="C122">
        <v>256.01</v>
      </c>
      <c r="D122">
        <v>34.97</v>
      </c>
      <c r="E122" t="s">
        <v>9</v>
      </c>
      <c r="F122">
        <v>82.72</v>
      </c>
      <c r="G122" t="s">
        <v>10</v>
      </c>
      <c r="H122" t="s">
        <v>11</v>
      </c>
    </row>
    <row r="123" spans="1:8" x14ac:dyDescent="0.25">
      <c r="A123" s="1">
        <v>45663.041666666664</v>
      </c>
      <c r="B123" t="s">
        <v>8</v>
      </c>
      <c r="C123">
        <v>96.56</v>
      </c>
      <c r="D123">
        <v>67.19</v>
      </c>
      <c r="E123" t="s">
        <v>9</v>
      </c>
      <c r="F123">
        <v>84.42</v>
      </c>
      <c r="G123" t="s">
        <v>10</v>
      </c>
      <c r="H123" t="s">
        <v>12</v>
      </c>
    </row>
    <row r="124" spans="1:8" x14ac:dyDescent="0.25">
      <c r="A124" s="1">
        <v>45663.083333333336</v>
      </c>
      <c r="B124" t="s">
        <v>8</v>
      </c>
      <c r="C124">
        <v>150.38999999999999</v>
      </c>
      <c r="D124">
        <v>58.21</v>
      </c>
      <c r="E124" t="s">
        <v>9</v>
      </c>
      <c r="F124">
        <v>71.040000000000006</v>
      </c>
      <c r="G124" t="s">
        <v>10</v>
      </c>
      <c r="H124" t="s">
        <v>11</v>
      </c>
    </row>
    <row r="125" spans="1:8" x14ac:dyDescent="0.25">
      <c r="A125" s="1">
        <v>45663.125</v>
      </c>
      <c r="B125" t="s">
        <v>8</v>
      </c>
      <c r="C125">
        <v>185.71</v>
      </c>
      <c r="D125">
        <v>29.25</v>
      </c>
      <c r="E125" t="s">
        <v>9</v>
      </c>
      <c r="F125">
        <v>48.22</v>
      </c>
      <c r="G125" t="s">
        <v>10</v>
      </c>
      <c r="H125" t="s">
        <v>13</v>
      </c>
    </row>
    <row r="126" spans="1:8" x14ac:dyDescent="0.25">
      <c r="A126" s="1">
        <v>45663.166666666664</v>
      </c>
      <c r="B126" t="s">
        <v>8</v>
      </c>
      <c r="C126">
        <v>201.06</v>
      </c>
      <c r="D126">
        <v>60.55</v>
      </c>
      <c r="E126" t="s">
        <v>9</v>
      </c>
      <c r="F126">
        <v>60.89</v>
      </c>
      <c r="G126" t="s">
        <v>10</v>
      </c>
      <c r="H126" t="s">
        <v>12</v>
      </c>
    </row>
    <row r="127" spans="1:8" x14ac:dyDescent="0.25">
      <c r="A127" s="1">
        <v>45663.208333333336</v>
      </c>
      <c r="B127" t="s">
        <v>8</v>
      </c>
      <c r="C127">
        <v>408.01</v>
      </c>
      <c r="D127">
        <v>25.45</v>
      </c>
      <c r="E127" t="s">
        <v>9</v>
      </c>
      <c r="F127">
        <v>37.82</v>
      </c>
      <c r="G127" t="s">
        <v>10</v>
      </c>
      <c r="H127" t="s">
        <v>12</v>
      </c>
    </row>
    <row r="128" spans="1:8" x14ac:dyDescent="0.25">
      <c r="A128" s="1">
        <v>45663.25</v>
      </c>
      <c r="B128" t="s">
        <v>8</v>
      </c>
      <c r="C128">
        <v>380.14</v>
      </c>
      <c r="D128">
        <v>82.04</v>
      </c>
      <c r="E128" t="s">
        <v>9</v>
      </c>
      <c r="F128">
        <v>62.7</v>
      </c>
      <c r="G128" t="s">
        <v>10</v>
      </c>
      <c r="H128" t="s">
        <v>11</v>
      </c>
    </row>
    <row r="129" spans="1:8" x14ac:dyDescent="0.25">
      <c r="A129" s="1">
        <v>45663.291666666664</v>
      </c>
      <c r="B129" t="s">
        <v>8</v>
      </c>
      <c r="C129">
        <v>124.22</v>
      </c>
      <c r="D129">
        <v>24.1</v>
      </c>
      <c r="E129" t="s">
        <v>9</v>
      </c>
      <c r="F129">
        <v>51.95</v>
      </c>
      <c r="G129" t="s">
        <v>10</v>
      </c>
      <c r="H129" t="s">
        <v>13</v>
      </c>
    </row>
    <row r="130" spans="1:8" x14ac:dyDescent="0.25">
      <c r="A130" s="1">
        <v>45663.333333333336</v>
      </c>
      <c r="B130" t="s">
        <v>8</v>
      </c>
      <c r="C130">
        <v>354.71</v>
      </c>
      <c r="D130">
        <v>69.3</v>
      </c>
      <c r="E130" t="s">
        <v>9</v>
      </c>
      <c r="F130">
        <v>67.72</v>
      </c>
      <c r="G130" t="s">
        <v>10</v>
      </c>
      <c r="H130" t="s">
        <v>12</v>
      </c>
    </row>
    <row r="131" spans="1:8" x14ac:dyDescent="0.25">
      <c r="A131" s="1">
        <v>45663.375</v>
      </c>
      <c r="B131" t="s">
        <v>8</v>
      </c>
      <c r="C131">
        <v>96.25</v>
      </c>
      <c r="D131">
        <v>27.95</v>
      </c>
      <c r="E131" t="s">
        <v>9</v>
      </c>
      <c r="F131">
        <v>55.86</v>
      </c>
      <c r="G131" t="s">
        <v>10</v>
      </c>
      <c r="H131" t="s">
        <v>12</v>
      </c>
    </row>
    <row r="132" spans="1:8" x14ac:dyDescent="0.25">
      <c r="A132" s="1">
        <v>45663.416666666664</v>
      </c>
      <c r="B132" t="s">
        <v>8</v>
      </c>
      <c r="C132">
        <v>113.27</v>
      </c>
      <c r="D132">
        <v>48.42</v>
      </c>
      <c r="E132" t="s">
        <v>9</v>
      </c>
      <c r="F132">
        <v>50.5</v>
      </c>
      <c r="G132" t="s">
        <v>10</v>
      </c>
      <c r="H132" t="s">
        <v>13</v>
      </c>
    </row>
    <row r="133" spans="1:8" x14ac:dyDescent="0.25">
      <c r="A133" s="1">
        <v>45663.458333333336</v>
      </c>
      <c r="B133" t="s">
        <v>8</v>
      </c>
      <c r="C133">
        <v>361.3</v>
      </c>
      <c r="D133">
        <v>68.61</v>
      </c>
      <c r="E133" t="s">
        <v>9</v>
      </c>
      <c r="F133">
        <v>88.8</v>
      </c>
      <c r="G133" t="s">
        <v>10</v>
      </c>
      <c r="H133" t="s">
        <v>12</v>
      </c>
    </row>
    <row r="134" spans="1:8" x14ac:dyDescent="0.25">
      <c r="A134" s="1">
        <v>45663.5</v>
      </c>
      <c r="B134" t="s">
        <v>8</v>
      </c>
      <c r="C134">
        <v>151.82</v>
      </c>
      <c r="D134">
        <v>24.67</v>
      </c>
      <c r="E134" t="s">
        <v>9</v>
      </c>
      <c r="F134">
        <v>83.22</v>
      </c>
      <c r="G134" t="s">
        <v>10</v>
      </c>
      <c r="H134" t="s">
        <v>13</v>
      </c>
    </row>
    <row r="135" spans="1:8" x14ac:dyDescent="0.25">
      <c r="A135" s="1">
        <v>45663.541666666664</v>
      </c>
      <c r="B135" t="s">
        <v>8</v>
      </c>
      <c r="C135">
        <v>98.16</v>
      </c>
      <c r="D135">
        <v>77.23</v>
      </c>
      <c r="E135" t="s">
        <v>9</v>
      </c>
      <c r="F135">
        <v>84.61</v>
      </c>
      <c r="G135" t="s">
        <v>10</v>
      </c>
      <c r="H135" t="s">
        <v>11</v>
      </c>
    </row>
    <row r="136" spans="1:8" x14ac:dyDescent="0.25">
      <c r="A136" s="1">
        <v>45663.583333333336</v>
      </c>
      <c r="B136" t="s">
        <v>8</v>
      </c>
      <c r="C136">
        <v>243.56</v>
      </c>
      <c r="D136">
        <v>49.46</v>
      </c>
      <c r="E136" t="s">
        <v>9</v>
      </c>
      <c r="F136">
        <v>48.62</v>
      </c>
      <c r="G136" t="s">
        <v>10</v>
      </c>
      <c r="H136" t="s">
        <v>11</v>
      </c>
    </row>
    <row r="137" spans="1:8" x14ac:dyDescent="0.25">
      <c r="A137" s="1">
        <v>45663.625</v>
      </c>
      <c r="B137" t="s">
        <v>8</v>
      </c>
      <c r="C137">
        <v>94.26</v>
      </c>
      <c r="D137">
        <v>50.4</v>
      </c>
      <c r="E137" t="s">
        <v>9</v>
      </c>
      <c r="F137">
        <v>86.43</v>
      </c>
      <c r="G137" t="s">
        <v>10</v>
      </c>
      <c r="H137" t="s">
        <v>11</v>
      </c>
    </row>
    <row r="138" spans="1:8" x14ac:dyDescent="0.25">
      <c r="A138" s="1">
        <v>45663.666666666664</v>
      </c>
      <c r="B138" t="s">
        <v>8</v>
      </c>
      <c r="C138">
        <v>443.63</v>
      </c>
      <c r="D138">
        <v>73.72</v>
      </c>
      <c r="E138" t="s">
        <v>9</v>
      </c>
      <c r="F138">
        <v>45.17</v>
      </c>
      <c r="G138" t="s">
        <v>10</v>
      </c>
      <c r="H138" t="s">
        <v>13</v>
      </c>
    </row>
    <row r="139" spans="1:8" x14ac:dyDescent="0.25">
      <c r="A139" s="1">
        <v>45663.708333333336</v>
      </c>
      <c r="B139" t="s">
        <v>8</v>
      </c>
      <c r="C139">
        <v>170.6</v>
      </c>
      <c r="D139">
        <v>87.89</v>
      </c>
      <c r="E139" t="s">
        <v>14</v>
      </c>
      <c r="F139">
        <v>67.989999999999995</v>
      </c>
      <c r="G139" t="s">
        <v>10</v>
      </c>
      <c r="H139" t="s">
        <v>13</v>
      </c>
    </row>
    <row r="140" spans="1:8" x14ac:dyDescent="0.25">
      <c r="A140" s="1">
        <v>45663.75</v>
      </c>
      <c r="B140" t="s">
        <v>8</v>
      </c>
      <c r="C140">
        <v>207.29</v>
      </c>
      <c r="D140">
        <v>39.58</v>
      </c>
      <c r="E140" t="s">
        <v>9</v>
      </c>
      <c r="F140">
        <v>77.48</v>
      </c>
      <c r="G140" t="s">
        <v>10</v>
      </c>
      <c r="H140" t="s">
        <v>12</v>
      </c>
    </row>
    <row r="141" spans="1:8" x14ac:dyDescent="0.25">
      <c r="A141" s="1">
        <v>45663.791666666664</v>
      </c>
      <c r="B141" t="s">
        <v>8</v>
      </c>
      <c r="C141">
        <v>218.89</v>
      </c>
      <c r="D141">
        <v>64.760000000000005</v>
      </c>
      <c r="E141" t="s">
        <v>9</v>
      </c>
      <c r="F141">
        <v>38.770000000000003</v>
      </c>
      <c r="G141" t="s">
        <v>10</v>
      </c>
      <c r="H141" t="s">
        <v>12</v>
      </c>
    </row>
    <row r="142" spans="1:8" x14ac:dyDescent="0.25">
      <c r="A142" s="1">
        <v>45663.833333333336</v>
      </c>
      <c r="B142" t="s">
        <v>8</v>
      </c>
      <c r="C142">
        <v>155.76</v>
      </c>
      <c r="D142">
        <v>66.83</v>
      </c>
      <c r="E142" t="s">
        <v>9</v>
      </c>
      <c r="F142">
        <v>54.31</v>
      </c>
      <c r="G142" t="s">
        <v>10</v>
      </c>
      <c r="H142" t="s">
        <v>13</v>
      </c>
    </row>
    <row r="143" spans="1:8" x14ac:dyDescent="0.25">
      <c r="A143" s="1">
        <v>45663.875</v>
      </c>
      <c r="B143" t="s">
        <v>8</v>
      </c>
      <c r="C143">
        <v>128.28</v>
      </c>
      <c r="D143">
        <v>17.739999999999998</v>
      </c>
      <c r="E143" t="s">
        <v>9</v>
      </c>
      <c r="F143">
        <v>64.78</v>
      </c>
      <c r="G143" t="s">
        <v>10</v>
      </c>
      <c r="H143" t="s">
        <v>13</v>
      </c>
    </row>
    <row r="144" spans="1:8" x14ac:dyDescent="0.25">
      <c r="A144" s="1">
        <v>45663.916666666664</v>
      </c>
      <c r="B144" t="s">
        <v>8</v>
      </c>
      <c r="C144">
        <v>171.33</v>
      </c>
      <c r="D144">
        <v>80.400000000000006</v>
      </c>
      <c r="E144" t="s">
        <v>9</v>
      </c>
      <c r="F144">
        <v>89.96</v>
      </c>
      <c r="G144" t="s">
        <v>10</v>
      </c>
      <c r="H144" t="s">
        <v>13</v>
      </c>
    </row>
    <row r="145" spans="1:8" x14ac:dyDescent="0.25">
      <c r="A145" s="1">
        <v>45663.958333333336</v>
      </c>
      <c r="B145" t="s">
        <v>8</v>
      </c>
      <c r="C145">
        <v>84.56</v>
      </c>
      <c r="D145">
        <v>47.52</v>
      </c>
      <c r="E145" t="s">
        <v>9</v>
      </c>
      <c r="F145">
        <v>70.73</v>
      </c>
      <c r="G145" t="s">
        <v>10</v>
      </c>
      <c r="H145" t="s">
        <v>11</v>
      </c>
    </row>
    <row r="146" spans="1:8" x14ac:dyDescent="0.25">
      <c r="A146" s="1">
        <v>45664</v>
      </c>
      <c r="B146" t="s">
        <v>8</v>
      </c>
      <c r="C146">
        <v>87.78</v>
      </c>
      <c r="D146">
        <v>76.37</v>
      </c>
      <c r="E146" t="s">
        <v>9</v>
      </c>
      <c r="F146">
        <v>67.81</v>
      </c>
      <c r="G146" t="s">
        <v>10</v>
      </c>
      <c r="H146" t="s">
        <v>11</v>
      </c>
    </row>
    <row r="147" spans="1:8" x14ac:dyDescent="0.25">
      <c r="A147" s="1">
        <v>45664.041666666664</v>
      </c>
      <c r="B147" t="s">
        <v>8</v>
      </c>
      <c r="C147">
        <v>489.85</v>
      </c>
      <c r="D147">
        <v>92.12</v>
      </c>
      <c r="E147" t="s">
        <v>14</v>
      </c>
      <c r="F147">
        <v>39.82</v>
      </c>
      <c r="G147" t="s">
        <v>10</v>
      </c>
      <c r="H147" t="s">
        <v>13</v>
      </c>
    </row>
    <row r="148" spans="1:8" x14ac:dyDescent="0.25">
      <c r="A148" s="1">
        <v>45664.083333333336</v>
      </c>
      <c r="B148" t="s">
        <v>8</v>
      </c>
      <c r="C148">
        <v>284.77999999999997</v>
      </c>
      <c r="D148">
        <v>31.26</v>
      </c>
      <c r="E148" t="s">
        <v>9</v>
      </c>
      <c r="F148">
        <v>76.900000000000006</v>
      </c>
      <c r="G148" t="s">
        <v>10</v>
      </c>
      <c r="H148" t="s">
        <v>13</v>
      </c>
    </row>
    <row r="149" spans="1:8" x14ac:dyDescent="0.25">
      <c r="A149" s="1">
        <v>45664.125</v>
      </c>
      <c r="B149" t="s">
        <v>8</v>
      </c>
      <c r="C149">
        <v>220.24</v>
      </c>
      <c r="D149">
        <v>21.16</v>
      </c>
      <c r="E149" t="s">
        <v>9</v>
      </c>
      <c r="F149">
        <v>50.53</v>
      </c>
      <c r="G149" t="s">
        <v>10</v>
      </c>
      <c r="H149" t="s">
        <v>13</v>
      </c>
    </row>
    <row r="150" spans="1:8" x14ac:dyDescent="0.25">
      <c r="A150" s="1">
        <v>45664.166666666664</v>
      </c>
      <c r="B150" t="s">
        <v>8</v>
      </c>
      <c r="C150">
        <v>238.52</v>
      </c>
      <c r="D150">
        <v>55.69</v>
      </c>
      <c r="E150" t="s">
        <v>9</v>
      </c>
      <c r="F150">
        <v>72.540000000000006</v>
      </c>
      <c r="G150" t="s">
        <v>10</v>
      </c>
      <c r="H150" t="s">
        <v>12</v>
      </c>
    </row>
    <row r="151" spans="1:8" x14ac:dyDescent="0.25">
      <c r="A151" s="1">
        <v>45664.208333333336</v>
      </c>
      <c r="B151" t="s">
        <v>8</v>
      </c>
      <c r="C151">
        <v>493.78</v>
      </c>
      <c r="D151">
        <v>80.489999999999995</v>
      </c>
      <c r="E151" t="s">
        <v>9</v>
      </c>
      <c r="F151">
        <v>46.89</v>
      </c>
      <c r="G151" t="s">
        <v>10</v>
      </c>
      <c r="H151" t="s">
        <v>11</v>
      </c>
    </row>
    <row r="152" spans="1:8" x14ac:dyDescent="0.25">
      <c r="A152" s="1">
        <v>45664.25</v>
      </c>
      <c r="B152" t="s">
        <v>8</v>
      </c>
      <c r="C152">
        <v>114.63</v>
      </c>
      <c r="D152">
        <v>67.3</v>
      </c>
      <c r="E152" t="s">
        <v>9</v>
      </c>
      <c r="F152">
        <v>73.650000000000006</v>
      </c>
      <c r="G152" t="s">
        <v>10</v>
      </c>
      <c r="H152" t="s">
        <v>12</v>
      </c>
    </row>
    <row r="153" spans="1:8" x14ac:dyDescent="0.25">
      <c r="A153" s="1">
        <v>45664.291666666664</v>
      </c>
      <c r="B153" t="s">
        <v>8</v>
      </c>
      <c r="C153">
        <v>467.94</v>
      </c>
      <c r="D153">
        <v>54.23</v>
      </c>
      <c r="E153" t="s">
        <v>9</v>
      </c>
      <c r="F153">
        <v>80.58</v>
      </c>
      <c r="G153" t="s">
        <v>10</v>
      </c>
      <c r="H153" t="s">
        <v>13</v>
      </c>
    </row>
    <row r="154" spans="1:8" x14ac:dyDescent="0.25">
      <c r="A154" s="1">
        <v>45664.333333333336</v>
      </c>
      <c r="B154" t="s">
        <v>8</v>
      </c>
      <c r="C154">
        <v>78.430000000000007</v>
      </c>
      <c r="D154">
        <v>63.5</v>
      </c>
      <c r="E154" t="s">
        <v>9</v>
      </c>
      <c r="F154">
        <v>89.02</v>
      </c>
      <c r="G154" t="s">
        <v>10</v>
      </c>
      <c r="H154" t="s">
        <v>12</v>
      </c>
    </row>
    <row r="155" spans="1:8" x14ac:dyDescent="0.25">
      <c r="A155" s="1">
        <v>45664.375</v>
      </c>
      <c r="B155" t="s">
        <v>8</v>
      </c>
      <c r="C155">
        <v>212.55</v>
      </c>
      <c r="D155">
        <v>65.62</v>
      </c>
      <c r="E155" t="s">
        <v>9</v>
      </c>
      <c r="F155">
        <v>34.24</v>
      </c>
      <c r="G155" t="s">
        <v>10</v>
      </c>
      <c r="H155" t="s">
        <v>13</v>
      </c>
    </row>
    <row r="156" spans="1:8" x14ac:dyDescent="0.25">
      <c r="A156" s="1">
        <v>45664.416666666664</v>
      </c>
      <c r="B156" t="s">
        <v>8</v>
      </c>
      <c r="C156">
        <v>312.01</v>
      </c>
      <c r="D156">
        <v>38.28</v>
      </c>
      <c r="E156" t="s">
        <v>9</v>
      </c>
      <c r="F156">
        <v>32.06</v>
      </c>
      <c r="G156" t="s">
        <v>10</v>
      </c>
      <c r="H156" t="s">
        <v>11</v>
      </c>
    </row>
    <row r="157" spans="1:8" x14ac:dyDescent="0.25">
      <c r="A157" s="1">
        <v>45664.458333333336</v>
      </c>
      <c r="B157" t="s">
        <v>8</v>
      </c>
      <c r="C157">
        <v>417.23</v>
      </c>
      <c r="D157">
        <v>48.99</v>
      </c>
      <c r="E157" t="s">
        <v>9</v>
      </c>
      <c r="F157">
        <v>77.78</v>
      </c>
      <c r="G157" t="s">
        <v>10</v>
      </c>
      <c r="H157" t="s">
        <v>13</v>
      </c>
    </row>
    <row r="158" spans="1:8" x14ac:dyDescent="0.25">
      <c r="A158" s="1">
        <v>45664.5</v>
      </c>
      <c r="B158" t="s">
        <v>8</v>
      </c>
      <c r="C158">
        <v>450.96</v>
      </c>
      <c r="D158">
        <v>79.900000000000006</v>
      </c>
      <c r="E158" t="s">
        <v>9</v>
      </c>
      <c r="F158">
        <v>72.900000000000006</v>
      </c>
      <c r="G158" t="s">
        <v>10</v>
      </c>
      <c r="H158" t="s">
        <v>12</v>
      </c>
    </row>
    <row r="159" spans="1:8" x14ac:dyDescent="0.25">
      <c r="A159" s="1">
        <v>45664.541666666664</v>
      </c>
      <c r="B159" t="s">
        <v>8</v>
      </c>
      <c r="C159">
        <v>333.51</v>
      </c>
      <c r="D159">
        <v>47.8</v>
      </c>
      <c r="E159" t="s">
        <v>9</v>
      </c>
      <c r="F159">
        <v>38.659999999999997</v>
      </c>
      <c r="G159" t="s">
        <v>10</v>
      </c>
      <c r="H159" t="s">
        <v>13</v>
      </c>
    </row>
    <row r="160" spans="1:8" x14ac:dyDescent="0.25">
      <c r="A160" s="1">
        <v>45664.583333333336</v>
      </c>
      <c r="B160" t="s">
        <v>8</v>
      </c>
      <c r="C160">
        <v>339.67</v>
      </c>
      <c r="D160">
        <v>36.450000000000003</v>
      </c>
      <c r="E160" t="s">
        <v>9</v>
      </c>
      <c r="F160">
        <v>56.98</v>
      </c>
      <c r="G160" t="s">
        <v>10</v>
      </c>
      <c r="H160" t="s">
        <v>12</v>
      </c>
    </row>
    <row r="161" spans="1:8" x14ac:dyDescent="0.25">
      <c r="A161" s="1">
        <v>45664.625</v>
      </c>
      <c r="B161" t="s">
        <v>8</v>
      </c>
      <c r="C161">
        <v>381.22</v>
      </c>
      <c r="D161">
        <v>39.92</v>
      </c>
      <c r="E161" t="s">
        <v>9</v>
      </c>
      <c r="F161">
        <v>60.36</v>
      </c>
      <c r="G161" t="s">
        <v>10</v>
      </c>
      <c r="H161" t="s">
        <v>11</v>
      </c>
    </row>
    <row r="162" spans="1:8" x14ac:dyDescent="0.25">
      <c r="A162" s="1">
        <v>45664.666666666664</v>
      </c>
      <c r="B162" t="s">
        <v>8</v>
      </c>
      <c r="C162">
        <v>481.59</v>
      </c>
      <c r="D162">
        <v>29.59</v>
      </c>
      <c r="E162" t="s">
        <v>9</v>
      </c>
      <c r="F162">
        <v>73.040000000000006</v>
      </c>
      <c r="G162" t="s">
        <v>10</v>
      </c>
      <c r="H162" t="s">
        <v>12</v>
      </c>
    </row>
    <row r="163" spans="1:8" x14ac:dyDescent="0.25">
      <c r="A163" s="1">
        <v>45664.708333333336</v>
      </c>
      <c r="B163" t="s">
        <v>8</v>
      </c>
      <c r="C163">
        <v>233.05</v>
      </c>
      <c r="D163">
        <v>75.760000000000005</v>
      </c>
      <c r="E163" t="s">
        <v>9</v>
      </c>
      <c r="F163">
        <v>38.630000000000003</v>
      </c>
      <c r="G163" t="s">
        <v>10</v>
      </c>
      <c r="H163" t="s">
        <v>12</v>
      </c>
    </row>
    <row r="164" spans="1:8" x14ac:dyDescent="0.25">
      <c r="A164" s="1">
        <v>45664.75</v>
      </c>
      <c r="B164" t="s">
        <v>8</v>
      </c>
      <c r="C164">
        <v>475.47</v>
      </c>
      <c r="D164">
        <v>65.209999999999994</v>
      </c>
      <c r="E164" t="s">
        <v>9</v>
      </c>
      <c r="F164">
        <v>56.12</v>
      </c>
      <c r="G164" t="s">
        <v>10</v>
      </c>
      <c r="H164" t="s">
        <v>12</v>
      </c>
    </row>
    <row r="165" spans="1:8" x14ac:dyDescent="0.25">
      <c r="A165" s="1">
        <v>45664.791666666664</v>
      </c>
      <c r="B165" t="s">
        <v>8</v>
      </c>
      <c r="C165">
        <v>283.11</v>
      </c>
      <c r="D165">
        <v>14.61</v>
      </c>
      <c r="E165" t="s">
        <v>9</v>
      </c>
      <c r="F165">
        <v>55.36</v>
      </c>
      <c r="G165" t="s">
        <v>10</v>
      </c>
      <c r="H165" t="s">
        <v>11</v>
      </c>
    </row>
    <row r="166" spans="1:8" x14ac:dyDescent="0.25">
      <c r="A166" s="1">
        <v>45664.833333333336</v>
      </c>
      <c r="B166" t="s">
        <v>8</v>
      </c>
      <c r="C166">
        <v>115.48</v>
      </c>
      <c r="D166">
        <v>85.12</v>
      </c>
      <c r="E166" t="s">
        <v>14</v>
      </c>
      <c r="F166">
        <v>46.15</v>
      </c>
      <c r="G166" t="s">
        <v>10</v>
      </c>
      <c r="H166" t="s">
        <v>12</v>
      </c>
    </row>
    <row r="167" spans="1:8" x14ac:dyDescent="0.25">
      <c r="A167" s="1">
        <v>45664.875</v>
      </c>
      <c r="B167" t="s">
        <v>8</v>
      </c>
      <c r="C167">
        <v>222.31</v>
      </c>
      <c r="D167">
        <v>28.4</v>
      </c>
      <c r="E167" t="s">
        <v>9</v>
      </c>
      <c r="F167">
        <v>51.1</v>
      </c>
      <c r="G167" t="s">
        <v>10</v>
      </c>
      <c r="H167" t="s">
        <v>13</v>
      </c>
    </row>
    <row r="168" spans="1:8" x14ac:dyDescent="0.25">
      <c r="A168" s="1">
        <v>45664.916666666664</v>
      </c>
      <c r="B168" t="s">
        <v>8</v>
      </c>
      <c r="C168">
        <v>332.61</v>
      </c>
      <c r="D168">
        <v>81.23</v>
      </c>
      <c r="E168" t="s">
        <v>9</v>
      </c>
      <c r="F168">
        <v>54.94</v>
      </c>
      <c r="G168" t="s">
        <v>10</v>
      </c>
      <c r="H168" t="s">
        <v>13</v>
      </c>
    </row>
    <row r="169" spans="1:8" x14ac:dyDescent="0.25">
      <c r="A169" s="1">
        <v>45664.958333333336</v>
      </c>
      <c r="B169" t="s">
        <v>8</v>
      </c>
      <c r="C169">
        <v>382.52</v>
      </c>
      <c r="D169">
        <v>16.36</v>
      </c>
      <c r="E169" t="s">
        <v>9</v>
      </c>
      <c r="F169">
        <v>62.47</v>
      </c>
      <c r="G169" t="s">
        <v>10</v>
      </c>
      <c r="H169" t="s">
        <v>11</v>
      </c>
    </row>
    <row r="170" spans="1:8" x14ac:dyDescent="0.25">
      <c r="A170" s="1">
        <v>45665</v>
      </c>
      <c r="B170" t="s">
        <v>8</v>
      </c>
      <c r="C170">
        <v>269.56</v>
      </c>
      <c r="D170">
        <v>30.54</v>
      </c>
      <c r="E170" t="s">
        <v>9</v>
      </c>
      <c r="F170">
        <v>67.61</v>
      </c>
      <c r="G170" t="s">
        <v>10</v>
      </c>
      <c r="H170" t="s">
        <v>11</v>
      </c>
    </row>
    <row r="171" spans="1:8" x14ac:dyDescent="0.25">
      <c r="A171" s="1">
        <v>45665.041666666664</v>
      </c>
      <c r="B171" t="s">
        <v>8</v>
      </c>
      <c r="C171">
        <v>498.04</v>
      </c>
      <c r="D171">
        <v>52.9</v>
      </c>
      <c r="E171" t="s">
        <v>9</v>
      </c>
      <c r="F171">
        <v>59.15</v>
      </c>
      <c r="G171" t="s">
        <v>10</v>
      </c>
      <c r="H171" t="s">
        <v>13</v>
      </c>
    </row>
    <row r="172" spans="1:8" x14ac:dyDescent="0.25">
      <c r="A172" s="1">
        <v>45665.083333333336</v>
      </c>
      <c r="B172" t="s">
        <v>8</v>
      </c>
      <c r="C172">
        <v>180.95</v>
      </c>
      <c r="D172">
        <v>84.38</v>
      </c>
      <c r="E172" t="s">
        <v>9</v>
      </c>
      <c r="F172">
        <v>84.27</v>
      </c>
      <c r="G172" t="s">
        <v>10</v>
      </c>
      <c r="H172" t="s">
        <v>13</v>
      </c>
    </row>
    <row r="173" spans="1:8" x14ac:dyDescent="0.25">
      <c r="A173" s="1">
        <v>45665.125</v>
      </c>
      <c r="B173" t="s">
        <v>8</v>
      </c>
      <c r="C173">
        <v>373.41</v>
      </c>
      <c r="D173">
        <v>61.48</v>
      </c>
      <c r="E173" t="s">
        <v>9</v>
      </c>
      <c r="F173">
        <v>59.54</v>
      </c>
      <c r="G173" t="s">
        <v>10</v>
      </c>
      <c r="H173" t="s">
        <v>13</v>
      </c>
    </row>
    <row r="174" spans="1:8" x14ac:dyDescent="0.25">
      <c r="A174" s="1">
        <v>45665.166666666664</v>
      </c>
      <c r="B174" t="s">
        <v>8</v>
      </c>
      <c r="C174">
        <v>86.76</v>
      </c>
      <c r="D174">
        <v>31.64</v>
      </c>
      <c r="E174" t="s">
        <v>9</v>
      </c>
      <c r="F174">
        <v>45.02</v>
      </c>
      <c r="G174" t="s">
        <v>10</v>
      </c>
      <c r="H174" t="s">
        <v>13</v>
      </c>
    </row>
    <row r="175" spans="1:8" x14ac:dyDescent="0.25">
      <c r="A175" s="1">
        <v>45665.208333333336</v>
      </c>
      <c r="B175" t="s">
        <v>8</v>
      </c>
      <c r="C175">
        <v>200.93</v>
      </c>
      <c r="D175">
        <v>91.13</v>
      </c>
      <c r="E175" t="s">
        <v>14</v>
      </c>
      <c r="F175">
        <v>61.98</v>
      </c>
      <c r="G175" t="s">
        <v>10</v>
      </c>
      <c r="H175" t="s">
        <v>12</v>
      </c>
    </row>
    <row r="176" spans="1:8" x14ac:dyDescent="0.25">
      <c r="A176" s="1">
        <v>45665.25</v>
      </c>
      <c r="B176" t="s">
        <v>8</v>
      </c>
      <c r="C176">
        <v>336.69</v>
      </c>
      <c r="D176">
        <v>86.79</v>
      </c>
      <c r="E176" t="s">
        <v>14</v>
      </c>
      <c r="F176">
        <v>57.39</v>
      </c>
      <c r="G176" t="s">
        <v>10</v>
      </c>
      <c r="H176" t="s">
        <v>13</v>
      </c>
    </row>
    <row r="177" spans="1:8" x14ac:dyDescent="0.25">
      <c r="A177" s="1">
        <v>45665.291666666664</v>
      </c>
      <c r="B177" t="s">
        <v>8</v>
      </c>
      <c r="C177">
        <v>468.47</v>
      </c>
      <c r="D177">
        <v>51.15</v>
      </c>
      <c r="E177" t="s">
        <v>9</v>
      </c>
      <c r="F177">
        <v>40.9</v>
      </c>
      <c r="G177" t="s">
        <v>10</v>
      </c>
      <c r="H177" t="s">
        <v>12</v>
      </c>
    </row>
    <row r="178" spans="1:8" x14ac:dyDescent="0.25">
      <c r="A178" s="1">
        <v>45665.333333333336</v>
      </c>
      <c r="B178" t="s">
        <v>8</v>
      </c>
      <c r="C178">
        <v>149.21</v>
      </c>
      <c r="D178">
        <v>27.34</v>
      </c>
      <c r="E178" t="s">
        <v>9</v>
      </c>
      <c r="F178">
        <v>54.38</v>
      </c>
      <c r="G178" t="s">
        <v>10</v>
      </c>
      <c r="H178" t="s">
        <v>11</v>
      </c>
    </row>
    <row r="179" spans="1:8" x14ac:dyDescent="0.25">
      <c r="A179" s="1">
        <v>45665.375</v>
      </c>
      <c r="B179" t="s">
        <v>8</v>
      </c>
      <c r="C179">
        <v>470.11</v>
      </c>
      <c r="D179">
        <v>89.55</v>
      </c>
      <c r="E179" t="s">
        <v>14</v>
      </c>
      <c r="F179">
        <v>37.51</v>
      </c>
      <c r="G179" t="s">
        <v>10</v>
      </c>
      <c r="H179" t="s">
        <v>12</v>
      </c>
    </row>
    <row r="180" spans="1:8" x14ac:dyDescent="0.25">
      <c r="A180" s="1">
        <v>45665.416666666664</v>
      </c>
      <c r="B180" t="s">
        <v>8</v>
      </c>
      <c r="C180">
        <v>87.9</v>
      </c>
      <c r="D180">
        <v>93.76</v>
      </c>
      <c r="E180" t="s">
        <v>14</v>
      </c>
      <c r="F180">
        <v>69.98</v>
      </c>
      <c r="G180" t="s">
        <v>10</v>
      </c>
      <c r="H180" t="s">
        <v>11</v>
      </c>
    </row>
    <row r="181" spans="1:8" x14ac:dyDescent="0.25">
      <c r="A181" s="1">
        <v>45665.458333333336</v>
      </c>
      <c r="B181" t="s">
        <v>8</v>
      </c>
      <c r="C181">
        <v>371.7</v>
      </c>
      <c r="D181">
        <v>48.81</v>
      </c>
      <c r="E181" t="s">
        <v>9</v>
      </c>
      <c r="F181">
        <v>48.39</v>
      </c>
      <c r="G181" t="s">
        <v>10</v>
      </c>
      <c r="H181" t="s">
        <v>11</v>
      </c>
    </row>
    <row r="182" spans="1:8" x14ac:dyDescent="0.25">
      <c r="A182" s="1">
        <v>45665.5</v>
      </c>
      <c r="B182" t="s">
        <v>8</v>
      </c>
      <c r="C182">
        <v>484.02</v>
      </c>
      <c r="D182">
        <v>37.44</v>
      </c>
      <c r="E182" t="s">
        <v>9</v>
      </c>
      <c r="F182">
        <v>58.78</v>
      </c>
      <c r="G182" t="s">
        <v>10</v>
      </c>
      <c r="H182" t="s">
        <v>11</v>
      </c>
    </row>
    <row r="183" spans="1:8" x14ac:dyDescent="0.25">
      <c r="A183" s="1">
        <v>45665.541666666664</v>
      </c>
      <c r="B183" t="s">
        <v>8</v>
      </c>
      <c r="C183">
        <v>353.04</v>
      </c>
      <c r="D183">
        <v>63.77</v>
      </c>
      <c r="E183" t="s">
        <v>9</v>
      </c>
      <c r="F183">
        <v>83.55</v>
      </c>
      <c r="G183" t="s">
        <v>10</v>
      </c>
      <c r="H183" t="s">
        <v>11</v>
      </c>
    </row>
    <row r="184" spans="1:8" x14ac:dyDescent="0.25">
      <c r="A184" s="1">
        <v>45665.583333333336</v>
      </c>
      <c r="B184" t="s">
        <v>8</v>
      </c>
      <c r="C184">
        <v>279.12</v>
      </c>
      <c r="D184">
        <v>16</v>
      </c>
      <c r="E184" t="s">
        <v>9</v>
      </c>
      <c r="F184">
        <v>54.41</v>
      </c>
      <c r="G184" t="s">
        <v>10</v>
      </c>
      <c r="H184" t="s">
        <v>12</v>
      </c>
    </row>
    <row r="185" spans="1:8" x14ac:dyDescent="0.25">
      <c r="A185" s="1">
        <v>45665.625</v>
      </c>
      <c r="B185" t="s">
        <v>8</v>
      </c>
      <c r="C185">
        <v>289.99</v>
      </c>
      <c r="D185">
        <v>94.68</v>
      </c>
      <c r="E185" t="s">
        <v>14</v>
      </c>
      <c r="F185">
        <v>78.03</v>
      </c>
      <c r="G185" t="s">
        <v>10</v>
      </c>
      <c r="H185" t="s">
        <v>11</v>
      </c>
    </row>
    <row r="186" spans="1:8" x14ac:dyDescent="0.25">
      <c r="A186" s="1">
        <v>45665.666666666664</v>
      </c>
      <c r="B186" t="s">
        <v>8</v>
      </c>
      <c r="C186">
        <v>157.55000000000001</v>
      </c>
      <c r="D186">
        <v>36.79</v>
      </c>
      <c r="E186" t="s">
        <v>9</v>
      </c>
      <c r="F186">
        <v>54.67</v>
      </c>
      <c r="G186" t="s">
        <v>10</v>
      </c>
      <c r="H186" t="s">
        <v>13</v>
      </c>
    </row>
    <row r="187" spans="1:8" x14ac:dyDescent="0.25">
      <c r="A187" s="1">
        <v>45665.708333333336</v>
      </c>
      <c r="B187" t="s">
        <v>8</v>
      </c>
      <c r="C187">
        <v>466.28</v>
      </c>
      <c r="D187">
        <v>43.66</v>
      </c>
      <c r="E187" t="s">
        <v>9</v>
      </c>
      <c r="F187">
        <v>36.22</v>
      </c>
      <c r="G187" t="s">
        <v>10</v>
      </c>
      <c r="H187" t="s">
        <v>12</v>
      </c>
    </row>
    <row r="188" spans="1:8" x14ac:dyDescent="0.25">
      <c r="A188" s="1">
        <v>45665.75</v>
      </c>
      <c r="B188" t="s">
        <v>8</v>
      </c>
      <c r="C188">
        <v>202.33</v>
      </c>
      <c r="D188">
        <v>14.58</v>
      </c>
      <c r="E188" t="s">
        <v>9</v>
      </c>
      <c r="F188">
        <v>70.819999999999993</v>
      </c>
      <c r="G188" t="s">
        <v>10</v>
      </c>
      <c r="H188" t="s">
        <v>12</v>
      </c>
    </row>
    <row r="189" spans="1:8" x14ac:dyDescent="0.25">
      <c r="A189" s="1">
        <v>45665.791666666664</v>
      </c>
      <c r="B189" t="s">
        <v>8</v>
      </c>
      <c r="C189">
        <v>233.57</v>
      </c>
      <c r="D189">
        <v>93.4</v>
      </c>
      <c r="E189" t="s">
        <v>14</v>
      </c>
      <c r="F189">
        <v>69.010000000000005</v>
      </c>
      <c r="G189" t="s">
        <v>10</v>
      </c>
      <c r="H189" t="s">
        <v>11</v>
      </c>
    </row>
    <row r="190" spans="1:8" x14ac:dyDescent="0.25">
      <c r="A190" s="1">
        <v>45665.833333333336</v>
      </c>
      <c r="B190" t="s">
        <v>8</v>
      </c>
      <c r="C190">
        <v>64.180000000000007</v>
      </c>
      <c r="D190">
        <v>23.85</v>
      </c>
      <c r="E190" t="s">
        <v>9</v>
      </c>
      <c r="F190">
        <v>67.989999999999995</v>
      </c>
      <c r="G190" t="s">
        <v>10</v>
      </c>
      <c r="H190" t="s">
        <v>13</v>
      </c>
    </row>
    <row r="191" spans="1:8" x14ac:dyDescent="0.25">
      <c r="A191" s="1">
        <v>45665.875</v>
      </c>
      <c r="B191" t="s">
        <v>8</v>
      </c>
      <c r="C191">
        <v>215.93</v>
      </c>
      <c r="D191">
        <v>76.349999999999994</v>
      </c>
      <c r="E191" t="s">
        <v>9</v>
      </c>
      <c r="F191">
        <v>78.66</v>
      </c>
      <c r="G191" t="s">
        <v>10</v>
      </c>
      <c r="H191" t="s">
        <v>11</v>
      </c>
    </row>
    <row r="192" spans="1:8" x14ac:dyDescent="0.25">
      <c r="A192" s="1">
        <v>45665.916666666664</v>
      </c>
      <c r="B192" t="s">
        <v>8</v>
      </c>
      <c r="C192">
        <v>429.88</v>
      </c>
      <c r="D192">
        <v>25.29</v>
      </c>
      <c r="E192" t="s">
        <v>9</v>
      </c>
      <c r="F192">
        <v>61.21</v>
      </c>
      <c r="G192" t="s">
        <v>10</v>
      </c>
      <c r="H192" t="s">
        <v>11</v>
      </c>
    </row>
    <row r="193" spans="1:8" x14ac:dyDescent="0.25">
      <c r="A193" s="1">
        <v>45665.958333333336</v>
      </c>
      <c r="B193" t="s">
        <v>8</v>
      </c>
      <c r="C193">
        <v>352.56</v>
      </c>
      <c r="D193">
        <v>69.819999999999993</v>
      </c>
      <c r="E193" t="s">
        <v>9</v>
      </c>
      <c r="F193">
        <v>50.49</v>
      </c>
      <c r="G193" t="s">
        <v>10</v>
      </c>
      <c r="H193" t="s">
        <v>12</v>
      </c>
    </row>
    <row r="194" spans="1:8" x14ac:dyDescent="0.25">
      <c r="A194" s="1">
        <v>45666</v>
      </c>
      <c r="B194" t="s">
        <v>8</v>
      </c>
      <c r="C194">
        <v>421.49</v>
      </c>
      <c r="D194">
        <v>78.099999999999994</v>
      </c>
      <c r="E194" t="s">
        <v>9</v>
      </c>
      <c r="F194">
        <v>42.05</v>
      </c>
      <c r="G194" t="s">
        <v>10</v>
      </c>
      <c r="H194" t="s">
        <v>13</v>
      </c>
    </row>
    <row r="195" spans="1:8" x14ac:dyDescent="0.25">
      <c r="A195" s="1">
        <v>45666.041666666664</v>
      </c>
      <c r="B195" t="s">
        <v>8</v>
      </c>
      <c r="C195">
        <v>485.69</v>
      </c>
      <c r="D195">
        <v>25.97</v>
      </c>
      <c r="E195" t="s">
        <v>9</v>
      </c>
      <c r="F195">
        <v>86.45</v>
      </c>
      <c r="G195" t="s">
        <v>10</v>
      </c>
      <c r="H195" t="s">
        <v>11</v>
      </c>
    </row>
    <row r="196" spans="1:8" x14ac:dyDescent="0.25">
      <c r="A196" s="1">
        <v>45666.083333333336</v>
      </c>
      <c r="B196" t="s">
        <v>8</v>
      </c>
      <c r="C196">
        <v>72.44</v>
      </c>
      <c r="D196">
        <v>26.15</v>
      </c>
      <c r="E196" t="s">
        <v>9</v>
      </c>
      <c r="F196">
        <v>62.25</v>
      </c>
      <c r="G196" t="s">
        <v>10</v>
      </c>
      <c r="H196" t="s">
        <v>11</v>
      </c>
    </row>
    <row r="197" spans="1:8" x14ac:dyDescent="0.25">
      <c r="A197" s="1">
        <v>45666.125</v>
      </c>
      <c r="B197" t="s">
        <v>8</v>
      </c>
      <c r="C197">
        <v>173.09</v>
      </c>
      <c r="D197">
        <v>46.36</v>
      </c>
      <c r="E197" t="s">
        <v>9</v>
      </c>
      <c r="F197">
        <v>88.97</v>
      </c>
      <c r="G197" t="s">
        <v>10</v>
      </c>
      <c r="H197" t="s">
        <v>12</v>
      </c>
    </row>
    <row r="198" spans="1:8" x14ac:dyDescent="0.25">
      <c r="A198" s="1">
        <v>45666.166666666664</v>
      </c>
      <c r="B198" t="s">
        <v>8</v>
      </c>
      <c r="C198">
        <v>276.18</v>
      </c>
      <c r="D198">
        <v>34.880000000000003</v>
      </c>
      <c r="E198" t="s">
        <v>9</v>
      </c>
      <c r="F198">
        <v>72.08</v>
      </c>
      <c r="G198" t="s">
        <v>10</v>
      </c>
      <c r="H198" t="s">
        <v>12</v>
      </c>
    </row>
    <row r="199" spans="1:8" x14ac:dyDescent="0.25">
      <c r="A199" s="1">
        <v>45666.208333333336</v>
      </c>
      <c r="B199" t="s">
        <v>8</v>
      </c>
      <c r="C199">
        <v>469.52</v>
      </c>
      <c r="D199">
        <v>67.95</v>
      </c>
      <c r="E199" t="s">
        <v>9</v>
      </c>
      <c r="F199">
        <v>79.36</v>
      </c>
      <c r="G199" t="s">
        <v>10</v>
      </c>
      <c r="H199" t="s">
        <v>11</v>
      </c>
    </row>
    <row r="200" spans="1:8" x14ac:dyDescent="0.25">
      <c r="A200" s="1">
        <v>45666.25</v>
      </c>
      <c r="B200" t="s">
        <v>8</v>
      </c>
      <c r="C200">
        <v>478.99</v>
      </c>
      <c r="D200">
        <v>87.15</v>
      </c>
      <c r="E200" t="s">
        <v>14</v>
      </c>
      <c r="F200">
        <v>72.819999999999993</v>
      </c>
      <c r="G200" t="s">
        <v>10</v>
      </c>
      <c r="H200" t="s">
        <v>11</v>
      </c>
    </row>
    <row r="201" spans="1:8" x14ac:dyDescent="0.25">
      <c r="A201" s="1">
        <v>45666.291666666664</v>
      </c>
      <c r="B201" t="s">
        <v>8</v>
      </c>
      <c r="C201">
        <v>82.5</v>
      </c>
      <c r="D201">
        <v>69.44</v>
      </c>
      <c r="E201" t="s">
        <v>9</v>
      </c>
      <c r="F201">
        <v>60.19</v>
      </c>
      <c r="G201" t="s">
        <v>10</v>
      </c>
      <c r="H201" t="s">
        <v>13</v>
      </c>
    </row>
    <row r="202" spans="1:8" x14ac:dyDescent="0.25">
      <c r="A202" s="1">
        <v>45666.333333333336</v>
      </c>
      <c r="B202" t="s">
        <v>8</v>
      </c>
      <c r="C202">
        <v>268.38</v>
      </c>
      <c r="D202">
        <v>26.1</v>
      </c>
      <c r="E202" t="s">
        <v>9</v>
      </c>
      <c r="F202">
        <v>68.900000000000006</v>
      </c>
      <c r="G202" t="s">
        <v>10</v>
      </c>
      <c r="H202" t="s">
        <v>12</v>
      </c>
    </row>
    <row r="203" spans="1:8" x14ac:dyDescent="0.25">
      <c r="A203" s="1">
        <v>45666.375</v>
      </c>
      <c r="B203" t="s">
        <v>8</v>
      </c>
      <c r="C203">
        <v>436.97</v>
      </c>
      <c r="D203">
        <v>31.26</v>
      </c>
      <c r="E203" t="s">
        <v>9</v>
      </c>
      <c r="F203">
        <v>66.47</v>
      </c>
      <c r="G203" t="s">
        <v>10</v>
      </c>
      <c r="H203" t="s">
        <v>11</v>
      </c>
    </row>
    <row r="204" spans="1:8" x14ac:dyDescent="0.25">
      <c r="A204" s="1">
        <v>45666.416666666664</v>
      </c>
      <c r="B204" t="s">
        <v>8</v>
      </c>
      <c r="C204">
        <v>483.05</v>
      </c>
      <c r="D204">
        <v>55.99</v>
      </c>
      <c r="E204" t="s">
        <v>9</v>
      </c>
      <c r="F204">
        <v>34.369999999999997</v>
      </c>
      <c r="G204" t="s">
        <v>10</v>
      </c>
      <c r="H204" t="s">
        <v>13</v>
      </c>
    </row>
    <row r="205" spans="1:8" x14ac:dyDescent="0.25">
      <c r="A205" s="1">
        <v>45666.458333333336</v>
      </c>
      <c r="B205" t="s">
        <v>8</v>
      </c>
      <c r="C205">
        <v>169.8</v>
      </c>
      <c r="D205">
        <v>16.54</v>
      </c>
      <c r="E205" t="s">
        <v>9</v>
      </c>
      <c r="F205">
        <v>37.17</v>
      </c>
      <c r="G205" t="s">
        <v>10</v>
      </c>
      <c r="H205" t="s">
        <v>11</v>
      </c>
    </row>
    <row r="206" spans="1:8" x14ac:dyDescent="0.25">
      <c r="A206" s="1">
        <v>45666.5</v>
      </c>
      <c r="B206" t="s">
        <v>8</v>
      </c>
      <c r="C206">
        <v>470.49</v>
      </c>
      <c r="D206">
        <v>30.72</v>
      </c>
      <c r="E206" t="s">
        <v>9</v>
      </c>
      <c r="F206">
        <v>74.099999999999994</v>
      </c>
      <c r="G206" t="s">
        <v>10</v>
      </c>
      <c r="H206" t="s">
        <v>11</v>
      </c>
    </row>
    <row r="207" spans="1:8" x14ac:dyDescent="0.25">
      <c r="A207" s="1">
        <v>45666.541666666664</v>
      </c>
      <c r="B207" t="s">
        <v>8</v>
      </c>
      <c r="C207">
        <v>109.61</v>
      </c>
      <c r="D207">
        <v>58.3</v>
      </c>
      <c r="E207" t="s">
        <v>9</v>
      </c>
      <c r="F207">
        <v>62.77</v>
      </c>
      <c r="G207" t="s">
        <v>10</v>
      </c>
      <c r="H207" t="s">
        <v>13</v>
      </c>
    </row>
    <row r="208" spans="1:8" x14ac:dyDescent="0.25">
      <c r="A208" s="1">
        <v>45666.583333333336</v>
      </c>
      <c r="B208" t="s">
        <v>8</v>
      </c>
      <c r="C208">
        <v>167.3</v>
      </c>
      <c r="D208">
        <v>38.049999999999997</v>
      </c>
      <c r="E208" t="s">
        <v>9</v>
      </c>
      <c r="F208">
        <v>30.04</v>
      </c>
      <c r="G208" t="s">
        <v>10</v>
      </c>
      <c r="H208" t="s">
        <v>11</v>
      </c>
    </row>
    <row r="209" spans="1:8" x14ac:dyDescent="0.25">
      <c r="A209" s="1">
        <v>45666.625</v>
      </c>
      <c r="B209" t="s">
        <v>8</v>
      </c>
      <c r="C209">
        <v>94.66</v>
      </c>
      <c r="D209">
        <v>21.34</v>
      </c>
      <c r="E209" t="s">
        <v>9</v>
      </c>
      <c r="F209">
        <v>45.76</v>
      </c>
      <c r="G209" t="s">
        <v>10</v>
      </c>
      <c r="H209" t="s">
        <v>12</v>
      </c>
    </row>
    <row r="210" spans="1:8" x14ac:dyDescent="0.25">
      <c r="A210" s="1">
        <v>45666.666666666664</v>
      </c>
      <c r="B210" t="s">
        <v>8</v>
      </c>
      <c r="C210">
        <v>251.38</v>
      </c>
      <c r="D210">
        <v>22.26</v>
      </c>
      <c r="E210" t="s">
        <v>9</v>
      </c>
      <c r="F210">
        <v>30.96</v>
      </c>
      <c r="G210" t="s">
        <v>10</v>
      </c>
      <c r="H210" t="s">
        <v>13</v>
      </c>
    </row>
    <row r="211" spans="1:8" x14ac:dyDescent="0.25">
      <c r="A211" s="1">
        <v>45666.708333333336</v>
      </c>
      <c r="B211" t="s">
        <v>8</v>
      </c>
      <c r="C211">
        <v>330.41</v>
      </c>
      <c r="D211">
        <v>42.84</v>
      </c>
      <c r="E211" t="s">
        <v>9</v>
      </c>
      <c r="F211">
        <v>77.33</v>
      </c>
      <c r="G211" t="s">
        <v>10</v>
      </c>
      <c r="H211" t="s">
        <v>11</v>
      </c>
    </row>
    <row r="212" spans="1:8" x14ac:dyDescent="0.25">
      <c r="A212" s="1">
        <v>45666.75</v>
      </c>
      <c r="B212" t="s">
        <v>8</v>
      </c>
      <c r="C212">
        <v>337.64</v>
      </c>
      <c r="D212">
        <v>33.1</v>
      </c>
      <c r="E212" t="s">
        <v>9</v>
      </c>
      <c r="F212">
        <v>72.819999999999993</v>
      </c>
      <c r="G212" t="s">
        <v>10</v>
      </c>
      <c r="H212" t="s">
        <v>13</v>
      </c>
    </row>
    <row r="213" spans="1:8" x14ac:dyDescent="0.25">
      <c r="A213" s="1">
        <v>45666.791666666664</v>
      </c>
      <c r="B213" t="s">
        <v>8</v>
      </c>
      <c r="C213">
        <v>107.06</v>
      </c>
      <c r="D213">
        <v>84.2</v>
      </c>
      <c r="E213" t="s">
        <v>9</v>
      </c>
      <c r="F213">
        <v>65.61</v>
      </c>
      <c r="G213" t="s">
        <v>10</v>
      </c>
      <c r="H213" t="s">
        <v>12</v>
      </c>
    </row>
    <row r="214" spans="1:8" x14ac:dyDescent="0.25">
      <c r="A214" s="1">
        <v>45666.833333333336</v>
      </c>
      <c r="B214" t="s">
        <v>8</v>
      </c>
      <c r="C214">
        <v>242.39</v>
      </c>
      <c r="D214">
        <v>27.03</v>
      </c>
      <c r="E214" t="s">
        <v>9</v>
      </c>
      <c r="F214">
        <v>72.02</v>
      </c>
      <c r="G214" t="s">
        <v>10</v>
      </c>
      <c r="H214" t="s">
        <v>12</v>
      </c>
    </row>
    <row r="215" spans="1:8" x14ac:dyDescent="0.25">
      <c r="A215" s="1">
        <v>45666.875</v>
      </c>
      <c r="B215" t="s">
        <v>8</v>
      </c>
      <c r="C215">
        <v>433.93</v>
      </c>
      <c r="D215">
        <v>61.09</v>
      </c>
      <c r="E215" t="s">
        <v>9</v>
      </c>
      <c r="F215">
        <v>34.74</v>
      </c>
      <c r="G215" t="s">
        <v>10</v>
      </c>
      <c r="H215" t="s">
        <v>11</v>
      </c>
    </row>
    <row r="216" spans="1:8" x14ac:dyDescent="0.25">
      <c r="A216" s="1">
        <v>45666.916666666664</v>
      </c>
      <c r="B216" t="s">
        <v>8</v>
      </c>
      <c r="C216">
        <v>471.27</v>
      </c>
      <c r="D216">
        <v>55.6</v>
      </c>
      <c r="E216" t="s">
        <v>9</v>
      </c>
      <c r="F216">
        <v>87.02</v>
      </c>
      <c r="G216" t="s">
        <v>10</v>
      </c>
      <c r="H216" t="s">
        <v>13</v>
      </c>
    </row>
    <row r="217" spans="1:8" x14ac:dyDescent="0.25">
      <c r="A217" s="1">
        <v>45666.958333333336</v>
      </c>
      <c r="B217" t="s">
        <v>8</v>
      </c>
      <c r="C217">
        <v>288.17</v>
      </c>
      <c r="D217">
        <v>61.34</v>
      </c>
      <c r="E217" t="s">
        <v>9</v>
      </c>
      <c r="F217">
        <v>77.81</v>
      </c>
      <c r="G217" t="s">
        <v>10</v>
      </c>
      <c r="H217" t="s">
        <v>11</v>
      </c>
    </row>
    <row r="218" spans="1:8" x14ac:dyDescent="0.25">
      <c r="A218" s="1">
        <v>45667</v>
      </c>
      <c r="B218" t="s">
        <v>8</v>
      </c>
      <c r="C218">
        <v>412.46</v>
      </c>
      <c r="D218">
        <v>41.43</v>
      </c>
      <c r="E218" t="s">
        <v>9</v>
      </c>
      <c r="F218">
        <v>33.33</v>
      </c>
      <c r="G218" t="s">
        <v>10</v>
      </c>
      <c r="H218" t="s">
        <v>13</v>
      </c>
    </row>
    <row r="219" spans="1:8" x14ac:dyDescent="0.25">
      <c r="A219" s="1">
        <v>45667.041666666664</v>
      </c>
      <c r="B219" t="s">
        <v>8</v>
      </c>
      <c r="C219">
        <v>314.56</v>
      </c>
      <c r="D219">
        <v>89.69</v>
      </c>
      <c r="E219" t="s">
        <v>14</v>
      </c>
      <c r="F219">
        <v>73.56</v>
      </c>
      <c r="G219" t="s">
        <v>10</v>
      </c>
      <c r="H219" t="s">
        <v>12</v>
      </c>
    </row>
    <row r="220" spans="1:8" x14ac:dyDescent="0.25">
      <c r="A220" s="1">
        <v>45667.083333333336</v>
      </c>
      <c r="B220" t="s">
        <v>8</v>
      </c>
      <c r="C220">
        <v>157.25</v>
      </c>
      <c r="D220">
        <v>78.31</v>
      </c>
      <c r="E220" t="s">
        <v>9</v>
      </c>
      <c r="F220">
        <v>59.19</v>
      </c>
      <c r="G220" t="s">
        <v>10</v>
      </c>
      <c r="H220" t="s">
        <v>11</v>
      </c>
    </row>
    <row r="221" spans="1:8" x14ac:dyDescent="0.25">
      <c r="A221" s="1">
        <v>45667.125</v>
      </c>
      <c r="B221" t="s">
        <v>8</v>
      </c>
      <c r="C221">
        <v>98.07</v>
      </c>
      <c r="D221">
        <v>33.35</v>
      </c>
      <c r="E221" t="s">
        <v>9</v>
      </c>
      <c r="F221">
        <v>86.96</v>
      </c>
      <c r="G221" t="s">
        <v>10</v>
      </c>
      <c r="H221" t="s">
        <v>12</v>
      </c>
    </row>
    <row r="222" spans="1:8" x14ac:dyDescent="0.25">
      <c r="A222" s="1">
        <v>45667.166666666664</v>
      </c>
      <c r="B222" t="s">
        <v>8</v>
      </c>
      <c r="C222">
        <v>400.29</v>
      </c>
      <c r="D222">
        <v>27.81</v>
      </c>
      <c r="E222" t="s">
        <v>9</v>
      </c>
      <c r="F222">
        <v>56.84</v>
      </c>
      <c r="G222" t="s">
        <v>10</v>
      </c>
      <c r="H222" t="s">
        <v>11</v>
      </c>
    </row>
    <row r="223" spans="1:8" x14ac:dyDescent="0.25">
      <c r="A223" s="1">
        <v>45667.208333333336</v>
      </c>
      <c r="B223" t="s">
        <v>8</v>
      </c>
      <c r="C223">
        <v>65.819999999999993</v>
      </c>
      <c r="D223">
        <v>40.17</v>
      </c>
      <c r="E223" t="s">
        <v>9</v>
      </c>
      <c r="F223">
        <v>62.65</v>
      </c>
      <c r="G223" t="s">
        <v>10</v>
      </c>
      <c r="H223" t="s">
        <v>13</v>
      </c>
    </row>
    <row r="224" spans="1:8" x14ac:dyDescent="0.25">
      <c r="A224" s="1">
        <v>45667.25</v>
      </c>
      <c r="B224" t="s">
        <v>8</v>
      </c>
      <c r="C224">
        <v>210.45</v>
      </c>
      <c r="D224">
        <v>50.23</v>
      </c>
      <c r="E224" t="s">
        <v>9</v>
      </c>
      <c r="F224">
        <v>87.93</v>
      </c>
      <c r="G224" t="s">
        <v>10</v>
      </c>
      <c r="H224" t="s">
        <v>11</v>
      </c>
    </row>
    <row r="225" spans="1:8" x14ac:dyDescent="0.25">
      <c r="A225" s="1">
        <v>45667.291666666664</v>
      </c>
      <c r="B225" t="s">
        <v>8</v>
      </c>
      <c r="C225">
        <v>133</v>
      </c>
      <c r="D225">
        <v>54.3</v>
      </c>
      <c r="E225" t="s">
        <v>9</v>
      </c>
      <c r="F225">
        <v>46.56</v>
      </c>
      <c r="G225" t="s">
        <v>10</v>
      </c>
      <c r="H225" t="s">
        <v>11</v>
      </c>
    </row>
    <row r="226" spans="1:8" x14ac:dyDescent="0.25">
      <c r="A226" s="1">
        <v>45667.333333333336</v>
      </c>
      <c r="B226" t="s">
        <v>8</v>
      </c>
      <c r="C226">
        <v>142.69</v>
      </c>
      <c r="D226">
        <v>71.459999999999994</v>
      </c>
      <c r="E226" t="s">
        <v>9</v>
      </c>
      <c r="F226">
        <v>31.27</v>
      </c>
      <c r="G226" t="s">
        <v>10</v>
      </c>
      <c r="H226" t="s">
        <v>12</v>
      </c>
    </row>
    <row r="227" spans="1:8" x14ac:dyDescent="0.25">
      <c r="A227" s="1">
        <v>45667.375</v>
      </c>
      <c r="B227" t="s">
        <v>8</v>
      </c>
      <c r="C227">
        <v>270.18</v>
      </c>
      <c r="D227">
        <v>37.17</v>
      </c>
      <c r="E227" t="s">
        <v>9</v>
      </c>
      <c r="F227">
        <v>73.37</v>
      </c>
      <c r="G227" t="s">
        <v>10</v>
      </c>
      <c r="H227" t="s">
        <v>11</v>
      </c>
    </row>
    <row r="228" spans="1:8" x14ac:dyDescent="0.25">
      <c r="A228" s="1">
        <v>45667.416666666664</v>
      </c>
      <c r="B228" t="s">
        <v>8</v>
      </c>
      <c r="C228">
        <v>142.24</v>
      </c>
      <c r="D228">
        <v>74.099999999999994</v>
      </c>
      <c r="E228" t="s">
        <v>9</v>
      </c>
      <c r="F228">
        <v>33.14</v>
      </c>
      <c r="G228" t="s">
        <v>10</v>
      </c>
      <c r="H228" t="s">
        <v>13</v>
      </c>
    </row>
    <row r="229" spans="1:8" x14ac:dyDescent="0.25">
      <c r="A229" s="1">
        <v>45667.458333333336</v>
      </c>
      <c r="B229" t="s">
        <v>8</v>
      </c>
      <c r="C229">
        <v>418.24</v>
      </c>
      <c r="D229">
        <v>69.349999999999994</v>
      </c>
      <c r="E229" t="s">
        <v>9</v>
      </c>
      <c r="F229">
        <v>41.01</v>
      </c>
      <c r="G229" t="s">
        <v>10</v>
      </c>
      <c r="H229" t="s">
        <v>12</v>
      </c>
    </row>
    <row r="230" spans="1:8" x14ac:dyDescent="0.25">
      <c r="A230" s="1">
        <v>45667.5</v>
      </c>
      <c r="B230" t="s">
        <v>8</v>
      </c>
      <c r="C230">
        <v>375.21</v>
      </c>
      <c r="D230">
        <v>39.869999999999997</v>
      </c>
      <c r="E230" t="s">
        <v>9</v>
      </c>
      <c r="F230">
        <v>84.35</v>
      </c>
      <c r="G230" t="s">
        <v>10</v>
      </c>
      <c r="H230" t="s">
        <v>13</v>
      </c>
    </row>
    <row r="231" spans="1:8" x14ac:dyDescent="0.25">
      <c r="A231" s="1">
        <v>45667.541666666664</v>
      </c>
      <c r="B231" t="s">
        <v>8</v>
      </c>
      <c r="C231">
        <v>170.39</v>
      </c>
      <c r="D231">
        <v>56.05</v>
      </c>
      <c r="E231" t="s">
        <v>9</v>
      </c>
      <c r="F231">
        <v>44.06</v>
      </c>
      <c r="G231" t="s">
        <v>10</v>
      </c>
      <c r="H231" t="s">
        <v>13</v>
      </c>
    </row>
    <row r="232" spans="1:8" x14ac:dyDescent="0.25">
      <c r="A232" s="1">
        <v>45667.583333333336</v>
      </c>
      <c r="B232" t="s">
        <v>8</v>
      </c>
      <c r="C232">
        <v>138.19</v>
      </c>
      <c r="D232">
        <v>90.45</v>
      </c>
      <c r="E232" t="s">
        <v>14</v>
      </c>
      <c r="F232">
        <v>88.59</v>
      </c>
      <c r="G232" t="s">
        <v>10</v>
      </c>
      <c r="H232" t="s">
        <v>11</v>
      </c>
    </row>
    <row r="233" spans="1:8" x14ac:dyDescent="0.25">
      <c r="A233" s="1">
        <v>45667.625</v>
      </c>
      <c r="B233" t="s">
        <v>8</v>
      </c>
      <c r="C233">
        <v>194.69</v>
      </c>
      <c r="D233">
        <v>16.809999999999999</v>
      </c>
      <c r="E233" t="s">
        <v>9</v>
      </c>
      <c r="F233">
        <v>37.630000000000003</v>
      </c>
      <c r="G233" t="s">
        <v>10</v>
      </c>
      <c r="H233" t="s">
        <v>11</v>
      </c>
    </row>
    <row r="234" spans="1:8" x14ac:dyDescent="0.25">
      <c r="A234" s="1">
        <v>45667.666666666664</v>
      </c>
      <c r="B234" t="s">
        <v>8</v>
      </c>
      <c r="C234">
        <v>366.08</v>
      </c>
      <c r="D234">
        <v>67.37</v>
      </c>
      <c r="E234" t="s">
        <v>9</v>
      </c>
      <c r="F234">
        <v>89.35</v>
      </c>
      <c r="G234" t="s">
        <v>10</v>
      </c>
      <c r="H234" t="s">
        <v>13</v>
      </c>
    </row>
    <row r="235" spans="1:8" x14ac:dyDescent="0.25">
      <c r="A235" s="1">
        <v>45667.708333333336</v>
      </c>
      <c r="B235" t="s">
        <v>8</v>
      </c>
      <c r="C235">
        <v>352.43</v>
      </c>
      <c r="D235">
        <v>18.21</v>
      </c>
      <c r="E235" t="s">
        <v>9</v>
      </c>
      <c r="F235">
        <v>36.82</v>
      </c>
      <c r="G235" t="s">
        <v>10</v>
      </c>
      <c r="H235" t="s">
        <v>12</v>
      </c>
    </row>
    <row r="236" spans="1:8" x14ac:dyDescent="0.25">
      <c r="A236" s="1">
        <v>45667.75</v>
      </c>
      <c r="B236" t="s">
        <v>8</v>
      </c>
      <c r="C236">
        <v>222.52</v>
      </c>
      <c r="D236">
        <v>81.81</v>
      </c>
      <c r="E236" t="s">
        <v>9</v>
      </c>
      <c r="F236">
        <v>81.92</v>
      </c>
      <c r="G236" t="s">
        <v>10</v>
      </c>
      <c r="H236" t="s">
        <v>12</v>
      </c>
    </row>
    <row r="237" spans="1:8" x14ac:dyDescent="0.25">
      <c r="A237" s="1">
        <v>45667.791666666664</v>
      </c>
      <c r="B237" t="s">
        <v>8</v>
      </c>
      <c r="C237">
        <v>279.38</v>
      </c>
      <c r="D237">
        <v>38.299999999999997</v>
      </c>
      <c r="E237" t="s">
        <v>9</v>
      </c>
      <c r="F237">
        <v>39.08</v>
      </c>
      <c r="G237" t="s">
        <v>10</v>
      </c>
      <c r="H237" t="s">
        <v>12</v>
      </c>
    </row>
    <row r="238" spans="1:8" x14ac:dyDescent="0.25">
      <c r="A238" s="1">
        <v>45667.833333333336</v>
      </c>
      <c r="B238" t="s">
        <v>8</v>
      </c>
      <c r="C238">
        <v>350.13</v>
      </c>
      <c r="D238">
        <v>30.25</v>
      </c>
      <c r="E238" t="s">
        <v>9</v>
      </c>
      <c r="F238">
        <v>82.81</v>
      </c>
      <c r="G238" t="s">
        <v>10</v>
      </c>
      <c r="H238" t="s">
        <v>12</v>
      </c>
    </row>
    <row r="239" spans="1:8" x14ac:dyDescent="0.25">
      <c r="A239" s="1">
        <v>45667.875</v>
      </c>
      <c r="B239" t="s">
        <v>8</v>
      </c>
      <c r="C239">
        <v>84.87</v>
      </c>
      <c r="D239">
        <v>15.46</v>
      </c>
      <c r="E239" t="s">
        <v>9</v>
      </c>
      <c r="F239">
        <v>36.14</v>
      </c>
      <c r="G239" t="s">
        <v>10</v>
      </c>
      <c r="H239" t="s">
        <v>13</v>
      </c>
    </row>
    <row r="240" spans="1:8" x14ac:dyDescent="0.25">
      <c r="A240" s="1">
        <v>45667.916666666664</v>
      </c>
      <c r="B240" t="s">
        <v>8</v>
      </c>
      <c r="C240">
        <v>469.94</v>
      </c>
      <c r="D240">
        <v>65.62</v>
      </c>
      <c r="E240" t="s">
        <v>9</v>
      </c>
      <c r="F240">
        <v>78.11</v>
      </c>
      <c r="G240" t="s">
        <v>10</v>
      </c>
      <c r="H240" t="s">
        <v>12</v>
      </c>
    </row>
    <row r="241" spans="1:8" x14ac:dyDescent="0.25">
      <c r="A241" s="1">
        <v>45667.958333333336</v>
      </c>
      <c r="B241" t="s">
        <v>8</v>
      </c>
      <c r="C241">
        <v>262.08999999999997</v>
      </c>
      <c r="D241">
        <v>93.47</v>
      </c>
      <c r="E241" t="s">
        <v>14</v>
      </c>
      <c r="F241">
        <v>74.42</v>
      </c>
      <c r="G241" t="s">
        <v>10</v>
      </c>
      <c r="H241" t="s">
        <v>12</v>
      </c>
    </row>
    <row r="242" spans="1:8" x14ac:dyDescent="0.25">
      <c r="A242" s="1">
        <v>45668</v>
      </c>
      <c r="B242" t="s">
        <v>8</v>
      </c>
      <c r="C242">
        <v>402.42</v>
      </c>
      <c r="D242">
        <v>27.63</v>
      </c>
      <c r="E242" t="s">
        <v>9</v>
      </c>
      <c r="F242">
        <v>60.74</v>
      </c>
      <c r="G242" t="s">
        <v>10</v>
      </c>
      <c r="H242" t="s">
        <v>13</v>
      </c>
    </row>
    <row r="243" spans="1:8" x14ac:dyDescent="0.25">
      <c r="A243" s="1">
        <v>45668.041666666664</v>
      </c>
      <c r="B243" t="s">
        <v>8</v>
      </c>
      <c r="C243">
        <v>231.63</v>
      </c>
      <c r="D243">
        <v>94.48</v>
      </c>
      <c r="E243" t="s">
        <v>14</v>
      </c>
      <c r="F243">
        <v>40.49</v>
      </c>
      <c r="G243" t="s">
        <v>10</v>
      </c>
      <c r="H243" t="s">
        <v>12</v>
      </c>
    </row>
    <row r="244" spans="1:8" x14ac:dyDescent="0.25">
      <c r="A244" s="1">
        <v>45668.083333333336</v>
      </c>
      <c r="B244" t="s">
        <v>8</v>
      </c>
      <c r="C244">
        <v>72.650000000000006</v>
      </c>
      <c r="D244">
        <v>19.09</v>
      </c>
      <c r="E244" t="s">
        <v>9</v>
      </c>
      <c r="F244">
        <v>41.24</v>
      </c>
      <c r="G244" t="s">
        <v>10</v>
      </c>
      <c r="H244" t="s">
        <v>12</v>
      </c>
    </row>
    <row r="245" spans="1:8" x14ac:dyDescent="0.25">
      <c r="A245" s="1">
        <v>45668.125</v>
      </c>
      <c r="B245" t="s">
        <v>8</v>
      </c>
      <c r="C245">
        <v>141.29</v>
      </c>
      <c r="D245">
        <v>74.39</v>
      </c>
      <c r="E245" t="s">
        <v>9</v>
      </c>
      <c r="F245">
        <v>89.74</v>
      </c>
      <c r="G245" t="s">
        <v>10</v>
      </c>
      <c r="H245" t="s">
        <v>13</v>
      </c>
    </row>
    <row r="246" spans="1:8" x14ac:dyDescent="0.25">
      <c r="A246" s="1">
        <v>45668.166666666664</v>
      </c>
      <c r="B246" t="s">
        <v>8</v>
      </c>
      <c r="C246">
        <v>272.07</v>
      </c>
      <c r="D246">
        <v>88.77</v>
      </c>
      <c r="E246" t="s">
        <v>14</v>
      </c>
      <c r="F246">
        <v>30.95</v>
      </c>
      <c r="G246" t="s">
        <v>10</v>
      </c>
      <c r="H246" t="s">
        <v>12</v>
      </c>
    </row>
    <row r="247" spans="1:8" x14ac:dyDescent="0.25">
      <c r="A247" s="1">
        <v>45668.208333333336</v>
      </c>
      <c r="B247" t="s">
        <v>8</v>
      </c>
      <c r="C247">
        <v>217.54</v>
      </c>
      <c r="D247">
        <v>34.630000000000003</v>
      </c>
      <c r="E247" t="s">
        <v>9</v>
      </c>
      <c r="F247">
        <v>59.34</v>
      </c>
      <c r="G247" t="s">
        <v>10</v>
      </c>
      <c r="H247" t="s">
        <v>11</v>
      </c>
    </row>
    <row r="248" spans="1:8" x14ac:dyDescent="0.25">
      <c r="A248" s="1">
        <v>45668.25</v>
      </c>
      <c r="B248" t="s">
        <v>8</v>
      </c>
      <c r="C248">
        <v>142.12</v>
      </c>
      <c r="D248">
        <v>59.88</v>
      </c>
      <c r="E248" t="s">
        <v>9</v>
      </c>
      <c r="F248">
        <v>68.97</v>
      </c>
      <c r="G248" t="s">
        <v>10</v>
      </c>
      <c r="H248" t="s">
        <v>13</v>
      </c>
    </row>
    <row r="249" spans="1:8" x14ac:dyDescent="0.25">
      <c r="A249" s="1">
        <v>45668.291666666664</v>
      </c>
      <c r="B249" t="s">
        <v>8</v>
      </c>
      <c r="C249">
        <v>73.77</v>
      </c>
      <c r="D249">
        <v>64.69</v>
      </c>
      <c r="E249" t="s">
        <v>9</v>
      </c>
      <c r="F249">
        <v>33.270000000000003</v>
      </c>
      <c r="G249" t="s">
        <v>10</v>
      </c>
      <c r="H249" t="s">
        <v>12</v>
      </c>
    </row>
    <row r="250" spans="1:8" x14ac:dyDescent="0.25">
      <c r="A250" s="1">
        <v>45668.333333333336</v>
      </c>
      <c r="B250" t="s">
        <v>8</v>
      </c>
      <c r="C250">
        <v>121.79</v>
      </c>
      <c r="D250">
        <v>85.73</v>
      </c>
      <c r="E250" t="s">
        <v>14</v>
      </c>
      <c r="F250">
        <v>30.6</v>
      </c>
      <c r="G250" t="s">
        <v>10</v>
      </c>
      <c r="H250" t="s">
        <v>11</v>
      </c>
    </row>
    <row r="251" spans="1:8" x14ac:dyDescent="0.25">
      <c r="A251" s="1">
        <v>45668.375</v>
      </c>
      <c r="B251" t="s">
        <v>8</v>
      </c>
      <c r="C251">
        <v>199.25</v>
      </c>
      <c r="D251">
        <v>72.569999999999993</v>
      </c>
      <c r="E251" t="s">
        <v>9</v>
      </c>
      <c r="F251">
        <v>60.47</v>
      </c>
      <c r="G251" t="s">
        <v>10</v>
      </c>
      <c r="H251" t="s">
        <v>12</v>
      </c>
    </row>
    <row r="252" spans="1:8" x14ac:dyDescent="0.25">
      <c r="A252" s="1">
        <v>45668.416666666664</v>
      </c>
      <c r="B252" t="s">
        <v>8</v>
      </c>
      <c r="C252">
        <v>99.56</v>
      </c>
      <c r="D252">
        <v>45.55</v>
      </c>
      <c r="E252" t="s">
        <v>9</v>
      </c>
      <c r="F252">
        <v>44.46</v>
      </c>
      <c r="G252" t="s">
        <v>10</v>
      </c>
      <c r="H252" t="s">
        <v>13</v>
      </c>
    </row>
    <row r="253" spans="1:8" x14ac:dyDescent="0.25">
      <c r="A253" s="1">
        <v>45668.458333333336</v>
      </c>
      <c r="B253" t="s">
        <v>8</v>
      </c>
      <c r="C253">
        <v>212.04</v>
      </c>
      <c r="D253">
        <v>21.27</v>
      </c>
      <c r="E253" t="s">
        <v>9</v>
      </c>
      <c r="F253">
        <v>45.41</v>
      </c>
      <c r="G253" t="s">
        <v>10</v>
      </c>
      <c r="H253" t="s">
        <v>11</v>
      </c>
    </row>
    <row r="254" spans="1:8" x14ac:dyDescent="0.25">
      <c r="A254" s="1">
        <v>45668.5</v>
      </c>
      <c r="B254" t="s">
        <v>8</v>
      </c>
      <c r="C254">
        <v>95.42</v>
      </c>
      <c r="D254">
        <v>30.13</v>
      </c>
      <c r="E254" t="s">
        <v>9</v>
      </c>
      <c r="F254">
        <v>89.99</v>
      </c>
      <c r="G254" t="s">
        <v>10</v>
      </c>
      <c r="H254" t="s">
        <v>12</v>
      </c>
    </row>
    <row r="255" spans="1:8" x14ac:dyDescent="0.25">
      <c r="A255" s="1">
        <v>45668.541666666664</v>
      </c>
      <c r="B255" t="s">
        <v>8</v>
      </c>
      <c r="C255">
        <v>361.37</v>
      </c>
      <c r="D255">
        <v>26.62</v>
      </c>
      <c r="E255" t="s">
        <v>9</v>
      </c>
      <c r="F255">
        <v>44.61</v>
      </c>
      <c r="G255" t="s">
        <v>10</v>
      </c>
      <c r="H255" t="s">
        <v>11</v>
      </c>
    </row>
    <row r="256" spans="1:8" x14ac:dyDescent="0.25">
      <c r="A256" s="1">
        <v>45668.583333333336</v>
      </c>
      <c r="B256" t="s">
        <v>8</v>
      </c>
      <c r="C256">
        <v>479.78</v>
      </c>
      <c r="D256">
        <v>63.48</v>
      </c>
      <c r="E256" t="s">
        <v>9</v>
      </c>
      <c r="F256">
        <v>30.08</v>
      </c>
      <c r="G256" t="s">
        <v>10</v>
      </c>
      <c r="H256" t="s">
        <v>11</v>
      </c>
    </row>
    <row r="257" spans="1:8" x14ac:dyDescent="0.25">
      <c r="A257" s="1">
        <v>45668.625</v>
      </c>
      <c r="B257" t="s">
        <v>8</v>
      </c>
      <c r="C257">
        <v>464.02</v>
      </c>
      <c r="D257">
        <v>66.67</v>
      </c>
      <c r="E257" t="s">
        <v>9</v>
      </c>
      <c r="F257">
        <v>35.43</v>
      </c>
      <c r="G257" t="s">
        <v>10</v>
      </c>
      <c r="H257" t="s">
        <v>11</v>
      </c>
    </row>
    <row r="258" spans="1:8" x14ac:dyDescent="0.25">
      <c r="A258" s="1">
        <v>45668.666666666664</v>
      </c>
      <c r="B258" t="s">
        <v>8</v>
      </c>
      <c r="C258">
        <v>467</v>
      </c>
      <c r="D258">
        <v>53.19</v>
      </c>
      <c r="E258" t="s">
        <v>9</v>
      </c>
      <c r="F258">
        <v>48.93</v>
      </c>
      <c r="G258" t="s">
        <v>10</v>
      </c>
      <c r="H258" t="s">
        <v>13</v>
      </c>
    </row>
    <row r="259" spans="1:8" x14ac:dyDescent="0.25">
      <c r="A259" s="1">
        <v>45668.708333333336</v>
      </c>
      <c r="B259" t="s">
        <v>8</v>
      </c>
      <c r="C259">
        <v>449.94</v>
      </c>
      <c r="D259">
        <v>70.09</v>
      </c>
      <c r="E259" t="s">
        <v>9</v>
      </c>
      <c r="F259">
        <v>44.61</v>
      </c>
      <c r="G259" t="s">
        <v>10</v>
      </c>
      <c r="H259" t="s">
        <v>11</v>
      </c>
    </row>
    <row r="260" spans="1:8" x14ac:dyDescent="0.25">
      <c r="A260" s="1">
        <v>45668.75</v>
      </c>
      <c r="B260" t="s">
        <v>8</v>
      </c>
      <c r="C260">
        <v>97.18</v>
      </c>
      <c r="D260">
        <v>35.71</v>
      </c>
      <c r="E260" t="s">
        <v>9</v>
      </c>
      <c r="F260">
        <v>61.21</v>
      </c>
      <c r="G260" t="s">
        <v>10</v>
      </c>
      <c r="H260" t="s">
        <v>12</v>
      </c>
    </row>
    <row r="261" spans="1:8" x14ac:dyDescent="0.25">
      <c r="A261" s="1">
        <v>45668.791666666664</v>
      </c>
      <c r="B261" t="s">
        <v>8</v>
      </c>
      <c r="C261">
        <v>218.01</v>
      </c>
      <c r="D261">
        <v>26.26</v>
      </c>
      <c r="E261" t="s">
        <v>9</v>
      </c>
      <c r="F261">
        <v>77.91</v>
      </c>
      <c r="G261" t="s">
        <v>10</v>
      </c>
      <c r="H261" t="s">
        <v>12</v>
      </c>
    </row>
    <row r="262" spans="1:8" x14ac:dyDescent="0.25">
      <c r="A262" s="1">
        <v>45668.833333333336</v>
      </c>
      <c r="B262" t="s">
        <v>8</v>
      </c>
      <c r="C262">
        <v>232.89</v>
      </c>
      <c r="D262">
        <v>79.56</v>
      </c>
      <c r="E262" t="s">
        <v>9</v>
      </c>
      <c r="F262">
        <v>52.76</v>
      </c>
      <c r="G262" t="s">
        <v>10</v>
      </c>
      <c r="H262" t="s">
        <v>12</v>
      </c>
    </row>
    <row r="263" spans="1:8" x14ac:dyDescent="0.25">
      <c r="A263" s="1">
        <v>45668.875</v>
      </c>
      <c r="B263" t="s">
        <v>8</v>
      </c>
      <c r="C263">
        <v>332.69</v>
      </c>
      <c r="D263">
        <v>23.83</v>
      </c>
      <c r="E263" t="s">
        <v>9</v>
      </c>
      <c r="F263">
        <v>89.16</v>
      </c>
      <c r="G263" t="s">
        <v>10</v>
      </c>
      <c r="H263" t="s">
        <v>13</v>
      </c>
    </row>
    <row r="264" spans="1:8" x14ac:dyDescent="0.25">
      <c r="A264" s="1">
        <v>45668.916666666664</v>
      </c>
      <c r="B264" t="s">
        <v>8</v>
      </c>
      <c r="C264">
        <v>209.72</v>
      </c>
      <c r="D264">
        <v>54.75</v>
      </c>
      <c r="E264" t="s">
        <v>9</v>
      </c>
      <c r="F264">
        <v>59.6</v>
      </c>
      <c r="G264" t="s">
        <v>10</v>
      </c>
      <c r="H264" t="s">
        <v>11</v>
      </c>
    </row>
    <row r="265" spans="1:8" x14ac:dyDescent="0.25">
      <c r="A265" s="1">
        <v>45668.958333333336</v>
      </c>
      <c r="B265" t="s">
        <v>8</v>
      </c>
      <c r="C265">
        <v>299.33999999999997</v>
      </c>
      <c r="D265">
        <v>28.13</v>
      </c>
      <c r="E265" t="s">
        <v>9</v>
      </c>
      <c r="F265">
        <v>52.72</v>
      </c>
      <c r="G265" t="s">
        <v>10</v>
      </c>
      <c r="H265" t="s">
        <v>12</v>
      </c>
    </row>
    <row r="266" spans="1:8" x14ac:dyDescent="0.25">
      <c r="A266" s="1">
        <v>45669</v>
      </c>
      <c r="B266" t="s">
        <v>8</v>
      </c>
      <c r="C266">
        <v>339.9</v>
      </c>
      <c r="D266">
        <v>66.7</v>
      </c>
      <c r="E266" t="s">
        <v>9</v>
      </c>
      <c r="F266">
        <v>82.01</v>
      </c>
      <c r="G266" t="s">
        <v>10</v>
      </c>
      <c r="H266" t="s">
        <v>12</v>
      </c>
    </row>
    <row r="267" spans="1:8" x14ac:dyDescent="0.25">
      <c r="A267" s="1">
        <v>45669.041666666664</v>
      </c>
      <c r="B267" t="s">
        <v>8</v>
      </c>
      <c r="C267">
        <v>349.62</v>
      </c>
      <c r="D267">
        <v>31.46</v>
      </c>
      <c r="E267" t="s">
        <v>9</v>
      </c>
      <c r="F267">
        <v>43.26</v>
      </c>
      <c r="G267" t="s">
        <v>10</v>
      </c>
      <c r="H267" t="s">
        <v>12</v>
      </c>
    </row>
    <row r="268" spans="1:8" x14ac:dyDescent="0.25">
      <c r="A268" s="1">
        <v>45669.083333333336</v>
      </c>
      <c r="B268" t="s">
        <v>8</v>
      </c>
      <c r="C268">
        <v>383.23</v>
      </c>
      <c r="D268">
        <v>75.31</v>
      </c>
      <c r="E268" t="s">
        <v>9</v>
      </c>
      <c r="F268">
        <v>66.400000000000006</v>
      </c>
      <c r="G268" t="s">
        <v>10</v>
      </c>
      <c r="H268" t="s">
        <v>11</v>
      </c>
    </row>
    <row r="269" spans="1:8" x14ac:dyDescent="0.25">
      <c r="A269" s="1">
        <v>45669.125</v>
      </c>
      <c r="B269" t="s">
        <v>8</v>
      </c>
      <c r="C269">
        <v>408.84</v>
      </c>
      <c r="D269">
        <v>72.34</v>
      </c>
      <c r="E269" t="s">
        <v>9</v>
      </c>
      <c r="F269">
        <v>35.17</v>
      </c>
      <c r="G269" t="s">
        <v>10</v>
      </c>
      <c r="H269" t="s">
        <v>12</v>
      </c>
    </row>
    <row r="270" spans="1:8" x14ac:dyDescent="0.25">
      <c r="A270" s="1">
        <v>45669.166666666664</v>
      </c>
      <c r="B270" t="s">
        <v>8</v>
      </c>
      <c r="C270">
        <v>451.34</v>
      </c>
      <c r="D270">
        <v>37.26</v>
      </c>
      <c r="E270" t="s">
        <v>9</v>
      </c>
      <c r="F270">
        <v>49.66</v>
      </c>
      <c r="G270" t="s">
        <v>10</v>
      </c>
      <c r="H270" t="s">
        <v>13</v>
      </c>
    </row>
    <row r="271" spans="1:8" x14ac:dyDescent="0.25">
      <c r="A271" s="1">
        <v>45669.208333333336</v>
      </c>
      <c r="B271" t="s">
        <v>8</v>
      </c>
      <c r="C271">
        <v>230.15</v>
      </c>
      <c r="D271">
        <v>58.53</v>
      </c>
      <c r="E271" t="s">
        <v>9</v>
      </c>
      <c r="F271">
        <v>67.17</v>
      </c>
      <c r="G271" t="s">
        <v>10</v>
      </c>
      <c r="H271" t="s">
        <v>11</v>
      </c>
    </row>
    <row r="272" spans="1:8" x14ac:dyDescent="0.25">
      <c r="A272" s="1">
        <v>45669.25</v>
      </c>
      <c r="B272" t="s">
        <v>8</v>
      </c>
      <c r="C272">
        <v>352.9</v>
      </c>
      <c r="D272">
        <v>94.24</v>
      </c>
      <c r="E272" t="s">
        <v>14</v>
      </c>
      <c r="F272">
        <v>82.97</v>
      </c>
      <c r="G272" t="s">
        <v>10</v>
      </c>
      <c r="H272" t="s">
        <v>12</v>
      </c>
    </row>
    <row r="273" spans="1:8" x14ac:dyDescent="0.25">
      <c r="A273" s="1">
        <v>45669.291666666664</v>
      </c>
      <c r="B273" t="s">
        <v>8</v>
      </c>
      <c r="C273">
        <v>433.19</v>
      </c>
      <c r="D273">
        <v>26.69</v>
      </c>
      <c r="E273" t="s">
        <v>9</v>
      </c>
      <c r="F273">
        <v>88.49</v>
      </c>
      <c r="G273" t="s">
        <v>10</v>
      </c>
      <c r="H273" t="s">
        <v>12</v>
      </c>
    </row>
    <row r="274" spans="1:8" x14ac:dyDescent="0.25">
      <c r="A274" s="1">
        <v>45669.333333333336</v>
      </c>
      <c r="B274" t="s">
        <v>8</v>
      </c>
      <c r="C274">
        <v>456.36</v>
      </c>
      <c r="D274">
        <v>18.12</v>
      </c>
      <c r="E274" t="s">
        <v>9</v>
      </c>
      <c r="F274">
        <v>81.81</v>
      </c>
      <c r="G274" t="s">
        <v>10</v>
      </c>
      <c r="H274" t="s">
        <v>12</v>
      </c>
    </row>
    <row r="275" spans="1:8" x14ac:dyDescent="0.25">
      <c r="A275" s="1">
        <v>45669.375</v>
      </c>
      <c r="B275" t="s">
        <v>8</v>
      </c>
      <c r="C275">
        <v>186.38</v>
      </c>
      <c r="D275">
        <v>65.7</v>
      </c>
      <c r="E275" t="s">
        <v>9</v>
      </c>
      <c r="F275">
        <v>51</v>
      </c>
      <c r="G275" t="s">
        <v>10</v>
      </c>
      <c r="H275" t="s">
        <v>11</v>
      </c>
    </row>
    <row r="276" spans="1:8" x14ac:dyDescent="0.25">
      <c r="A276" s="1">
        <v>45669.416666666664</v>
      </c>
      <c r="B276" t="s">
        <v>8</v>
      </c>
      <c r="C276">
        <v>348.99</v>
      </c>
      <c r="D276">
        <v>50.67</v>
      </c>
      <c r="E276" t="s">
        <v>9</v>
      </c>
      <c r="F276">
        <v>80.13</v>
      </c>
      <c r="G276" t="s">
        <v>10</v>
      </c>
      <c r="H276" t="s">
        <v>12</v>
      </c>
    </row>
    <row r="277" spans="1:8" x14ac:dyDescent="0.25">
      <c r="A277" s="1">
        <v>45669.458333333336</v>
      </c>
      <c r="B277" t="s">
        <v>8</v>
      </c>
      <c r="C277">
        <v>398.79</v>
      </c>
      <c r="D277">
        <v>64.38</v>
      </c>
      <c r="E277" t="s">
        <v>9</v>
      </c>
      <c r="F277">
        <v>66.41</v>
      </c>
      <c r="G277" t="s">
        <v>10</v>
      </c>
      <c r="H277" t="s">
        <v>13</v>
      </c>
    </row>
    <row r="278" spans="1:8" x14ac:dyDescent="0.25">
      <c r="A278" s="1">
        <v>45669.5</v>
      </c>
      <c r="B278" t="s">
        <v>8</v>
      </c>
      <c r="C278">
        <v>137.72</v>
      </c>
      <c r="D278">
        <v>80.98</v>
      </c>
      <c r="E278" t="s">
        <v>9</v>
      </c>
      <c r="F278">
        <v>63.76</v>
      </c>
      <c r="G278" t="s">
        <v>10</v>
      </c>
      <c r="H278" t="s">
        <v>12</v>
      </c>
    </row>
    <row r="279" spans="1:8" x14ac:dyDescent="0.25">
      <c r="A279" s="1">
        <v>45669.541666666664</v>
      </c>
      <c r="B279" t="s">
        <v>8</v>
      </c>
      <c r="C279">
        <v>78.099999999999994</v>
      </c>
      <c r="D279">
        <v>45.1</v>
      </c>
      <c r="E279" t="s">
        <v>9</v>
      </c>
      <c r="F279">
        <v>56.67</v>
      </c>
      <c r="G279" t="s">
        <v>10</v>
      </c>
      <c r="H279" t="s">
        <v>11</v>
      </c>
    </row>
    <row r="280" spans="1:8" x14ac:dyDescent="0.25">
      <c r="A280" s="1">
        <v>45669.583333333336</v>
      </c>
      <c r="B280" t="s">
        <v>8</v>
      </c>
      <c r="C280">
        <v>96.12</v>
      </c>
      <c r="D280">
        <v>57.38</v>
      </c>
      <c r="E280" t="s">
        <v>9</v>
      </c>
      <c r="F280">
        <v>35.11</v>
      </c>
      <c r="G280" t="s">
        <v>10</v>
      </c>
      <c r="H280" t="s">
        <v>11</v>
      </c>
    </row>
    <row r="281" spans="1:8" x14ac:dyDescent="0.25">
      <c r="A281" s="1">
        <v>45669.625</v>
      </c>
      <c r="B281" t="s">
        <v>8</v>
      </c>
      <c r="C281">
        <v>114.25</v>
      </c>
      <c r="D281">
        <v>45.54</v>
      </c>
      <c r="E281" t="s">
        <v>9</v>
      </c>
      <c r="F281">
        <v>87.1</v>
      </c>
      <c r="G281" t="s">
        <v>10</v>
      </c>
      <c r="H281" t="s">
        <v>11</v>
      </c>
    </row>
    <row r="282" spans="1:8" x14ac:dyDescent="0.25">
      <c r="A282" s="1">
        <v>45669.666666666664</v>
      </c>
      <c r="B282" t="s">
        <v>8</v>
      </c>
      <c r="C282">
        <v>496.68</v>
      </c>
      <c r="D282">
        <v>70.569999999999993</v>
      </c>
      <c r="E282" t="s">
        <v>9</v>
      </c>
      <c r="F282">
        <v>47.63</v>
      </c>
      <c r="G282" t="s">
        <v>10</v>
      </c>
      <c r="H282" t="s">
        <v>13</v>
      </c>
    </row>
    <row r="283" spans="1:8" x14ac:dyDescent="0.25">
      <c r="A283" s="1">
        <v>45669.708333333336</v>
      </c>
      <c r="B283" t="s">
        <v>8</v>
      </c>
      <c r="C283">
        <v>87.47</v>
      </c>
      <c r="D283">
        <v>72.7</v>
      </c>
      <c r="E283" t="s">
        <v>9</v>
      </c>
      <c r="F283">
        <v>48.69</v>
      </c>
      <c r="G283" t="s">
        <v>10</v>
      </c>
      <c r="H283" t="s">
        <v>12</v>
      </c>
    </row>
    <row r="284" spans="1:8" x14ac:dyDescent="0.25">
      <c r="A284" s="1">
        <v>45669.75</v>
      </c>
      <c r="B284" t="s">
        <v>8</v>
      </c>
      <c r="C284">
        <v>366.44</v>
      </c>
      <c r="D284">
        <v>15.76</v>
      </c>
      <c r="E284" t="s">
        <v>9</v>
      </c>
      <c r="F284">
        <v>67.87</v>
      </c>
      <c r="G284" t="s">
        <v>10</v>
      </c>
      <c r="H284" t="s">
        <v>13</v>
      </c>
    </row>
    <row r="285" spans="1:8" x14ac:dyDescent="0.25">
      <c r="A285" s="1">
        <v>45669.791666666664</v>
      </c>
      <c r="B285" t="s">
        <v>8</v>
      </c>
      <c r="C285">
        <v>222.06</v>
      </c>
      <c r="D285">
        <v>49.89</v>
      </c>
      <c r="E285" t="s">
        <v>9</v>
      </c>
      <c r="F285">
        <v>52.57</v>
      </c>
      <c r="G285" t="s">
        <v>10</v>
      </c>
      <c r="H285" t="s">
        <v>13</v>
      </c>
    </row>
    <row r="286" spans="1:8" x14ac:dyDescent="0.25">
      <c r="A286" s="1">
        <v>45669.833333333336</v>
      </c>
      <c r="B286" t="s">
        <v>8</v>
      </c>
      <c r="C286">
        <v>286.68</v>
      </c>
      <c r="D286">
        <v>79.52</v>
      </c>
      <c r="E286" t="s">
        <v>9</v>
      </c>
      <c r="F286">
        <v>51.71</v>
      </c>
      <c r="G286" t="s">
        <v>10</v>
      </c>
      <c r="H286" t="s">
        <v>12</v>
      </c>
    </row>
    <row r="287" spans="1:8" x14ac:dyDescent="0.25">
      <c r="A287" s="1">
        <v>45669.875</v>
      </c>
      <c r="B287" t="s">
        <v>8</v>
      </c>
      <c r="C287">
        <v>267.73</v>
      </c>
      <c r="D287">
        <v>73</v>
      </c>
      <c r="E287" t="s">
        <v>9</v>
      </c>
      <c r="F287">
        <v>48.99</v>
      </c>
      <c r="G287" t="s">
        <v>10</v>
      </c>
      <c r="H287" t="s">
        <v>11</v>
      </c>
    </row>
    <row r="288" spans="1:8" x14ac:dyDescent="0.25">
      <c r="A288" s="1">
        <v>45669.916666666664</v>
      </c>
      <c r="B288" t="s">
        <v>8</v>
      </c>
      <c r="C288">
        <v>470.04</v>
      </c>
      <c r="D288">
        <v>72.61</v>
      </c>
      <c r="E288" t="s">
        <v>9</v>
      </c>
      <c r="F288">
        <v>64.63</v>
      </c>
      <c r="G288" t="s">
        <v>10</v>
      </c>
      <c r="H288" t="s">
        <v>11</v>
      </c>
    </row>
    <row r="289" spans="1:8" x14ac:dyDescent="0.25">
      <c r="A289" s="1">
        <v>45669.958333333336</v>
      </c>
      <c r="B289" t="s">
        <v>8</v>
      </c>
      <c r="C289">
        <v>87.97</v>
      </c>
      <c r="D289">
        <v>69.489999999999995</v>
      </c>
      <c r="E289" t="s">
        <v>9</v>
      </c>
      <c r="F289">
        <v>72.47</v>
      </c>
      <c r="G289" t="s">
        <v>10</v>
      </c>
      <c r="H289" t="s">
        <v>11</v>
      </c>
    </row>
    <row r="290" spans="1:8" x14ac:dyDescent="0.25">
      <c r="A290" s="1">
        <v>45670</v>
      </c>
      <c r="B290" t="s">
        <v>8</v>
      </c>
      <c r="C290">
        <v>295.58999999999997</v>
      </c>
      <c r="D290">
        <v>43.11</v>
      </c>
      <c r="E290" t="s">
        <v>9</v>
      </c>
      <c r="F290">
        <v>34.89</v>
      </c>
      <c r="G290" t="s">
        <v>10</v>
      </c>
      <c r="H290" t="s">
        <v>13</v>
      </c>
    </row>
    <row r="291" spans="1:8" x14ac:dyDescent="0.25">
      <c r="A291" s="1">
        <v>45670.041666666664</v>
      </c>
      <c r="B291" t="s">
        <v>8</v>
      </c>
      <c r="C291">
        <v>350.9</v>
      </c>
      <c r="D291">
        <v>39.54</v>
      </c>
      <c r="E291" t="s">
        <v>9</v>
      </c>
      <c r="F291">
        <v>70.959999999999994</v>
      </c>
      <c r="G291" t="s">
        <v>10</v>
      </c>
      <c r="H291" t="s">
        <v>13</v>
      </c>
    </row>
    <row r="292" spans="1:8" x14ac:dyDescent="0.25">
      <c r="A292" s="1">
        <v>45670.083333333336</v>
      </c>
      <c r="B292" t="s">
        <v>8</v>
      </c>
      <c r="C292">
        <v>73.72</v>
      </c>
      <c r="D292">
        <v>17.04</v>
      </c>
      <c r="E292" t="s">
        <v>9</v>
      </c>
      <c r="F292">
        <v>73.03</v>
      </c>
      <c r="G292" t="s">
        <v>10</v>
      </c>
      <c r="H292" t="s">
        <v>13</v>
      </c>
    </row>
    <row r="293" spans="1:8" x14ac:dyDescent="0.25">
      <c r="A293" s="1">
        <v>45670.125</v>
      </c>
      <c r="B293" t="s">
        <v>8</v>
      </c>
      <c r="C293">
        <v>170.27</v>
      </c>
      <c r="D293">
        <v>48.15</v>
      </c>
      <c r="E293" t="s">
        <v>9</v>
      </c>
      <c r="F293">
        <v>35.659999999999997</v>
      </c>
      <c r="G293" t="s">
        <v>10</v>
      </c>
      <c r="H293" t="s">
        <v>11</v>
      </c>
    </row>
    <row r="294" spans="1:8" x14ac:dyDescent="0.25">
      <c r="A294" s="1">
        <v>45670.166666666664</v>
      </c>
      <c r="B294" t="s">
        <v>8</v>
      </c>
      <c r="C294">
        <v>135.47</v>
      </c>
      <c r="D294">
        <v>51.31</v>
      </c>
      <c r="E294" t="s">
        <v>9</v>
      </c>
      <c r="F294">
        <v>47.18</v>
      </c>
      <c r="G294" t="s">
        <v>10</v>
      </c>
      <c r="H294" t="s">
        <v>12</v>
      </c>
    </row>
    <row r="295" spans="1:8" x14ac:dyDescent="0.25">
      <c r="A295" s="1">
        <v>45670.208333333336</v>
      </c>
      <c r="B295" t="s">
        <v>8</v>
      </c>
      <c r="C295">
        <v>340.36</v>
      </c>
      <c r="D295">
        <v>66.72</v>
      </c>
      <c r="E295" t="s">
        <v>9</v>
      </c>
      <c r="F295">
        <v>79.47</v>
      </c>
      <c r="G295" t="s">
        <v>10</v>
      </c>
      <c r="H295" t="s">
        <v>12</v>
      </c>
    </row>
    <row r="296" spans="1:8" x14ac:dyDescent="0.25">
      <c r="A296" s="1">
        <v>45670.25</v>
      </c>
      <c r="B296" t="s">
        <v>8</v>
      </c>
      <c r="C296">
        <v>173.15</v>
      </c>
      <c r="D296">
        <v>93.38</v>
      </c>
      <c r="E296" t="s">
        <v>14</v>
      </c>
      <c r="F296">
        <v>65.78</v>
      </c>
      <c r="G296" t="s">
        <v>10</v>
      </c>
      <c r="H296" t="s">
        <v>11</v>
      </c>
    </row>
    <row r="297" spans="1:8" x14ac:dyDescent="0.25">
      <c r="A297" s="1">
        <v>45670.291666666664</v>
      </c>
      <c r="B297" t="s">
        <v>8</v>
      </c>
      <c r="C297">
        <v>499.7</v>
      </c>
      <c r="D297">
        <v>28.2</v>
      </c>
      <c r="E297" t="s">
        <v>9</v>
      </c>
      <c r="F297">
        <v>30.61</v>
      </c>
      <c r="G297" t="s">
        <v>10</v>
      </c>
      <c r="H297" t="s">
        <v>12</v>
      </c>
    </row>
    <row r="298" spans="1:8" x14ac:dyDescent="0.25">
      <c r="A298" s="1">
        <v>45670.333333333336</v>
      </c>
      <c r="B298" t="s">
        <v>8</v>
      </c>
      <c r="C298">
        <v>306.14999999999998</v>
      </c>
      <c r="D298">
        <v>88.57</v>
      </c>
      <c r="E298" t="s">
        <v>14</v>
      </c>
      <c r="F298">
        <v>88.11</v>
      </c>
      <c r="G298" t="s">
        <v>10</v>
      </c>
      <c r="H298" t="s">
        <v>11</v>
      </c>
    </row>
    <row r="299" spans="1:8" x14ac:dyDescent="0.25">
      <c r="A299" s="1">
        <v>45670.375</v>
      </c>
      <c r="B299" t="s">
        <v>8</v>
      </c>
      <c r="C299">
        <v>256.19</v>
      </c>
      <c r="D299">
        <v>90.55</v>
      </c>
      <c r="E299" t="s">
        <v>14</v>
      </c>
      <c r="F299">
        <v>70.42</v>
      </c>
      <c r="G299" t="s">
        <v>10</v>
      </c>
      <c r="H299" t="s">
        <v>11</v>
      </c>
    </row>
    <row r="300" spans="1:8" x14ac:dyDescent="0.25">
      <c r="A300" s="1">
        <v>45670.416666666664</v>
      </c>
      <c r="B300" t="s">
        <v>8</v>
      </c>
      <c r="C300">
        <v>259.58</v>
      </c>
      <c r="D300">
        <v>33.46</v>
      </c>
      <c r="E300" t="s">
        <v>9</v>
      </c>
      <c r="F300">
        <v>58.19</v>
      </c>
      <c r="G300" t="s">
        <v>10</v>
      </c>
      <c r="H300" t="s">
        <v>11</v>
      </c>
    </row>
    <row r="301" spans="1:8" x14ac:dyDescent="0.25">
      <c r="A301" s="1">
        <v>45670.458333333336</v>
      </c>
      <c r="B301" t="s">
        <v>8</v>
      </c>
      <c r="C301">
        <v>165.61</v>
      </c>
      <c r="D301">
        <v>78.87</v>
      </c>
      <c r="E301" t="s">
        <v>9</v>
      </c>
      <c r="F301">
        <v>67.930000000000007</v>
      </c>
      <c r="G301" t="s">
        <v>10</v>
      </c>
      <c r="H301" t="s">
        <v>12</v>
      </c>
    </row>
    <row r="302" spans="1:8" x14ac:dyDescent="0.25">
      <c r="A302" s="1">
        <v>45670.5</v>
      </c>
      <c r="B302" t="s">
        <v>8</v>
      </c>
      <c r="C302">
        <v>77.05</v>
      </c>
      <c r="D302">
        <v>88.2</v>
      </c>
      <c r="E302" t="s">
        <v>14</v>
      </c>
      <c r="F302">
        <v>66.930000000000007</v>
      </c>
      <c r="G302" t="s">
        <v>10</v>
      </c>
      <c r="H302" t="s">
        <v>12</v>
      </c>
    </row>
    <row r="303" spans="1:8" x14ac:dyDescent="0.25">
      <c r="A303" s="1">
        <v>45670.541666666664</v>
      </c>
      <c r="B303" t="s">
        <v>8</v>
      </c>
      <c r="C303">
        <v>470.99</v>
      </c>
      <c r="D303">
        <v>87.89</v>
      </c>
      <c r="E303" t="s">
        <v>14</v>
      </c>
      <c r="F303">
        <v>42.56</v>
      </c>
      <c r="G303" t="s">
        <v>10</v>
      </c>
      <c r="H303" t="s">
        <v>11</v>
      </c>
    </row>
    <row r="304" spans="1:8" x14ac:dyDescent="0.25">
      <c r="A304" s="1">
        <v>45670.583333333336</v>
      </c>
      <c r="B304" t="s">
        <v>8</v>
      </c>
      <c r="C304">
        <v>373.15</v>
      </c>
      <c r="D304">
        <v>61.11</v>
      </c>
      <c r="E304" t="s">
        <v>9</v>
      </c>
      <c r="F304">
        <v>86.87</v>
      </c>
      <c r="G304" t="s">
        <v>10</v>
      </c>
      <c r="H304" t="s">
        <v>13</v>
      </c>
    </row>
    <row r="305" spans="1:8" x14ac:dyDescent="0.25">
      <c r="A305" s="1">
        <v>45670.625</v>
      </c>
      <c r="B305" t="s">
        <v>8</v>
      </c>
      <c r="C305">
        <v>450.43</v>
      </c>
      <c r="D305">
        <v>62.64</v>
      </c>
      <c r="E305" t="s">
        <v>9</v>
      </c>
      <c r="F305">
        <v>61.8</v>
      </c>
      <c r="G305" t="s">
        <v>10</v>
      </c>
      <c r="H305" t="s">
        <v>11</v>
      </c>
    </row>
    <row r="306" spans="1:8" x14ac:dyDescent="0.25">
      <c r="A306" s="1">
        <v>45670.666666666664</v>
      </c>
      <c r="B306" t="s">
        <v>8</v>
      </c>
      <c r="C306">
        <v>340.52</v>
      </c>
      <c r="D306">
        <v>86.25</v>
      </c>
      <c r="E306" t="s">
        <v>14</v>
      </c>
      <c r="F306">
        <v>73.97</v>
      </c>
      <c r="G306" t="s">
        <v>10</v>
      </c>
      <c r="H306" t="s">
        <v>12</v>
      </c>
    </row>
    <row r="307" spans="1:8" x14ac:dyDescent="0.25">
      <c r="A307" s="1">
        <v>45670.708333333336</v>
      </c>
      <c r="B307" t="s">
        <v>8</v>
      </c>
      <c r="C307">
        <v>496.32</v>
      </c>
      <c r="D307">
        <v>35.549999999999997</v>
      </c>
      <c r="E307" t="s">
        <v>9</v>
      </c>
      <c r="F307">
        <v>79.989999999999995</v>
      </c>
      <c r="G307" t="s">
        <v>10</v>
      </c>
      <c r="H307" t="s">
        <v>13</v>
      </c>
    </row>
    <row r="308" spans="1:8" x14ac:dyDescent="0.25">
      <c r="A308" s="1">
        <v>45670.75</v>
      </c>
      <c r="B308" t="s">
        <v>8</v>
      </c>
      <c r="C308">
        <v>89.66</v>
      </c>
      <c r="D308">
        <v>47.5</v>
      </c>
      <c r="E308" t="s">
        <v>9</v>
      </c>
      <c r="F308">
        <v>75.010000000000005</v>
      </c>
      <c r="G308" t="s">
        <v>10</v>
      </c>
      <c r="H308" t="s">
        <v>13</v>
      </c>
    </row>
    <row r="309" spans="1:8" x14ac:dyDescent="0.25">
      <c r="A309" s="1">
        <v>45670.791666666664</v>
      </c>
      <c r="B309" t="s">
        <v>8</v>
      </c>
      <c r="C309">
        <v>113.23</v>
      </c>
      <c r="D309">
        <v>49.87</v>
      </c>
      <c r="E309" t="s">
        <v>9</v>
      </c>
      <c r="F309">
        <v>63.69</v>
      </c>
      <c r="G309" t="s">
        <v>10</v>
      </c>
      <c r="H309" t="s">
        <v>12</v>
      </c>
    </row>
    <row r="310" spans="1:8" x14ac:dyDescent="0.25">
      <c r="A310" s="1">
        <v>45670.833333333336</v>
      </c>
      <c r="B310" t="s">
        <v>8</v>
      </c>
      <c r="C310">
        <v>198.29</v>
      </c>
      <c r="D310">
        <v>49.69</v>
      </c>
      <c r="E310" t="s">
        <v>9</v>
      </c>
      <c r="F310">
        <v>81.42</v>
      </c>
      <c r="G310" t="s">
        <v>10</v>
      </c>
      <c r="H310" t="s">
        <v>11</v>
      </c>
    </row>
    <row r="311" spans="1:8" x14ac:dyDescent="0.25">
      <c r="A311" s="1">
        <v>45670.875</v>
      </c>
      <c r="B311" t="s">
        <v>8</v>
      </c>
      <c r="C311">
        <v>296.95</v>
      </c>
      <c r="D311">
        <v>78.489999999999995</v>
      </c>
      <c r="E311" t="s">
        <v>9</v>
      </c>
      <c r="F311">
        <v>64.98</v>
      </c>
      <c r="G311" t="s">
        <v>10</v>
      </c>
      <c r="H311" t="s">
        <v>11</v>
      </c>
    </row>
    <row r="312" spans="1:8" x14ac:dyDescent="0.25">
      <c r="A312" s="1">
        <v>45670.916666666664</v>
      </c>
      <c r="B312" t="s">
        <v>8</v>
      </c>
      <c r="C312">
        <v>347.15</v>
      </c>
      <c r="D312">
        <v>56.34</v>
      </c>
      <c r="E312" t="s">
        <v>9</v>
      </c>
      <c r="F312">
        <v>31.42</v>
      </c>
      <c r="G312" t="s">
        <v>10</v>
      </c>
      <c r="H312" t="s">
        <v>13</v>
      </c>
    </row>
    <row r="313" spans="1:8" x14ac:dyDescent="0.25">
      <c r="A313" s="1">
        <v>45670.958333333336</v>
      </c>
      <c r="B313" t="s">
        <v>8</v>
      </c>
      <c r="C313">
        <v>280.44</v>
      </c>
      <c r="D313">
        <v>90.19</v>
      </c>
      <c r="E313" t="s">
        <v>14</v>
      </c>
      <c r="F313">
        <v>32.869999999999997</v>
      </c>
      <c r="G313" t="s">
        <v>10</v>
      </c>
      <c r="H313" t="s">
        <v>12</v>
      </c>
    </row>
    <row r="314" spans="1:8" x14ac:dyDescent="0.25">
      <c r="A314" s="1">
        <v>45671</v>
      </c>
      <c r="B314" t="s">
        <v>8</v>
      </c>
      <c r="C314">
        <v>228.22</v>
      </c>
      <c r="D314">
        <v>30.13</v>
      </c>
      <c r="E314" t="s">
        <v>9</v>
      </c>
      <c r="F314">
        <v>55.49</v>
      </c>
      <c r="G314" t="s">
        <v>10</v>
      </c>
      <c r="H314" t="s">
        <v>11</v>
      </c>
    </row>
    <row r="315" spans="1:8" x14ac:dyDescent="0.25">
      <c r="A315" s="1">
        <v>45671.041666666664</v>
      </c>
      <c r="B315" t="s">
        <v>8</v>
      </c>
      <c r="C315">
        <v>380.86</v>
      </c>
      <c r="D315">
        <v>78.58</v>
      </c>
      <c r="E315" t="s">
        <v>9</v>
      </c>
      <c r="F315">
        <v>46.17</v>
      </c>
      <c r="G315" t="s">
        <v>10</v>
      </c>
      <c r="H315" t="s">
        <v>12</v>
      </c>
    </row>
    <row r="316" spans="1:8" x14ac:dyDescent="0.25">
      <c r="A316" s="1">
        <v>45671.083333333336</v>
      </c>
      <c r="B316" t="s">
        <v>8</v>
      </c>
      <c r="C316">
        <v>111.79</v>
      </c>
      <c r="D316">
        <v>41.25</v>
      </c>
      <c r="E316" t="s">
        <v>9</v>
      </c>
      <c r="F316">
        <v>65.2</v>
      </c>
      <c r="G316" t="s">
        <v>10</v>
      </c>
      <c r="H316" t="s">
        <v>11</v>
      </c>
    </row>
    <row r="317" spans="1:8" x14ac:dyDescent="0.25">
      <c r="A317" s="1">
        <v>45671.125</v>
      </c>
      <c r="B317" t="s">
        <v>8</v>
      </c>
      <c r="C317">
        <v>120.61</v>
      </c>
      <c r="D317">
        <v>90.75</v>
      </c>
      <c r="E317" t="s">
        <v>14</v>
      </c>
      <c r="F317">
        <v>76.010000000000005</v>
      </c>
      <c r="G317" t="s">
        <v>10</v>
      </c>
      <c r="H317" t="s">
        <v>13</v>
      </c>
    </row>
    <row r="318" spans="1:8" x14ac:dyDescent="0.25">
      <c r="A318" s="1">
        <v>45671.166666666664</v>
      </c>
      <c r="B318" t="s">
        <v>8</v>
      </c>
      <c r="C318">
        <v>315.86</v>
      </c>
      <c r="D318">
        <v>72.45</v>
      </c>
      <c r="E318" t="s">
        <v>9</v>
      </c>
      <c r="F318">
        <v>86.48</v>
      </c>
      <c r="G318" t="s">
        <v>10</v>
      </c>
      <c r="H318" t="s">
        <v>11</v>
      </c>
    </row>
    <row r="319" spans="1:8" x14ac:dyDescent="0.25">
      <c r="A319" s="1">
        <v>45671.208333333336</v>
      </c>
      <c r="B319" t="s">
        <v>8</v>
      </c>
      <c r="C319">
        <v>281.83999999999997</v>
      </c>
      <c r="D319">
        <v>76.75</v>
      </c>
      <c r="E319" t="s">
        <v>9</v>
      </c>
      <c r="F319">
        <v>63.73</v>
      </c>
      <c r="G319" t="s">
        <v>10</v>
      </c>
      <c r="H319" t="s">
        <v>11</v>
      </c>
    </row>
    <row r="320" spans="1:8" x14ac:dyDescent="0.25">
      <c r="A320" s="1">
        <v>45671.25</v>
      </c>
      <c r="B320" t="s">
        <v>8</v>
      </c>
      <c r="C320">
        <v>220.4</v>
      </c>
      <c r="D320">
        <v>91.31</v>
      </c>
      <c r="E320" t="s">
        <v>14</v>
      </c>
      <c r="F320">
        <v>82.45</v>
      </c>
      <c r="G320" t="s">
        <v>10</v>
      </c>
      <c r="H320" t="s">
        <v>13</v>
      </c>
    </row>
    <row r="321" spans="1:8" x14ac:dyDescent="0.25">
      <c r="A321" s="1">
        <v>45671.291666666664</v>
      </c>
      <c r="B321" t="s">
        <v>8</v>
      </c>
      <c r="C321">
        <v>170.99</v>
      </c>
      <c r="D321">
        <v>15.71</v>
      </c>
      <c r="E321" t="s">
        <v>9</v>
      </c>
      <c r="F321">
        <v>73.37</v>
      </c>
      <c r="G321" t="s">
        <v>10</v>
      </c>
      <c r="H321" t="s">
        <v>12</v>
      </c>
    </row>
    <row r="322" spans="1:8" x14ac:dyDescent="0.25">
      <c r="A322" s="1">
        <v>45671.333333333336</v>
      </c>
      <c r="B322" t="s">
        <v>8</v>
      </c>
      <c r="C322">
        <v>139.19</v>
      </c>
      <c r="D322">
        <v>25.66</v>
      </c>
      <c r="E322" t="s">
        <v>9</v>
      </c>
      <c r="F322">
        <v>89.97</v>
      </c>
      <c r="G322" t="s">
        <v>10</v>
      </c>
      <c r="H322" t="s">
        <v>13</v>
      </c>
    </row>
    <row r="323" spans="1:8" x14ac:dyDescent="0.25">
      <c r="A323" s="1">
        <v>45671.375</v>
      </c>
      <c r="B323" t="s">
        <v>8</v>
      </c>
      <c r="C323">
        <v>267.89999999999998</v>
      </c>
      <c r="D323">
        <v>19.149999999999999</v>
      </c>
      <c r="E323" t="s">
        <v>9</v>
      </c>
      <c r="F323">
        <v>63.1</v>
      </c>
      <c r="G323" t="s">
        <v>10</v>
      </c>
      <c r="H323" t="s">
        <v>13</v>
      </c>
    </row>
    <row r="324" spans="1:8" x14ac:dyDescent="0.25">
      <c r="A324" s="1">
        <v>45671.416666666664</v>
      </c>
      <c r="B324" t="s">
        <v>8</v>
      </c>
      <c r="C324">
        <v>72.319999999999993</v>
      </c>
      <c r="D324">
        <v>21.67</v>
      </c>
      <c r="E324" t="s">
        <v>9</v>
      </c>
      <c r="F324">
        <v>31.97</v>
      </c>
      <c r="G324" t="s">
        <v>10</v>
      </c>
      <c r="H324" t="s">
        <v>12</v>
      </c>
    </row>
    <row r="325" spans="1:8" x14ac:dyDescent="0.25">
      <c r="A325" s="1">
        <v>45671.458333333336</v>
      </c>
      <c r="B325" t="s">
        <v>8</v>
      </c>
      <c r="C325">
        <v>457.99</v>
      </c>
      <c r="D325">
        <v>29.5</v>
      </c>
      <c r="E325" t="s">
        <v>9</v>
      </c>
      <c r="F325">
        <v>66.930000000000007</v>
      </c>
      <c r="G325" t="s">
        <v>10</v>
      </c>
      <c r="H325" t="s">
        <v>12</v>
      </c>
    </row>
    <row r="326" spans="1:8" x14ac:dyDescent="0.25">
      <c r="A326" s="1">
        <v>45671.5</v>
      </c>
      <c r="B326" t="s">
        <v>8</v>
      </c>
      <c r="C326">
        <v>153.68</v>
      </c>
      <c r="D326">
        <v>69.489999999999995</v>
      </c>
      <c r="E326" t="s">
        <v>9</v>
      </c>
      <c r="F326">
        <v>88.91</v>
      </c>
      <c r="G326" t="s">
        <v>10</v>
      </c>
      <c r="H326" t="s">
        <v>13</v>
      </c>
    </row>
    <row r="327" spans="1:8" x14ac:dyDescent="0.25">
      <c r="A327" s="1">
        <v>45671.541666666664</v>
      </c>
      <c r="B327" t="s">
        <v>8</v>
      </c>
      <c r="C327">
        <v>476.96</v>
      </c>
      <c r="D327">
        <v>35.71</v>
      </c>
      <c r="E327" t="s">
        <v>9</v>
      </c>
      <c r="F327">
        <v>78.69</v>
      </c>
      <c r="G327" t="s">
        <v>10</v>
      </c>
      <c r="H327" t="s">
        <v>13</v>
      </c>
    </row>
    <row r="328" spans="1:8" x14ac:dyDescent="0.25">
      <c r="A328" s="1">
        <v>45671.583333333336</v>
      </c>
      <c r="B328" t="s">
        <v>8</v>
      </c>
      <c r="C328">
        <v>433.39</v>
      </c>
      <c r="D328">
        <v>42.89</v>
      </c>
      <c r="E328" t="s">
        <v>9</v>
      </c>
      <c r="F328">
        <v>45.68</v>
      </c>
      <c r="G328" t="s">
        <v>10</v>
      </c>
      <c r="H328" t="s">
        <v>11</v>
      </c>
    </row>
    <row r="329" spans="1:8" x14ac:dyDescent="0.25">
      <c r="A329" s="1">
        <v>45671.625</v>
      </c>
      <c r="B329" t="s">
        <v>8</v>
      </c>
      <c r="C329">
        <v>394.86</v>
      </c>
      <c r="D329">
        <v>67.3</v>
      </c>
      <c r="E329" t="s">
        <v>9</v>
      </c>
      <c r="F329">
        <v>79.430000000000007</v>
      </c>
      <c r="G329" t="s">
        <v>10</v>
      </c>
      <c r="H329" t="s">
        <v>13</v>
      </c>
    </row>
    <row r="330" spans="1:8" x14ac:dyDescent="0.25">
      <c r="A330" s="1">
        <v>45671.666666666664</v>
      </c>
      <c r="B330" t="s">
        <v>8</v>
      </c>
      <c r="C330">
        <v>408.4</v>
      </c>
      <c r="D330">
        <v>58.32</v>
      </c>
      <c r="E330" t="s">
        <v>9</v>
      </c>
      <c r="F330">
        <v>69</v>
      </c>
      <c r="G330" t="s">
        <v>10</v>
      </c>
      <c r="H330" t="s">
        <v>11</v>
      </c>
    </row>
    <row r="331" spans="1:8" x14ac:dyDescent="0.25">
      <c r="A331" s="1">
        <v>45671.708333333336</v>
      </c>
      <c r="B331" t="s">
        <v>8</v>
      </c>
      <c r="C331">
        <v>329.9</v>
      </c>
      <c r="D331">
        <v>57.74</v>
      </c>
      <c r="E331" t="s">
        <v>9</v>
      </c>
      <c r="F331">
        <v>74.98</v>
      </c>
      <c r="G331" t="s">
        <v>10</v>
      </c>
      <c r="H331" t="s">
        <v>12</v>
      </c>
    </row>
    <row r="332" spans="1:8" x14ac:dyDescent="0.25">
      <c r="A332" s="1">
        <v>45671.75</v>
      </c>
      <c r="B332" t="s">
        <v>8</v>
      </c>
      <c r="C332">
        <v>333.44</v>
      </c>
      <c r="D332">
        <v>43.14</v>
      </c>
      <c r="E332" t="s">
        <v>9</v>
      </c>
      <c r="F332">
        <v>54.35</v>
      </c>
      <c r="G332" t="s">
        <v>10</v>
      </c>
      <c r="H332" t="s">
        <v>12</v>
      </c>
    </row>
    <row r="333" spans="1:8" x14ac:dyDescent="0.25">
      <c r="A333" s="1">
        <v>45671.791666666664</v>
      </c>
      <c r="B333" t="s">
        <v>8</v>
      </c>
      <c r="C333">
        <v>137.68</v>
      </c>
      <c r="D333">
        <v>53.8</v>
      </c>
      <c r="E333" t="s">
        <v>9</v>
      </c>
      <c r="F333">
        <v>87.03</v>
      </c>
      <c r="G333" t="s">
        <v>10</v>
      </c>
      <c r="H333" t="s">
        <v>12</v>
      </c>
    </row>
    <row r="334" spans="1:8" x14ac:dyDescent="0.25">
      <c r="A334" s="1">
        <v>45671.833333333336</v>
      </c>
      <c r="B334" t="s">
        <v>8</v>
      </c>
      <c r="C334">
        <v>240.97</v>
      </c>
      <c r="D334">
        <v>71.89</v>
      </c>
      <c r="E334" t="s">
        <v>9</v>
      </c>
      <c r="F334">
        <v>66.23</v>
      </c>
      <c r="G334" t="s">
        <v>10</v>
      </c>
      <c r="H334" t="s">
        <v>13</v>
      </c>
    </row>
    <row r="335" spans="1:8" x14ac:dyDescent="0.25">
      <c r="A335" s="1">
        <v>45671.875</v>
      </c>
      <c r="B335" t="s">
        <v>8</v>
      </c>
      <c r="C335">
        <v>367.69</v>
      </c>
      <c r="D335">
        <v>33.299999999999997</v>
      </c>
      <c r="E335" t="s">
        <v>9</v>
      </c>
      <c r="F335">
        <v>53.32</v>
      </c>
      <c r="G335" t="s">
        <v>10</v>
      </c>
      <c r="H335" t="s">
        <v>11</v>
      </c>
    </row>
    <row r="336" spans="1:8" x14ac:dyDescent="0.25">
      <c r="A336" s="1">
        <v>45671.916666666664</v>
      </c>
      <c r="B336" t="s">
        <v>8</v>
      </c>
      <c r="C336">
        <v>108.79</v>
      </c>
      <c r="D336">
        <v>44.11</v>
      </c>
      <c r="E336" t="s">
        <v>9</v>
      </c>
      <c r="F336">
        <v>31.55</v>
      </c>
      <c r="G336" t="s">
        <v>10</v>
      </c>
      <c r="H336" t="s">
        <v>12</v>
      </c>
    </row>
    <row r="337" spans="1:8" x14ac:dyDescent="0.25">
      <c r="A337" s="1">
        <v>45671.958333333336</v>
      </c>
      <c r="B337" t="s">
        <v>8</v>
      </c>
      <c r="C337">
        <v>285.94</v>
      </c>
      <c r="D337">
        <v>91.99</v>
      </c>
      <c r="E337" t="s">
        <v>14</v>
      </c>
      <c r="F337">
        <v>66.459999999999994</v>
      </c>
      <c r="G337" t="s">
        <v>10</v>
      </c>
      <c r="H337" t="s">
        <v>12</v>
      </c>
    </row>
    <row r="338" spans="1:8" x14ac:dyDescent="0.25">
      <c r="A338" s="1">
        <v>45672</v>
      </c>
      <c r="B338" t="s">
        <v>8</v>
      </c>
      <c r="C338">
        <v>263.5</v>
      </c>
      <c r="D338">
        <v>14.81</v>
      </c>
      <c r="E338" t="s">
        <v>9</v>
      </c>
      <c r="F338">
        <v>35.090000000000003</v>
      </c>
      <c r="G338" t="s">
        <v>10</v>
      </c>
      <c r="H338" t="s">
        <v>12</v>
      </c>
    </row>
    <row r="339" spans="1:8" x14ac:dyDescent="0.25">
      <c r="A339" s="1">
        <v>45672.041666666664</v>
      </c>
      <c r="B339" t="s">
        <v>8</v>
      </c>
      <c r="C339">
        <v>179.05</v>
      </c>
      <c r="D339">
        <v>59.32</v>
      </c>
      <c r="E339" t="s">
        <v>9</v>
      </c>
      <c r="F339">
        <v>46.76</v>
      </c>
      <c r="G339" t="s">
        <v>10</v>
      </c>
      <c r="H339" t="s">
        <v>12</v>
      </c>
    </row>
    <row r="340" spans="1:8" x14ac:dyDescent="0.25">
      <c r="A340" s="1">
        <v>45672.083333333336</v>
      </c>
      <c r="B340" t="s">
        <v>8</v>
      </c>
      <c r="C340">
        <v>357.43</v>
      </c>
      <c r="D340">
        <v>18.23</v>
      </c>
      <c r="E340" t="s">
        <v>9</v>
      </c>
      <c r="F340">
        <v>76.97</v>
      </c>
      <c r="G340" t="s">
        <v>10</v>
      </c>
      <c r="H340" t="s">
        <v>13</v>
      </c>
    </row>
    <row r="341" spans="1:8" x14ac:dyDescent="0.25">
      <c r="A341" s="1">
        <v>45672.125</v>
      </c>
      <c r="B341" t="s">
        <v>8</v>
      </c>
      <c r="C341">
        <v>409.59</v>
      </c>
      <c r="D341">
        <v>55.18</v>
      </c>
      <c r="E341" t="s">
        <v>9</v>
      </c>
      <c r="F341">
        <v>43.97</v>
      </c>
      <c r="G341" t="s">
        <v>10</v>
      </c>
      <c r="H341" t="s">
        <v>11</v>
      </c>
    </row>
    <row r="342" spans="1:8" x14ac:dyDescent="0.25">
      <c r="A342" s="1">
        <v>45672.166666666664</v>
      </c>
      <c r="B342" t="s">
        <v>8</v>
      </c>
      <c r="C342">
        <v>386.26</v>
      </c>
      <c r="D342">
        <v>30.96</v>
      </c>
      <c r="E342" t="s">
        <v>9</v>
      </c>
      <c r="F342">
        <v>62.23</v>
      </c>
      <c r="G342" t="s">
        <v>10</v>
      </c>
      <c r="H342" t="s">
        <v>13</v>
      </c>
    </row>
    <row r="343" spans="1:8" x14ac:dyDescent="0.25">
      <c r="A343" s="1">
        <v>45672.208333333336</v>
      </c>
      <c r="B343" t="s">
        <v>8</v>
      </c>
      <c r="C343">
        <v>151.55000000000001</v>
      </c>
      <c r="D343">
        <v>31.15</v>
      </c>
      <c r="E343" t="s">
        <v>9</v>
      </c>
      <c r="F343">
        <v>77.55</v>
      </c>
      <c r="G343" t="s">
        <v>10</v>
      </c>
      <c r="H343" t="s">
        <v>12</v>
      </c>
    </row>
    <row r="344" spans="1:8" x14ac:dyDescent="0.25">
      <c r="A344" s="1">
        <v>45672.25</v>
      </c>
      <c r="B344" t="s">
        <v>8</v>
      </c>
      <c r="C344">
        <v>80</v>
      </c>
      <c r="D344">
        <v>94.89</v>
      </c>
      <c r="E344" t="s">
        <v>14</v>
      </c>
      <c r="F344">
        <v>31.49</v>
      </c>
      <c r="G344" t="s">
        <v>10</v>
      </c>
      <c r="H344" t="s">
        <v>12</v>
      </c>
    </row>
    <row r="345" spans="1:8" x14ac:dyDescent="0.25">
      <c r="A345" s="1">
        <v>45672.291666666664</v>
      </c>
      <c r="B345" t="s">
        <v>8</v>
      </c>
      <c r="C345">
        <v>86.01</v>
      </c>
      <c r="D345">
        <v>43.12</v>
      </c>
      <c r="E345" t="s">
        <v>9</v>
      </c>
      <c r="F345">
        <v>81.5</v>
      </c>
      <c r="G345" t="s">
        <v>10</v>
      </c>
      <c r="H345" t="s">
        <v>11</v>
      </c>
    </row>
    <row r="346" spans="1:8" x14ac:dyDescent="0.25">
      <c r="A346" s="1">
        <v>45672.333333333336</v>
      </c>
      <c r="B346" t="s">
        <v>8</v>
      </c>
      <c r="C346">
        <v>455.73</v>
      </c>
      <c r="D346">
        <v>89.02</v>
      </c>
      <c r="E346" t="s">
        <v>14</v>
      </c>
      <c r="F346">
        <v>30.55</v>
      </c>
      <c r="G346" t="s">
        <v>10</v>
      </c>
      <c r="H346" t="s">
        <v>12</v>
      </c>
    </row>
    <row r="347" spans="1:8" x14ac:dyDescent="0.25">
      <c r="A347" s="1">
        <v>45672.375</v>
      </c>
      <c r="B347" t="s">
        <v>8</v>
      </c>
      <c r="C347">
        <v>466.38</v>
      </c>
      <c r="D347">
        <v>84.31</v>
      </c>
      <c r="E347" t="s">
        <v>9</v>
      </c>
      <c r="F347">
        <v>59.98</v>
      </c>
      <c r="G347" t="s">
        <v>10</v>
      </c>
      <c r="H347" t="s">
        <v>12</v>
      </c>
    </row>
    <row r="348" spans="1:8" x14ac:dyDescent="0.25">
      <c r="A348" s="1">
        <v>45672.416666666664</v>
      </c>
      <c r="B348" t="s">
        <v>8</v>
      </c>
      <c r="C348">
        <v>256.97000000000003</v>
      </c>
      <c r="D348">
        <v>63.16</v>
      </c>
      <c r="E348" t="s">
        <v>9</v>
      </c>
      <c r="F348">
        <v>41.31</v>
      </c>
      <c r="G348" t="s">
        <v>10</v>
      </c>
      <c r="H348" t="s">
        <v>11</v>
      </c>
    </row>
    <row r="349" spans="1:8" x14ac:dyDescent="0.25">
      <c r="A349" s="1">
        <v>45672.458333333336</v>
      </c>
      <c r="B349" t="s">
        <v>8</v>
      </c>
      <c r="C349">
        <v>301.52999999999997</v>
      </c>
      <c r="D349">
        <v>41.25</v>
      </c>
      <c r="E349" t="s">
        <v>9</v>
      </c>
      <c r="F349">
        <v>61.14</v>
      </c>
      <c r="G349" t="s">
        <v>10</v>
      </c>
      <c r="H349" t="s">
        <v>11</v>
      </c>
    </row>
    <row r="350" spans="1:8" x14ac:dyDescent="0.25">
      <c r="A350" s="1">
        <v>45672.5</v>
      </c>
      <c r="B350" t="s">
        <v>8</v>
      </c>
      <c r="C350">
        <v>88.75</v>
      </c>
      <c r="D350">
        <v>59.29</v>
      </c>
      <c r="E350" t="s">
        <v>9</v>
      </c>
      <c r="F350">
        <v>60.17</v>
      </c>
      <c r="G350" t="s">
        <v>10</v>
      </c>
      <c r="H350" t="s">
        <v>13</v>
      </c>
    </row>
    <row r="351" spans="1:8" x14ac:dyDescent="0.25">
      <c r="A351" s="1">
        <v>45672.541666666664</v>
      </c>
      <c r="B351" t="s">
        <v>8</v>
      </c>
      <c r="C351">
        <v>384.62</v>
      </c>
      <c r="D351">
        <v>74.77</v>
      </c>
      <c r="E351" t="s">
        <v>9</v>
      </c>
      <c r="F351">
        <v>49.04</v>
      </c>
      <c r="G351" t="s">
        <v>10</v>
      </c>
      <c r="H351" t="s">
        <v>11</v>
      </c>
    </row>
    <row r="352" spans="1:8" x14ac:dyDescent="0.25">
      <c r="A352" s="1">
        <v>45672.583333333336</v>
      </c>
      <c r="B352" t="s">
        <v>8</v>
      </c>
      <c r="C352">
        <v>313.54000000000002</v>
      </c>
      <c r="D352">
        <v>14.68</v>
      </c>
      <c r="E352" t="s">
        <v>9</v>
      </c>
      <c r="F352">
        <v>75.66</v>
      </c>
      <c r="G352" t="s">
        <v>10</v>
      </c>
      <c r="H352" t="s">
        <v>13</v>
      </c>
    </row>
    <row r="353" spans="1:8" x14ac:dyDescent="0.25">
      <c r="A353" s="1">
        <v>45672.625</v>
      </c>
      <c r="B353" t="s">
        <v>8</v>
      </c>
      <c r="C353">
        <v>178.35</v>
      </c>
      <c r="D353">
        <v>58.87</v>
      </c>
      <c r="E353" t="s">
        <v>9</v>
      </c>
      <c r="F353">
        <v>30.1</v>
      </c>
      <c r="G353" t="s">
        <v>10</v>
      </c>
      <c r="H353" t="s">
        <v>11</v>
      </c>
    </row>
    <row r="354" spans="1:8" x14ac:dyDescent="0.25">
      <c r="A354" s="1">
        <v>45672.666666666664</v>
      </c>
      <c r="B354" t="s">
        <v>8</v>
      </c>
      <c r="C354">
        <v>446.63</v>
      </c>
      <c r="D354">
        <v>62.08</v>
      </c>
      <c r="E354" t="s">
        <v>9</v>
      </c>
      <c r="F354">
        <v>66.47</v>
      </c>
      <c r="G354" t="s">
        <v>10</v>
      </c>
      <c r="H354" t="s">
        <v>13</v>
      </c>
    </row>
    <row r="355" spans="1:8" x14ac:dyDescent="0.25">
      <c r="A355" s="1">
        <v>45672.708333333336</v>
      </c>
      <c r="B355" t="s">
        <v>8</v>
      </c>
      <c r="C355">
        <v>309.62</v>
      </c>
      <c r="D355">
        <v>26.55</v>
      </c>
      <c r="E355" t="s">
        <v>9</v>
      </c>
      <c r="F355">
        <v>51.37</v>
      </c>
      <c r="G355" t="s">
        <v>10</v>
      </c>
      <c r="H355" t="s">
        <v>11</v>
      </c>
    </row>
    <row r="356" spans="1:8" x14ac:dyDescent="0.25">
      <c r="A356" s="1">
        <v>45672.75</v>
      </c>
      <c r="B356" t="s">
        <v>8</v>
      </c>
      <c r="C356">
        <v>302.05</v>
      </c>
      <c r="D356">
        <v>45.3</v>
      </c>
      <c r="E356" t="s">
        <v>9</v>
      </c>
      <c r="F356">
        <v>55.21</v>
      </c>
      <c r="G356" t="s">
        <v>10</v>
      </c>
      <c r="H356" t="s">
        <v>12</v>
      </c>
    </row>
    <row r="357" spans="1:8" x14ac:dyDescent="0.25">
      <c r="A357" s="1">
        <v>45672.791666666664</v>
      </c>
      <c r="B357" t="s">
        <v>8</v>
      </c>
      <c r="C357">
        <v>297.39</v>
      </c>
      <c r="D357">
        <v>50.65</v>
      </c>
      <c r="E357" t="s">
        <v>9</v>
      </c>
      <c r="F357">
        <v>40.17</v>
      </c>
      <c r="G357" t="s">
        <v>10</v>
      </c>
      <c r="H357" t="s">
        <v>11</v>
      </c>
    </row>
    <row r="358" spans="1:8" x14ac:dyDescent="0.25">
      <c r="A358" s="1">
        <v>45672.833333333336</v>
      </c>
      <c r="B358" t="s">
        <v>8</v>
      </c>
      <c r="C358">
        <v>85.05</v>
      </c>
      <c r="D358">
        <v>71.260000000000005</v>
      </c>
      <c r="E358" t="s">
        <v>9</v>
      </c>
      <c r="F358">
        <v>85.2</v>
      </c>
      <c r="G358" t="s">
        <v>10</v>
      </c>
      <c r="H358" t="s">
        <v>11</v>
      </c>
    </row>
    <row r="359" spans="1:8" x14ac:dyDescent="0.25">
      <c r="A359" s="1">
        <v>45672.875</v>
      </c>
      <c r="B359" t="s">
        <v>8</v>
      </c>
      <c r="C359">
        <v>216.72</v>
      </c>
      <c r="D359">
        <v>60.08</v>
      </c>
      <c r="E359" t="s">
        <v>9</v>
      </c>
      <c r="F359">
        <v>82.9</v>
      </c>
      <c r="G359" t="s">
        <v>10</v>
      </c>
      <c r="H359" t="s">
        <v>11</v>
      </c>
    </row>
    <row r="360" spans="1:8" x14ac:dyDescent="0.25">
      <c r="A360" s="1">
        <v>45672.916666666664</v>
      </c>
      <c r="B360" t="s">
        <v>8</v>
      </c>
      <c r="C360">
        <v>460.67</v>
      </c>
      <c r="D360">
        <v>84.78</v>
      </c>
      <c r="E360" t="s">
        <v>9</v>
      </c>
      <c r="F360">
        <v>60.11</v>
      </c>
      <c r="G360" t="s">
        <v>10</v>
      </c>
      <c r="H360" t="s">
        <v>13</v>
      </c>
    </row>
    <row r="361" spans="1:8" x14ac:dyDescent="0.25">
      <c r="A361" s="1">
        <v>45672.958333333336</v>
      </c>
      <c r="B361" t="s">
        <v>8</v>
      </c>
      <c r="C361">
        <v>234.64</v>
      </c>
      <c r="D361">
        <v>52.12</v>
      </c>
      <c r="E361" t="s">
        <v>9</v>
      </c>
      <c r="F361">
        <v>32.950000000000003</v>
      </c>
      <c r="G361" t="s">
        <v>10</v>
      </c>
      <c r="H361" t="s">
        <v>13</v>
      </c>
    </row>
    <row r="362" spans="1:8" x14ac:dyDescent="0.25">
      <c r="A362" s="1">
        <v>45658</v>
      </c>
      <c r="B362" t="s">
        <v>15</v>
      </c>
      <c r="C362">
        <v>405.73</v>
      </c>
      <c r="D362">
        <v>50.77</v>
      </c>
      <c r="E362" t="s">
        <v>9</v>
      </c>
      <c r="F362">
        <v>48.1</v>
      </c>
      <c r="G362" t="s">
        <v>16</v>
      </c>
      <c r="H362" t="s">
        <v>12</v>
      </c>
    </row>
    <row r="363" spans="1:8" x14ac:dyDescent="0.25">
      <c r="A363" s="1">
        <v>45658.041666666664</v>
      </c>
      <c r="B363" t="s">
        <v>15</v>
      </c>
      <c r="C363">
        <v>327.31</v>
      </c>
      <c r="D363">
        <v>53.11</v>
      </c>
      <c r="E363" t="s">
        <v>9</v>
      </c>
      <c r="F363">
        <v>53.42</v>
      </c>
      <c r="G363" t="s">
        <v>16</v>
      </c>
      <c r="H363" t="s">
        <v>12</v>
      </c>
    </row>
    <row r="364" spans="1:8" x14ac:dyDescent="0.25">
      <c r="A364" s="1">
        <v>45658.083333333336</v>
      </c>
      <c r="B364" t="s">
        <v>15</v>
      </c>
      <c r="C364">
        <v>102.88</v>
      </c>
      <c r="D364">
        <v>34.409999999999997</v>
      </c>
      <c r="E364" t="s">
        <v>9</v>
      </c>
      <c r="F364">
        <v>85.25</v>
      </c>
      <c r="G364" t="s">
        <v>16</v>
      </c>
      <c r="H364" t="s">
        <v>11</v>
      </c>
    </row>
    <row r="365" spans="1:8" x14ac:dyDescent="0.25">
      <c r="A365" s="1">
        <v>45658.125</v>
      </c>
      <c r="B365" t="s">
        <v>15</v>
      </c>
      <c r="C365">
        <v>250.86</v>
      </c>
      <c r="D365">
        <v>58.6</v>
      </c>
      <c r="E365" t="s">
        <v>9</v>
      </c>
      <c r="F365">
        <v>86.67</v>
      </c>
      <c r="G365" t="s">
        <v>16</v>
      </c>
      <c r="H365" t="s">
        <v>12</v>
      </c>
    </row>
    <row r="366" spans="1:8" x14ac:dyDescent="0.25">
      <c r="A366" s="1">
        <v>45658.166666666664</v>
      </c>
      <c r="B366" t="s">
        <v>15</v>
      </c>
      <c r="C366">
        <v>284.06</v>
      </c>
      <c r="D366">
        <v>52.45</v>
      </c>
      <c r="E366" t="s">
        <v>9</v>
      </c>
      <c r="F366">
        <v>45.5</v>
      </c>
      <c r="G366" t="s">
        <v>16</v>
      </c>
      <c r="H366" t="s">
        <v>13</v>
      </c>
    </row>
    <row r="367" spans="1:8" x14ac:dyDescent="0.25">
      <c r="A367" s="1">
        <v>45658.208333333336</v>
      </c>
      <c r="B367" t="s">
        <v>15</v>
      </c>
      <c r="C367">
        <v>454.82</v>
      </c>
      <c r="D367">
        <v>77.34</v>
      </c>
      <c r="E367" t="s">
        <v>9</v>
      </c>
      <c r="F367">
        <v>41.72</v>
      </c>
      <c r="G367" t="s">
        <v>16</v>
      </c>
      <c r="H367" t="s">
        <v>12</v>
      </c>
    </row>
    <row r="368" spans="1:8" x14ac:dyDescent="0.25">
      <c r="A368" s="1">
        <v>45658.25</v>
      </c>
      <c r="B368" t="s">
        <v>15</v>
      </c>
      <c r="C368">
        <v>393.84</v>
      </c>
      <c r="D368">
        <v>34.07</v>
      </c>
      <c r="E368" t="s">
        <v>9</v>
      </c>
      <c r="F368">
        <v>32.18</v>
      </c>
      <c r="G368" t="s">
        <v>16</v>
      </c>
      <c r="H368" t="s">
        <v>13</v>
      </c>
    </row>
    <row r="369" spans="1:8" x14ac:dyDescent="0.25">
      <c r="A369" s="1">
        <v>45658.291666666664</v>
      </c>
      <c r="B369" t="s">
        <v>15</v>
      </c>
      <c r="C369">
        <v>288.69</v>
      </c>
      <c r="D369">
        <v>67.69</v>
      </c>
      <c r="E369" t="s">
        <v>9</v>
      </c>
      <c r="F369">
        <v>65.41</v>
      </c>
      <c r="G369" t="s">
        <v>16</v>
      </c>
      <c r="H369" t="s">
        <v>12</v>
      </c>
    </row>
    <row r="370" spans="1:8" x14ac:dyDescent="0.25">
      <c r="A370" s="1">
        <v>45658.333333333336</v>
      </c>
      <c r="B370" t="s">
        <v>15</v>
      </c>
      <c r="C370">
        <v>275.76</v>
      </c>
      <c r="D370">
        <v>72.77</v>
      </c>
      <c r="E370" t="s">
        <v>9</v>
      </c>
      <c r="F370">
        <v>36.79</v>
      </c>
      <c r="G370" t="s">
        <v>16</v>
      </c>
      <c r="H370" t="s">
        <v>11</v>
      </c>
    </row>
    <row r="371" spans="1:8" x14ac:dyDescent="0.25">
      <c r="A371" s="1">
        <v>45658.375</v>
      </c>
      <c r="B371" t="s">
        <v>15</v>
      </c>
      <c r="C371">
        <v>343.34</v>
      </c>
      <c r="D371">
        <v>77.14</v>
      </c>
      <c r="E371" t="s">
        <v>9</v>
      </c>
      <c r="F371">
        <v>76.03</v>
      </c>
      <c r="G371" t="s">
        <v>16</v>
      </c>
      <c r="H371" t="s">
        <v>13</v>
      </c>
    </row>
    <row r="372" spans="1:8" x14ac:dyDescent="0.25">
      <c r="A372" s="1">
        <v>45658.416666666664</v>
      </c>
      <c r="B372" t="s">
        <v>15</v>
      </c>
      <c r="C372">
        <v>127.26</v>
      </c>
      <c r="D372">
        <v>79.430000000000007</v>
      </c>
      <c r="E372" t="s">
        <v>9</v>
      </c>
      <c r="F372">
        <v>71.569999999999993</v>
      </c>
      <c r="G372" t="s">
        <v>16</v>
      </c>
      <c r="H372" t="s">
        <v>13</v>
      </c>
    </row>
    <row r="373" spans="1:8" x14ac:dyDescent="0.25">
      <c r="A373" s="1">
        <v>45658.458333333336</v>
      </c>
      <c r="B373" t="s">
        <v>15</v>
      </c>
      <c r="C373">
        <v>384.48</v>
      </c>
      <c r="D373">
        <v>49.5</v>
      </c>
      <c r="E373" t="s">
        <v>9</v>
      </c>
      <c r="F373">
        <v>79.069999999999993</v>
      </c>
      <c r="G373" t="s">
        <v>16</v>
      </c>
      <c r="H373" t="s">
        <v>12</v>
      </c>
    </row>
    <row r="374" spans="1:8" x14ac:dyDescent="0.25">
      <c r="A374" s="1">
        <v>45658.5</v>
      </c>
      <c r="B374" t="s">
        <v>15</v>
      </c>
      <c r="C374">
        <v>349.59</v>
      </c>
      <c r="D374">
        <v>56.5</v>
      </c>
      <c r="E374" t="s">
        <v>9</v>
      </c>
      <c r="F374">
        <v>68.36</v>
      </c>
      <c r="G374" t="s">
        <v>16</v>
      </c>
      <c r="H374" t="s">
        <v>11</v>
      </c>
    </row>
    <row r="375" spans="1:8" x14ac:dyDescent="0.25">
      <c r="A375" s="1">
        <v>45658.541666666664</v>
      </c>
      <c r="B375" t="s">
        <v>15</v>
      </c>
      <c r="C375">
        <v>458.09</v>
      </c>
      <c r="D375">
        <v>61.57</v>
      </c>
      <c r="E375" t="s">
        <v>9</v>
      </c>
      <c r="F375">
        <v>35.119999999999997</v>
      </c>
      <c r="G375" t="s">
        <v>16</v>
      </c>
      <c r="H375" t="s">
        <v>13</v>
      </c>
    </row>
    <row r="376" spans="1:8" x14ac:dyDescent="0.25">
      <c r="A376" s="1">
        <v>45658.583333333336</v>
      </c>
      <c r="B376" t="s">
        <v>15</v>
      </c>
      <c r="C376">
        <v>390.36</v>
      </c>
      <c r="D376">
        <v>78.33</v>
      </c>
      <c r="E376" t="s">
        <v>9</v>
      </c>
      <c r="F376">
        <v>59.68</v>
      </c>
      <c r="G376" t="s">
        <v>16</v>
      </c>
      <c r="H376" t="s">
        <v>12</v>
      </c>
    </row>
    <row r="377" spans="1:8" x14ac:dyDescent="0.25">
      <c r="A377" s="1">
        <v>45658.625</v>
      </c>
      <c r="B377" t="s">
        <v>15</v>
      </c>
      <c r="C377">
        <v>90.72</v>
      </c>
      <c r="D377">
        <v>54.3</v>
      </c>
      <c r="E377" t="s">
        <v>9</v>
      </c>
      <c r="F377">
        <v>45.78</v>
      </c>
      <c r="G377" t="s">
        <v>16</v>
      </c>
      <c r="H377" t="s">
        <v>13</v>
      </c>
    </row>
    <row r="378" spans="1:8" x14ac:dyDescent="0.25">
      <c r="A378" s="1">
        <v>45658.666666666664</v>
      </c>
      <c r="B378" t="s">
        <v>15</v>
      </c>
      <c r="C378">
        <v>135.30000000000001</v>
      </c>
      <c r="D378">
        <v>86.27</v>
      </c>
      <c r="E378" t="s">
        <v>14</v>
      </c>
      <c r="F378">
        <v>55.86</v>
      </c>
      <c r="G378" t="s">
        <v>16</v>
      </c>
      <c r="H378" t="s">
        <v>12</v>
      </c>
    </row>
    <row r="379" spans="1:8" x14ac:dyDescent="0.25">
      <c r="A379" s="1">
        <v>45658.708333333336</v>
      </c>
      <c r="B379" t="s">
        <v>15</v>
      </c>
      <c r="C379">
        <v>439.25</v>
      </c>
      <c r="D379">
        <v>39.97</v>
      </c>
      <c r="E379" t="s">
        <v>9</v>
      </c>
      <c r="F379">
        <v>40.700000000000003</v>
      </c>
      <c r="G379" t="s">
        <v>16</v>
      </c>
      <c r="H379" t="s">
        <v>13</v>
      </c>
    </row>
    <row r="380" spans="1:8" x14ac:dyDescent="0.25">
      <c r="A380" s="1">
        <v>45658.75</v>
      </c>
      <c r="B380" t="s">
        <v>15</v>
      </c>
      <c r="C380">
        <v>284.52999999999997</v>
      </c>
      <c r="D380">
        <v>26.13</v>
      </c>
      <c r="E380" t="s">
        <v>9</v>
      </c>
      <c r="F380">
        <v>33.93</v>
      </c>
      <c r="G380" t="s">
        <v>16</v>
      </c>
      <c r="H380" t="s">
        <v>11</v>
      </c>
    </row>
    <row r="381" spans="1:8" x14ac:dyDescent="0.25">
      <c r="A381" s="1">
        <v>45658.791666666664</v>
      </c>
      <c r="B381" t="s">
        <v>15</v>
      </c>
      <c r="C381">
        <v>183.28</v>
      </c>
      <c r="D381">
        <v>60.35</v>
      </c>
      <c r="E381" t="s">
        <v>9</v>
      </c>
      <c r="F381">
        <v>56.51</v>
      </c>
      <c r="G381" t="s">
        <v>16</v>
      </c>
      <c r="H381" t="s">
        <v>13</v>
      </c>
    </row>
    <row r="382" spans="1:8" x14ac:dyDescent="0.25">
      <c r="A382" s="1">
        <v>45658.833333333336</v>
      </c>
      <c r="B382" t="s">
        <v>15</v>
      </c>
      <c r="C382">
        <v>224.63</v>
      </c>
      <c r="D382">
        <v>78.48</v>
      </c>
      <c r="E382" t="s">
        <v>9</v>
      </c>
      <c r="F382">
        <v>48.35</v>
      </c>
      <c r="G382" t="s">
        <v>16</v>
      </c>
      <c r="H382" t="s">
        <v>12</v>
      </c>
    </row>
    <row r="383" spans="1:8" x14ac:dyDescent="0.25">
      <c r="A383" s="1">
        <v>45658.875</v>
      </c>
      <c r="B383" t="s">
        <v>15</v>
      </c>
      <c r="C383">
        <v>469.69</v>
      </c>
      <c r="D383">
        <v>45.95</v>
      </c>
      <c r="E383" t="s">
        <v>9</v>
      </c>
      <c r="F383">
        <v>77.56</v>
      </c>
      <c r="G383" t="s">
        <v>16</v>
      </c>
      <c r="H383" t="s">
        <v>13</v>
      </c>
    </row>
    <row r="384" spans="1:8" x14ac:dyDescent="0.25">
      <c r="A384" s="1">
        <v>45658.916666666664</v>
      </c>
      <c r="B384" t="s">
        <v>15</v>
      </c>
      <c r="C384">
        <v>205.53</v>
      </c>
      <c r="D384">
        <v>79.430000000000007</v>
      </c>
      <c r="E384" t="s">
        <v>9</v>
      </c>
      <c r="F384">
        <v>44.78</v>
      </c>
      <c r="G384" t="s">
        <v>16</v>
      </c>
      <c r="H384" t="s">
        <v>12</v>
      </c>
    </row>
    <row r="385" spans="1:8" x14ac:dyDescent="0.25">
      <c r="A385" s="1">
        <v>45658.958333333336</v>
      </c>
      <c r="B385" t="s">
        <v>15</v>
      </c>
      <c r="C385">
        <v>307.10000000000002</v>
      </c>
      <c r="D385">
        <v>63.21</v>
      </c>
      <c r="E385" t="s">
        <v>9</v>
      </c>
      <c r="F385">
        <v>61.39</v>
      </c>
      <c r="G385" t="s">
        <v>16</v>
      </c>
      <c r="H385" t="s">
        <v>13</v>
      </c>
    </row>
    <row r="386" spans="1:8" x14ac:dyDescent="0.25">
      <c r="A386" s="1">
        <v>45659</v>
      </c>
      <c r="B386" t="s">
        <v>15</v>
      </c>
      <c r="C386">
        <v>299.88</v>
      </c>
      <c r="D386">
        <v>56.73</v>
      </c>
      <c r="E386" t="s">
        <v>9</v>
      </c>
      <c r="F386">
        <v>69.33</v>
      </c>
      <c r="G386" t="s">
        <v>16</v>
      </c>
      <c r="H386" t="s">
        <v>11</v>
      </c>
    </row>
    <row r="387" spans="1:8" x14ac:dyDescent="0.25">
      <c r="A387" s="1">
        <v>45659.041666666664</v>
      </c>
      <c r="B387" t="s">
        <v>15</v>
      </c>
      <c r="C387">
        <v>388.56</v>
      </c>
      <c r="D387">
        <v>15.42</v>
      </c>
      <c r="E387" t="s">
        <v>9</v>
      </c>
      <c r="F387">
        <v>61.02</v>
      </c>
      <c r="G387" t="s">
        <v>16</v>
      </c>
      <c r="H387" t="s">
        <v>11</v>
      </c>
    </row>
    <row r="388" spans="1:8" x14ac:dyDescent="0.25">
      <c r="A388" s="1">
        <v>45659.083333333336</v>
      </c>
      <c r="B388" t="s">
        <v>15</v>
      </c>
      <c r="C388">
        <v>57.26</v>
      </c>
      <c r="D388">
        <v>44.19</v>
      </c>
      <c r="E388" t="s">
        <v>9</v>
      </c>
      <c r="F388">
        <v>51.1</v>
      </c>
      <c r="G388" t="s">
        <v>16</v>
      </c>
      <c r="H388" t="s">
        <v>12</v>
      </c>
    </row>
    <row r="389" spans="1:8" x14ac:dyDescent="0.25">
      <c r="A389" s="1">
        <v>45659.125</v>
      </c>
      <c r="B389" t="s">
        <v>15</v>
      </c>
      <c r="C389">
        <v>143.51</v>
      </c>
      <c r="D389">
        <v>78.709999999999994</v>
      </c>
      <c r="E389" t="s">
        <v>9</v>
      </c>
      <c r="F389">
        <v>78.180000000000007</v>
      </c>
      <c r="G389" t="s">
        <v>16</v>
      </c>
      <c r="H389" t="s">
        <v>12</v>
      </c>
    </row>
    <row r="390" spans="1:8" x14ac:dyDescent="0.25">
      <c r="A390" s="1">
        <v>45659.166666666664</v>
      </c>
      <c r="B390" t="s">
        <v>15</v>
      </c>
      <c r="C390">
        <v>177.6</v>
      </c>
      <c r="D390">
        <v>36.99</v>
      </c>
      <c r="E390" t="s">
        <v>9</v>
      </c>
      <c r="F390">
        <v>58.94</v>
      </c>
      <c r="G390" t="s">
        <v>16</v>
      </c>
      <c r="H390" t="s">
        <v>13</v>
      </c>
    </row>
    <row r="391" spans="1:8" x14ac:dyDescent="0.25">
      <c r="A391" s="1">
        <v>45659.208333333336</v>
      </c>
      <c r="B391" t="s">
        <v>15</v>
      </c>
      <c r="C391">
        <v>347.84</v>
      </c>
      <c r="D391">
        <v>42.8</v>
      </c>
      <c r="E391" t="s">
        <v>9</v>
      </c>
      <c r="F391">
        <v>78.53</v>
      </c>
      <c r="G391" t="s">
        <v>16</v>
      </c>
      <c r="H391" t="s">
        <v>13</v>
      </c>
    </row>
    <row r="392" spans="1:8" x14ac:dyDescent="0.25">
      <c r="A392" s="1">
        <v>45659.25</v>
      </c>
      <c r="B392" t="s">
        <v>15</v>
      </c>
      <c r="C392">
        <v>187.04</v>
      </c>
      <c r="D392">
        <v>16.02</v>
      </c>
      <c r="E392" t="s">
        <v>9</v>
      </c>
      <c r="F392">
        <v>30.23</v>
      </c>
      <c r="G392" t="s">
        <v>16</v>
      </c>
      <c r="H392" t="s">
        <v>12</v>
      </c>
    </row>
    <row r="393" spans="1:8" x14ac:dyDescent="0.25">
      <c r="A393" s="1">
        <v>45659.291666666664</v>
      </c>
      <c r="B393" t="s">
        <v>15</v>
      </c>
      <c r="C393">
        <v>186.25</v>
      </c>
      <c r="D393">
        <v>51.21</v>
      </c>
      <c r="E393" t="s">
        <v>9</v>
      </c>
      <c r="F393">
        <v>79.08</v>
      </c>
      <c r="G393" t="s">
        <v>16</v>
      </c>
      <c r="H393" t="s">
        <v>11</v>
      </c>
    </row>
    <row r="394" spans="1:8" x14ac:dyDescent="0.25">
      <c r="A394" s="1">
        <v>45659.333333333336</v>
      </c>
      <c r="B394" t="s">
        <v>15</v>
      </c>
      <c r="C394">
        <v>170.22</v>
      </c>
      <c r="D394">
        <v>33.799999999999997</v>
      </c>
      <c r="E394" t="s">
        <v>9</v>
      </c>
      <c r="F394">
        <v>43.64</v>
      </c>
      <c r="G394" t="s">
        <v>16</v>
      </c>
      <c r="H394" t="s">
        <v>11</v>
      </c>
    </row>
    <row r="395" spans="1:8" x14ac:dyDescent="0.25">
      <c r="A395" s="1">
        <v>45659.375</v>
      </c>
      <c r="B395" t="s">
        <v>15</v>
      </c>
      <c r="C395">
        <v>94.35</v>
      </c>
      <c r="D395">
        <v>32.79</v>
      </c>
      <c r="E395" t="s">
        <v>9</v>
      </c>
      <c r="F395">
        <v>72.53</v>
      </c>
      <c r="G395" t="s">
        <v>16</v>
      </c>
      <c r="H395" t="s">
        <v>13</v>
      </c>
    </row>
    <row r="396" spans="1:8" x14ac:dyDescent="0.25">
      <c r="A396" s="1">
        <v>45659.416666666664</v>
      </c>
      <c r="B396" t="s">
        <v>15</v>
      </c>
      <c r="C396">
        <v>435.66</v>
      </c>
      <c r="D396">
        <v>47.62</v>
      </c>
      <c r="E396" t="s">
        <v>9</v>
      </c>
      <c r="F396">
        <v>35.36</v>
      </c>
      <c r="G396" t="s">
        <v>16</v>
      </c>
      <c r="H396" t="s">
        <v>13</v>
      </c>
    </row>
    <row r="397" spans="1:8" x14ac:dyDescent="0.25">
      <c r="A397" s="1">
        <v>45659.458333333336</v>
      </c>
      <c r="B397" t="s">
        <v>15</v>
      </c>
      <c r="C397">
        <v>159.63999999999999</v>
      </c>
      <c r="D397">
        <v>51.96</v>
      </c>
      <c r="E397" t="s">
        <v>9</v>
      </c>
      <c r="F397">
        <v>65.48</v>
      </c>
      <c r="G397" t="s">
        <v>16</v>
      </c>
      <c r="H397" t="s">
        <v>12</v>
      </c>
    </row>
    <row r="398" spans="1:8" x14ac:dyDescent="0.25">
      <c r="A398" s="1">
        <v>45659.5</v>
      </c>
      <c r="B398" t="s">
        <v>15</v>
      </c>
      <c r="C398">
        <v>83.99</v>
      </c>
      <c r="D398">
        <v>81.03</v>
      </c>
      <c r="E398" t="s">
        <v>9</v>
      </c>
      <c r="F398">
        <v>55.66</v>
      </c>
      <c r="G398" t="s">
        <v>16</v>
      </c>
      <c r="H398" t="s">
        <v>11</v>
      </c>
    </row>
    <row r="399" spans="1:8" x14ac:dyDescent="0.25">
      <c r="A399" s="1">
        <v>45659.541666666664</v>
      </c>
      <c r="B399" t="s">
        <v>15</v>
      </c>
      <c r="C399">
        <v>308.77999999999997</v>
      </c>
      <c r="D399">
        <v>77.72</v>
      </c>
      <c r="E399" t="s">
        <v>9</v>
      </c>
      <c r="F399">
        <v>31.04</v>
      </c>
      <c r="G399" t="s">
        <v>16</v>
      </c>
      <c r="H399" t="s">
        <v>11</v>
      </c>
    </row>
    <row r="400" spans="1:8" x14ac:dyDescent="0.25">
      <c r="A400" s="1">
        <v>45659.583333333336</v>
      </c>
      <c r="B400" t="s">
        <v>15</v>
      </c>
      <c r="C400">
        <v>482.69</v>
      </c>
      <c r="D400">
        <v>79.39</v>
      </c>
      <c r="E400" t="s">
        <v>9</v>
      </c>
      <c r="F400">
        <v>57.58</v>
      </c>
      <c r="G400" t="s">
        <v>16</v>
      </c>
      <c r="H400" t="s">
        <v>13</v>
      </c>
    </row>
    <row r="401" spans="1:8" x14ac:dyDescent="0.25">
      <c r="A401" s="1">
        <v>45659.625</v>
      </c>
      <c r="B401" t="s">
        <v>15</v>
      </c>
      <c r="C401">
        <v>54.96</v>
      </c>
      <c r="D401">
        <v>47.75</v>
      </c>
      <c r="E401" t="s">
        <v>9</v>
      </c>
      <c r="F401">
        <v>39.299999999999997</v>
      </c>
      <c r="G401" t="s">
        <v>16</v>
      </c>
      <c r="H401" t="s">
        <v>11</v>
      </c>
    </row>
    <row r="402" spans="1:8" x14ac:dyDescent="0.25">
      <c r="A402" s="1">
        <v>45659.666666666664</v>
      </c>
      <c r="B402" t="s">
        <v>15</v>
      </c>
      <c r="C402">
        <v>303.42</v>
      </c>
      <c r="D402">
        <v>90.45</v>
      </c>
      <c r="E402" t="s">
        <v>14</v>
      </c>
      <c r="F402">
        <v>30.23</v>
      </c>
      <c r="G402" t="s">
        <v>16</v>
      </c>
      <c r="H402" t="s">
        <v>12</v>
      </c>
    </row>
    <row r="403" spans="1:8" x14ac:dyDescent="0.25">
      <c r="A403" s="1">
        <v>45659.708333333336</v>
      </c>
      <c r="B403" t="s">
        <v>15</v>
      </c>
      <c r="C403">
        <v>248.86</v>
      </c>
      <c r="D403">
        <v>25.57</v>
      </c>
      <c r="E403" t="s">
        <v>9</v>
      </c>
      <c r="F403">
        <v>75.86</v>
      </c>
      <c r="G403" t="s">
        <v>16</v>
      </c>
      <c r="H403" t="s">
        <v>11</v>
      </c>
    </row>
    <row r="404" spans="1:8" x14ac:dyDescent="0.25">
      <c r="A404" s="1">
        <v>45659.75</v>
      </c>
      <c r="B404" t="s">
        <v>15</v>
      </c>
      <c r="C404">
        <v>306.58</v>
      </c>
      <c r="D404">
        <v>83.8</v>
      </c>
      <c r="E404" t="s">
        <v>9</v>
      </c>
      <c r="F404">
        <v>58.63</v>
      </c>
      <c r="G404" t="s">
        <v>16</v>
      </c>
      <c r="H404" t="s">
        <v>11</v>
      </c>
    </row>
    <row r="405" spans="1:8" x14ac:dyDescent="0.25">
      <c r="A405" s="1">
        <v>45659.791666666664</v>
      </c>
      <c r="B405" t="s">
        <v>15</v>
      </c>
      <c r="C405">
        <v>446.99</v>
      </c>
      <c r="D405">
        <v>49.14</v>
      </c>
      <c r="E405" t="s">
        <v>9</v>
      </c>
      <c r="F405">
        <v>74.86</v>
      </c>
      <c r="G405" t="s">
        <v>16</v>
      </c>
      <c r="H405" t="s">
        <v>12</v>
      </c>
    </row>
    <row r="406" spans="1:8" x14ac:dyDescent="0.25">
      <c r="A406" s="1">
        <v>45659.833333333336</v>
      </c>
      <c r="B406" t="s">
        <v>15</v>
      </c>
      <c r="C406">
        <v>233.55</v>
      </c>
      <c r="D406">
        <v>37.270000000000003</v>
      </c>
      <c r="E406" t="s">
        <v>9</v>
      </c>
      <c r="F406">
        <v>63.47</v>
      </c>
      <c r="G406" t="s">
        <v>16</v>
      </c>
      <c r="H406" t="s">
        <v>11</v>
      </c>
    </row>
    <row r="407" spans="1:8" x14ac:dyDescent="0.25">
      <c r="A407" s="1">
        <v>45659.875</v>
      </c>
      <c r="B407" t="s">
        <v>15</v>
      </c>
      <c r="C407">
        <v>314.31</v>
      </c>
      <c r="D407">
        <v>28.11</v>
      </c>
      <c r="E407" t="s">
        <v>9</v>
      </c>
      <c r="F407">
        <v>87.77</v>
      </c>
      <c r="G407" t="s">
        <v>16</v>
      </c>
      <c r="H407" t="s">
        <v>12</v>
      </c>
    </row>
    <row r="408" spans="1:8" x14ac:dyDescent="0.25">
      <c r="A408" s="1">
        <v>45659.916666666664</v>
      </c>
      <c r="B408" t="s">
        <v>15</v>
      </c>
      <c r="C408">
        <v>426.59</v>
      </c>
      <c r="D408">
        <v>60.35</v>
      </c>
      <c r="E408" t="s">
        <v>9</v>
      </c>
      <c r="F408">
        <v>89.95</v>
      </c>
      <c r="G408" t="s">
        <v>16</v>
      </c>
      <c r="H408" t="s">
        <v>11</v>
      </c>
    </row>
    <row r="409" spans="1:8" x14ac:dyDescent="0.25">
      <c r="A409" s="1">
        <v>45659.958333333336</v>
      </c>
      <c r="B409" t="s">
        <v>15</v>
      </c>
      <c r="C409">
        <v>176.2</v>
      </c>
      <c r="D409">
        <v>26.94</v>
      </c>
      <c r="E409" t="s">
        <v>9</v>
      </c>
      <c r="F409">
        <v>39.840000000000003</v>
      </c>
      <c r="G409" t="s">
        <v>16</v>
      </c>
      <c r="H409" t="s">
        <v>12</v>
      </c>
    </row>
    <row r="410" spans="1:8" x14ac:dyDescent="0.25">
      <c r="A410" s="1">
        <v>45660</v>
      </c>
      <c r="B410" t="s">
        <v>15</v>
      </c>
      <c r="C410">
        <v>487.64</v>
      </c>
      <c r="D410">
        <v>58.06</v>
      </c>
      <c r="E410" t="s">
        <v>9</v>
      </c>
      <c r="F410">
        <v>63.59</v>
      </c>
      <c r="G410" t="s">
        <v>16</v>
      </c>
      <c r="H410" t="s">
        <v>11</v>
      </c>
    </row>
    <row r="411" spans="1:8" x14ac:dyDescent="0.25">
      <c r="A411" s="1">
        <v>45660.041666666664</v>
      </c>
      <c r="B411" t="s">
        <v>15</v>
      </c>
      <c r="C411">
        <v>446.58</v>
      </c>
      <c r="D411">
        <v>40.590000000000003</v>
      </c>
      <c r="E411" t="s">
        <v>9</v>
      </c>
      <c r="F411">
        <v>36.770000000000003</v>
      </c>
      <c r="G411" t="s">
        <v>16</v>
      </c>
      <c r="H411" t="s">
        <v>13</v>
      </c>
    </row>
    <row r="412" spans="1:8" x14ac:dyDescent="0.25">
      <c r="A412" s="1">
        <v>45660.083333333336</v>
      </c>
      <c r="B412" t="s">
        <v>15</v>
      </c>
      <c r="C412">
        <v>72.44</v>
      </c>
      <c r="D412">
        <v>62.87</v>
      </c>
      <c r="E412" t="s">
        <v>9</v>
      </c>
      <c r="F412">
        <v>78.41</v>
      </c>
      <c r="G412" t="s">
        <v>16</v>
      </c>
      <c r="H412" t="s">
        <v>13</v>
      </c>
    </row>
    <row r="413" spans="1:8" x14ac:dyDescent="0.25">
      <c r="A413" s="1">
        <v>45660.125</v>
      </c>
      <c r="B413" t="s">
        <v>15</v>
      </c>
      <c r="C413">
        <v>381.56</v>
      </c>
      <c r="D413">
        <v>50.72</v>
      </c>
      <c r="E413" t="s">
        <v>9</v>
      </c>
      <c r="F413">
        <v>89.36</v>
      </c>
      <c r="G413" t="s">
        <v>16</v>
      </c>
      <c r="H413" t="s">
        <v>13</v>
      </c>
    </row>
    <row r="414" spans="1:8" x14ac:dyDescent="0.25">
      <c r="A414" s="1">
        <v>45660.166666666664</v>
      </c>
      <c r="B414" t="s">
        <v>15</v>
      </c>
      <c r="C414">
        <v>112.23</v>
      </c>
      <c r="D414">
        <v>48.52</v>
      </c>
      <c r="E414" t="s">
        <v>9</v>
      </c>
      <c r="F414">
        <v>63.14</v>
      </c>
      <c r="G414" t="s">
        <v>16</v>
      </c>
      <c r="H414" t="s">
        <v>12</v>
      </c>
    </row>
    <row r="415" spans="1:8" x14ac:dyDescent="0.25">
      <c r="A415" s="1">
        <v>45660.208333333336</v>
      </c>
      <c r="B415" t="s">
        <v>15</v>
      </c>
      <c r="C415">
        <v>192.17</v>
      </c>
      <c r="D415">
        <v>73.08</v>
      </c>
      <c r="E415" t="s">
        <v>9</v>
      </c>
      <c r="F415">
        <v>82.48</v>
      </c>
      <c r="G415" t="s">
        <v>16</v>
      </c>
      <c r="H415" t="s">
        <v>11</v>
      </c>
    </row>
    <row r="416" spans="1:8" x14ac:dyDescent="0.25">
      <c r="A416" s="1">
        <v>45660.25</v>
      </c>
      <c r="B416" t="s">
        <v>15</v>
      </c>
      <c r="C416">
        <v>473.55</v>
      </c>
      <c r="D416">
        <v>83.8</v>
      </c>
      <c r="E416" t="s">
        <v>9</v>
      </c>
      <c r="F416">
        <v>63.86</v>
      </c>
      <c r="G416" t="s">
        <v>16</v>
      </c>
      <c r="H416" t="s">
        <v>12</v>
      </c>
    </row>
    <row r="417" spans="1:8" x14ac:dyDescent="0.25">
      <c r="A417" s="1">
        <v>45660.291666666664</v>
      </c>
      <c r="B417" t="s">
        <v>15</v>
      </c>
      <c r="C417">
        <v>421.65</v>
      </c>
      <c r="D417">
        <v>38.590000000000003</v>
      </c>
      <c r="E417" t="s">
        <v>9</v>
      </c>
      <c r="F417">
        <v>53.91</v>
      </c>
      <c r="G417" t="s">
        <v>16</v>
      </c>
      <c r="H417" t="s">
        <v>11</v>
      </c>
    </row>
    <row r="418" spans="1:8" x14ac:dyDescent="0.25">
      <c r="A418" s="1">
        <v>45660.333333333336</v>
      </c>
      <c r="B418" t="s">
        <v>15</v>
      </c>
      <c r="C418">
        <v>359.76</v>
      </c>
      <c r="D418">
        <v>35.04</v>
      </c>
      <c r="E418" t="s">
        <v>9</v>
      </c>
      <c r="F418">
        <v>45.28</v>
      </c>
      <c r="G418" t="s">
        <v>16</v>
      </c>
      <c r="H418" t="s">
        <v>12</v>
      </c>
    </row>
    <row r="419" spans="1:8" x14ac:dyDescent="0.25">
      <c r="A419" s="1">
        <v>45660.375</v>
      </c>
      <c r="B419" t="s">
        <v>15</v>
      </c>
      <c r="C419">
        <v>190.78</v>
      </c>
      <c r="D419">
        <v>21.94</v>
      </c>
      <c r="E419" t="s">
        <v>9</v>
      </c>
      <c r="F419">
        <v>61.61</v>
      </c>
      <c r="G419" t="s">
        <v>16</v>
      </c>
      <c r="H419" t="s">
        <v>11</v>
      </c>
    </row>
    <row r="420" spans="1:8" x14ac:dyDescent="0.25">
      <c r="A420" s="1">
        <v>45660.416666666664</v>
      </c>
      <c r="B420" t="s">
        <v>15</v>
      </c>
      <c r="C420">
        <v>310.91000000000003</v>
      </c>
      <c r="D420">
        <v>64.849999999999994</v>
      </c>
      <c r="E420" t="s">
        <v>9</v>
      </c>
      <c r="F420">
        <v>51.91</v>
      </c>
      <c r="G420" t="s">
        <v>16</v>
      </c>
      <c r="H420" t="s">
        <v>11</v>
      </c>
    </row>
    <row r="421" spans="1:8" x14ac:dyDescent="0.25">
      <c r="A421" s="1">
        <v>45660.458333333336</v>
      </c>
      <c r="B421" t="s">
        <v>15</v>
      </c>
      <c r="C421">
        <v>244.96</v>
      </c>
      <c r="D421">
        <v>78.78</v>
      </c>
      <c r="E421" t="s">
        <v>9</v>
      </c>
      <c r="F421">
        <v>74.37</v>
      </c>
      <c r="G421" t="s">
        <v>16</v>
      </c>
      <c r="H421" t="s">
        <v>13</v>
      </c>
    </row>
    <row r="422" spans="1:8" x14ac:dyDescent="0.25">
      <c r="A422" s="1">
        <v>45660.5</v>
      </c>
      <c r="B422" t="s">
        <v>15</v>
      </c>
      <c r="C422">
        <v>420.92</v>
      </c>
      <c r="D422">
        <v>59.76</v>
      </c>
      <c r="E422" t="s">
        <v>9</v>
      </c>
      <c r="F422">
        <v>40.78</v>
      </c>
      <c r="G422" t="s">
        <v>16</v>
      </c>
      <c r="H422" t="s">
        <v>13</v>
      </c>
    </row>
    <row r="423" spans="1:8" x14ac:dyDescent="0.25">
      <c r="A423" s="1">
        <v>45660.541666666664</v>
      </c>
      <c r="B423" t="s">
        <v>15</v>
      </c>
      <c r="C423">
        <v>73.430000000000007</v>
      </c>
      <c r="D423">
        <v>15.04</v>
      </c>
      <c r="E423" t="s">
        <v>9</v>
      </c>
      <c r="F423">
        <v>77.73</v>
      </c>
      <c r="G423" t="s">
        <v>16</v>
      </c>
      <c r="H423" t="s">
        <v>11</v>
      </c>
    </row>
    <row r="424" spans="1:8" x14ac:dyDescent="0.25">
      <c r="A424" s="1">
        <v>45660.583333333336</v>
      </c>
      <c r="B424" t="s">
        <v>15</v>
      </c>
      <c r="C424">
        <v>278.91000000000003</v>
      </c>
      <c r="D424">
        <v>18.43</v>
      </c>
      <c r="E424" t="s">
        <v>9</v>
      </c>
      <c r="F424">
        <v>62.13</v>
      </c>
      <c r="G424" t="s">
        <v>16</v>
      </c>
      <c r="H424" t="s">
        <v>13</v>
      </c>
    </row>
    <row r="425" spans="1:8" x14ac:dyDescent="0.25">
      <c r="A425" s="1">
        <v>45660.625</v>
      </c>
      <c r="B425" t="s">
        <v>15</v>
      </c>
      <c r="C425">
        <v>436.78</v>
      </c>
      <c r="D425">
        <v>71.489999999999995</v>
      </c>
      <c r="E425" t="s">
        <v>9</v>
      </c>
      <c r="F425">
        <v>58.93</v>
      </c>
      <c r="G425" t="s">
        <v>16</v>
      </c>
      <c r="H425" t="s">
        <v>13</v>
      </c>
    </row>
    <row r="426" spans="1:8" x14ac:dyDescent="0.25">
      <c r="A426" s="1">
        <v>45660.666666666664</v>
      </c>
      <c r="B426" t="s">
        <v>15</v>
      </c>
      <c r="C426">
        <v>469.46</v>
      </c>
      <c r="D426">
        <v>76.39</v>
      </c>
      <c r="E426" t="s">
        <v>9</v>
      </c>
      <c r="F426">
        <v>74.86</v>
      </c>
      <c r="G426" t="s">
        <v>16</v>
      </c>
      <c r="H426" t="s">
        <v>13</v>
      </c>
    </row>
    <row r="427" spans="1:8" x14ac:dyDescent="0.25">
      <c r="A427" s="1">
        <v>45660.708333333336</v>
      </c>
      <c r="B427" t="s">
        <v>15</v>
      </c>
      <c r="C427">
        <v>415</v>
      </c>
      <c r="D427">
        <v>29.98</v>
      </c>
      <c r="E427" t="s">
        <v>9</v>
      </c>
      <c r="F427">
        <v>42.81</v>
      </c>
      <c r="G427" t="s">
        <v>16</v>
      </c>
      <c r="H427" t="s">
        <v>11</v>
      </c>
    </row>
    <row r="428" spans="1:8" x14ac:dyDescent="0.25">
      <c r="A428" s="1">
        <v>45660.75</v>
      </c>
      <c r="B428" t="s">
        <v>15</v>
      </c>
      <c r="C428">
        <v>232.25</v>
      </c>
      <c r="D428">
        <v>89.46</v>
      </c>
      <c r="E428" t="s">
        <v>14</v>
      </c>
      <c r="F428">
        <v>35.340000000000003</v>
      </c>
      <c r="G428" t="s">
        <v>16</v>
      </c>
      <c r="H428" t="s">
        <v>11</v>
      </c>
    </row>
    <row r="429" spans="1:8" x14ac:dyDescent="0.25">
      <c r="A429" s="1">
        <v>45660.791666666664</v>
      </c>
      <c r="B429" t="s">
        <v>15</v>
      </c>
      <c r="C429">
        <v>195.44</v>
      </c>
      <c r="D429">
        <v>89.74</v>
      </c>
      <c r="E429" t="s">
        <v>14</v>
      </c>
      <c r="F429">
        <v>51.8</v>
      </c>
      <c r="G429" t="s">
        <v>16</v>
      </c>
      <c r="H429" t="s">
        <v>12</v>
      </c>
    </row>
    <row r="430" spans="1:8" x14ac:dyDescent="0.25">
      <c r="A430" s="1">
        <v>45660.833333333336</v>
      </c>
      <c r="B430" t="s">
        <v>15</v>
      </c>
      <c r="C430">
        <v>214.99</v>
      </c>
      <c r="D430">
        <v>64.150000000000006</v>
      </c>
      <c r="E430" t="s">
        <v>9</v>
      </c>
      <c r="F430">
        <v>39.56</v>
      </c>
      <c r="G430" t="s">
        <v>16</v>
      </c>
      <c r="H430" t="s">
        <v>11</v>
      </c>
    </row>
    <row r="431" spans="1:8" x14ac:dyDescent="0.25">
      <c r="A431" s="1">
        <v>45660.875</v>
      </c>
      <c r="B431" t="s">
        <v>15</v>
      </c>
      <c r="C431">
        <v>316.11</v>
      </c>
      <c r="D431">
        <v>72.25</v>
      </c>
      <c r="E431" t="s">
        <v>9</v>
      </c>
      <c r="F431">
        <v>74.709999999999994</v>
      </c>
      <c r="G431" t="s">
        <v>16</v>
      </c>
      <c r="H431" t="s">
        <v>13</v>
      </c>
    </row>
    <row r="432" spans="1:8" x14ac:dyDescent="0.25">
      <c r="A432" s="1">
        <v>45660.916666666664</v>
      </c>
      <c r="B432" t="s">
        <v>15</v>
      </c>
      <c r="C432">
        <v>459.25</v>
      </c>
      <c r="D432">
        <v>29.68</v>
      </c>
      <c r="E432" t="s">
        <v>9</v>
      </c>
      <c r="F432">
        <v>54.98</v>
      </c>
      <c r="G432" t="s">
        <v>16</v>
      </c>
      <c r="H432" t="s">
        <v>11</v>
      </c>
    </row>
    <row r="433" spans="1:8" x14ac:dyDescent="0.25">
      <c r="A433" s="1">
        <v>45660.958333333336</v>
      </c>
      <c r="B433" t="s">
        <v>15</v>
      </c>
      <c r="C433">
        <v>319.55</v>
      </c>
      <c r="D433">
        <v>19.809999999999999</v>
      </c>
      <c r="E433" t="s">
        <v>9</v>
      </c>
      <c r="F433">
        <v>43.61</v>
      </c>
      <c r="G433" t="s">
        <v>16</v>
      </c>
      <c r="H433" t="s">
        <v>12</v>
      </c>
    </row>
    <row r="434" spans="1:8" x14ac:dyDescent="0.25">
      <c r="A434" s="1">
        <v>45661</v>
      </c>
      <c r="B434" t="s">
        <v>15</v>
      </c>
      <c r="C434">
        <v>458.78</v>
      </c>
      <c r="D434">
        <v>77.290000000000006</v>
      </c>
      <c r="E434" t="s">
        <v>9</v>
      </c>
      <c r="F434">
        <v>31.16</v>
      </c>
      <c r="G434" t="s">
        <v>16</v>
      </c>
      <c r="H434" t="s">
        <v>12</v>
      </c>
    </row>
    <row r="435" spans="1:8" x14ac:dyDescent="0.25">
      <c r="A435" s="1">
        <v>45661.041666666664</v>
      </c>
      <c r="B435" t="s">
        <v>15</v>
      </c>
      <c r="C435">
        <v>278.68</v>
      </c>
      <c r="D435">
        <v>73.58</v>
      </c>
      <c r="E435" t="s">
        <v>9</v>
      </c>
      <c r="F435">
        <v>89.52</v>
      </c>
      <c r="G435" t="s">
        <v>16</v>
      </c>
      <c r="H435" t="s">
        <v>12</v>
      </c>
    </row>
    <row r="436" spans="1:8" x14ac:dyDescent="0.25">
      <c r="A436" s="1">
        <v>45661.083333333336</v>
      </c>
      <c r="B436" t="s">
        <v>15</v>
      </c>
      <c r="C436">
        <v>335.25</v>
      </c>
      <c r="D436">
        <v>19.829999999999998</v>
      </c>
      <c r="E436" t="s">
        <v>9</v>
      </c>
      <c r="F436">
        <v>84.54</v>
      </c>
      <c r="G436" t="s">
        <v>16</v>
      </c>
      <c r="H436" t="s">
        <v>12</v>
      </c>
    </row>
    <row r="437" spans="1:8" x14ac:dyDescent="0.25">
      <c r="A437" s="1">
        <v>45661.125</v>
      </c>
      <c r="B437" t="s">
        <v>15</v>
      </c>
      <c r="C437">
        <v>416.55</v>
      </c>
      <c r="D437">
        <v>32.950000000000003</v>
      </c>
      <c r="E437" t="s">
        <v>9</v>
      </c>
      <c r="F437">
        <v>42.04</v>
      </c>
      <c r="G437" t="s">
        <v>16</v>
      </c>
      <c r="H437" t="s">
        <v>12</v>
      </c>
    </row>
    <row r="438" spans="1:8" x14ac:dyDescent="0.25">
      <c r="A438" s="1">
        <v>45661.166666666664</v>
      </c>
      <c r="B438" t="s">
        <v>15</v>
      </c>
      <c r="C438">
        <v>226.78</v>
      </c>
      <c r="D438">
        <v>28.54</v>
      </c>
      <c r="E438" t="s">
        <v>9</v>
      </c>
      <c r="F438">
        <v>64.680000000000007</v>
      </c>
      <c r="G438" t="s">
        <v>16</v>
      </c>
      <c r="H438" t="s">
        <v>11</v>
      </c>
    </row>
    <row r="439" spans="1:8" x14ac:dyDescent="0.25">
      <c r="A439" s="1">
        <v>45661.208333333336</v>
      </c>
      <c r="B439" t="s">
        <v>15</v>
      </c>
      <c r="C439">
        <v>276.38</v>
      </c>
      <c r="D439">
        <v>20.71</v>
      </c>
      <c r="E439" t="s">
        <v>9</v>
      </c>
      <c r="F439">
        <v>67.2</v>
      </c>
      <c r="G439" t="s">
        <v>16</v>
      </c>
      <c r="H439" t="s">
        <v>13</v>
      </c>
    </row>
    <row r="440" spans="1:8" x14ac:dyDescent="0.25">
      <c r="A440" s="1">
        <v>45661.25</v>
      </c>
      <c r="B440" t="s">
        <v>15</v>
      </c>
      <c r="C440">
        <v>197.87</v>
      </c>
      <c r="D440">
        <v>37.08</v>
      </c>
      <c r="E440" t="s">
        <v>9</v>
      </c>
      <c r="F440">
        <v>58.7</v>
      </c>
      <c r="G440" t="s">
        <v>16</v>
      </c>
      <c r="H440" t="s">
        <v>13</v>
      </c>
    </row>
    <row r="441" spans="1:8" x14ac:dyDescent="0.25">
      <c r="A441" s="1">
        <v>45661.291666666664</v>
      </c>
      <c r="B441" t="s">
        <v>15</v>
      </c>
      <c r="C441">
        <v>136</v>
      </c>
      <c r="D441">
        <v>76.260000000000005</v>
      </c>
      <c r="E441" t="s">
        <v>9</v>
      </c>
      <c r="F441">
        <v>45.94</v>
      </c>
      <c r="G441" t="s">
        <v>16</v>
      </c>
      <c r="H441" t="s">
        <v>11</v>
      </c>
    </row>
    <row r="442" spans="1:8" x14ac:dyDescent="0.25">
      <c r="A442" s="1">
        <v>45661.333333333336</v>
      </c>
      <c r="B442" t="s">
        <v>15</v>
      </c>
      <c r="C442">
        <v>54.4</v>
      </c>
      <c r="D442">
        <v>20.079999999999998</v>
      </c>
      <c r="E442" t="s">
        <v>9</v>
      </c>
      <c r="F442">
        <v>62.14</v>
      </c>
      <c r="G442" t="s">
        <v>16</v>
      </c>
      <c r="H442" t="s">
        <v>13</v>
      </c>
    </row>
    <row r="443" spans="1:8" x14ac:dyDescent="0.25">
      <c r="A443" s="1">
        <v>45661.375</v>
      </c>
      <c r="B443" t="s">
        <v>15</v>
      </c>
      <c r="C443">
        <v>474.44</v>
      </c>
      <c r="D443">
        <v>89.47</v>
      </c>
      <c r="E443" t="s">
        <v>14</v>
      </c>
      <c r="F443">
        <v>42.41</v>
      </c>
      <c r="G443" t="s">
        <v>16</v>
      </c>
      <c r="H443" t="s">
        <v>11</v>
      </c>
    </row>
    <row r="444" spans="1:8" x14ac:dyDescent="0.25">
      <c r="A444" s="1">
        <v>45661.416666666664</v>
      </c>
      <c r="B444" t="s">
        <v>15</v>
      </c>
      <c r="C444">
        <v>428.89</v>
      </c>
      <c r="D444">
        <v>53.11</v>
      </c>
      <c r="E444" t="s">
        <v>9</v>
      </c>
      <c r="F444">
        <v>69.56</v>
      </c>
      <c r="G444" t="s">
        <v>16</v>
      </c>
      <c r="H444" t="s">
        <v>11</v>
      </c>
    </row>
    <row r="445" spans="1:8" x14ac:dyDescent="0.25">
      <c r="A445" s="1">
        <v>45661.458333333336</v>
      </c>
      <c r="B445" t="s">
        <v>15</v>
      </c>
      <c r="C445">
        <v>455.34</v>
      </c>
      <c r="D445">
        <v>89.33</v>
      </c>
      <c r="E445" t="s">
        <v>14</v>
      </c>
      <c r="F445">
        <v>53.01</v>
      </c>
      <c r="G445" t="s">
        <v>16</v>
      </c>
      <c r="H445" t="s">
        <v>13</v>
      </c>
    </row>
    <row r="446" spans="1:8" x14ac:dyDescent="0.25">
      <c r="A446" s="1">
        <v>45661.5</v>
      </c>
      <c r="B446" t="s">
        <v>15</v>
      </c>
      <c r="C446">
        <v>267.52999999999997</v>
      </c>
      <c r="D446">
        <v>23.04</v>
      </c>
      <c r="E446" t="s">
        <v>9</v>
      </c>
      <c r="F446">
        <v>36.92</v>
      </c>
      <c r="G446" t="s">
        <v>16</v>
      </c>
      <c r="H446" t="s">
        <v>13</v>
      </c>
    </row>
    <row r="447" spans="1:8" x14ac:dyDescent="0.25">
      <c r="A447" s="1">
        <v>45661.541666666664</v>
      </c>
      <c r="B447" t="s">
        <v>15</v>
      </c>
      <c r="C447">
        <v>194.03</v>
      </c>
      <c r="D447">
        <v>48.16</v>
      </c>
      <c r="E447" t="s">
        <v>9</v>
      </c>
      <c r="F447">
        <v>43.78</v>
      </c>
      <c r="G447" t="s">
        <v>16</v>
      </c>
      <c r="H447" t="s">
        <v>12</v>
      </c>
    </row>
    <row r="448" spans="1:8" x14ac:dyDescent="0.25">
      <c r="A448" s="1">
        <v>45661.583333333336</v>
      </c>
      <c r="B448" t="s">
        <v>15</v>
      </c>
      <c r="C448">
        <v>436.48</v>
      </c>
      <c r="D448">
        <v>64.94</v>
      </c>
      <c r="E448" t="s">
        <v>9</v>
      </c>
      <c r="F448">
        <v>75.77</v>
      </c>
      <c r="G448" t="s">
        <v>16</v>
      </c>
      <c r="H448" t="s">
        <v>12</v>
      </c>
    </row>
    <row r="449" spans="1:8" x14ac:dyDescent="0.25">
      <c r="A449" s="1">
        <v>45661.625</v>
      </c>
      <c r="B449" t="s">
        <v>15</v>
      </c>
      <c r="C449">
        <v>210.32</v>
      </c>
      <c r="D449">
        <v>36.19</v>
      </c>
      <c r="E449" t="s">
        <v>9</v>
      </c>
      <c r="F449">
        <v>78.069999999999993</v>
      </c>
      <c r="G449" t="s">
        <v>16</v>
      </c>
      <c r="H449" t="s">
        <v>11</v>
      </c>
    </row>
    <row r="450" spans="1:8" x14ac:dyDescent="0.25">
      <c r="A450" s="1">
        <v>45661.666666666664</v>
      </c>
      <c r="B450" t="s">
        <v>15</v>
      </c>
      <c r="C450">
        <v>267.38</v>
      </c>
      <c r="D450">
        <v>47.7</v>
      </c>
      <c r="E450" t="s">
        <v>9</v>
      </c>
      <c r="F450">
        <v>88.67</v>
      </c>
      <c r="G450" t="s">
        <v>16</v>
      </c>
      <c r="H450" t="s">
        <v>12</v>
      </c>
    </row>
    <row r="451" spans="1:8" x14ac:dyDescent="0.25">
      <c r="A451" s="1">
        <v>45661.708333333336</v>
      </c>
      <c r="B451" t="s">
        <v>15</v>
      </c>
      <c r="C451">
        <v>467.15</v>
      </c>
      <c r="D451">
        <v>66.52</v>
      </c>
      <c r="E451" t="s">
        <v>9</v>
      </c>
      <c r="F451">
        <v>52.78</v>
      </c>
      <c r="G451" t="s">
        <v>16</v>
      </c>
      <c r="H451" t="s">
        <v>12</v>
      </c>
    </row>
    <row r="452" spans="1:8" x14ac:dyDescent="0.25">
      <c r="A452" s="1">
        <v>45661.75</v>
      </c>
      <c r="B452" t="s">
        <v>15</v>
      </c>
      <c r="C452">
        <v>289.04000000000002</v>
      </c>
      <c r="D452">
        <v>22.01</v>
      </c>
      <c r="E452" t="s">
        <v>9</v>
      </c>
      <c r="F452">
        <v>78.73</v>
      </c>
      <c r="G452" t="s">
        <v>16</v>
      </c>
      <c r="H452" t="s">
        <v>12</v>
      </c>
    </row>
    <row r="453" spans="1:8" x14ac:dyDescent="0.25">
      <c r="A453" s="1">
        <v>45661.791666666664</v>
      </c>
      <c r="B453" t="s">
        <v>15</v>
      </c>
      <c r="C453">
        <v>144.62</v>
      </c>
      <c r="D453">
        <v>59.83</v>
      </c>
      <c r="E453" t="s">
        <v>9</v>
      </c>
      <c r="F453">
        <v>66.930000000000007</v>
      </c>
      <c r="G453" t="s">
        <v>16</v>
      </c>
      <c r="H453" t="s">
        <v>11</v>
      </c>
    </row>
    <row r="454" spans="1:8" x14ac:dyDescent="0.25">
      <c r="A454" s="1">
        <v>45661.833333333336</v>
      </c>
      <c r="B454" t="s">
        <v>15</v>
      </c>
      <c r="C454">
        <v>345.28</v>
      </c>
      <c r="D454">
        <v>44.96</v>
      </c>
      <c r="E454" t="s">
        <v>9</v>
      </c>
      <c r="F454">
        <v>46.91</v>
      </c>
      <c r="G454" t="s">
        <v>16</v>
      </c>
      <c r="H454" t="s">
        <v>13</v>
      </c>
    </row>
    <row r="455" spans="1:8" x14ac:dyDescent="0.25">
      <c r="A455" s="1">
        <v>45661.875</v>
      </c>
      <c r="B455" t="s">
        <v>15</v>
      </c>
      <c r="C455">
        <v>194.25</v>
      </c>
      <c r="D455">
        <v>21.58</v>
      </c>
      <c r="E455" t="s">
        <v>9</v>
      </c>
      <c r="F455">
        <v>55.63</v>
      </c>
      <c r="G455" t="s">
        <v>16</v>
      </c>
      <c r="H455" t="s">
        <v>12</v>
      </c>
    </row>
    <row r="456" spans="1:8" x14ac:dyDescent="0.25">
      <c r="A456" s="1">
        <v>45661.916666666664</v>
      </c>
      <c r="B456" t="s">
        <v>15</v>
      </c>
      <c r="C456">
        <v>74.06</v>
      </c>
      <c r="D456">
        <v>50.11</v>
      </c>
      <c r="E456" t="s">
        <v>9</v>
      </c>
      <c r="F456">
        <v>32.96</v>
      </c>
      <c r="G456" t="s">
        <v>16</v>
      </c>
      <c r="H456" t="s">
        <v>11</v>
      </c>
    </row>
    <row r="457" spans="1:8" x14ac:dyDescent="0.25">
      <c r="A457" s="1">
        <v>45661.958333333336</v>
      </c>
      <c r="B457" t="s">
        <v>15</v>
      </c>
      <c r="C457">
        <v>222.23</v>
      </c>
      <c r="D457">
        <v>75.33</v>
      </c>
      <c r="E457" t="s">
        <v>9</v>
      </c>
      <c r="F457">
        <v>48.34</v>
      </c>
      <c r="G457" t="s">
        <v>16</v>
      </c>
      <c r="H457" t="s">
        <v>11</v>
      </c>
    </row>
    <row r="458" spans="1:8" x14ac:dyDescent="0.25">
      <c r="A458" s="1">
        <v>45662</v>
      </c>
      <c r="B458" t="s">
        <v>15</v>
      </c>
      <c r="C458">
        <v>440.22</v>
      </c>
      <c r="D458">
        <v>68.52</v>
      </c>
      <c r="E458" t="s">
        <v>9</v>
      </c>
      <c r="F458">
        <v>32.82</v>
      </c>
      <c r="G458" t="s">
        <v>16</v>
      </c>
      <c r="H458" t="s">
        <v>11</v>
      </c>
    </row>
    <row r="459" spans="1:8" x14ac:dyDescent="0.25">
      <c r="A459" s="1">
        <v>45662.041666666664</v>
      </c>
      <c r="B459" t="s">
        <v>15</v>
      </c>
      <c r="C459">
        <v>393.48</v>
      </c>
      <c r="D459">
        <v>25.05</v>
      </c>
      <c r="E459" t="s">
        <v>9</v>
      </c>
      <c r="F459">
        <v>43.72</v>
      </c>
      <c r="G459" t="s">
        <v>16</v>
      </c>
      <c r="H459" t="s">
        <v>12</v>
      </c>
    </row>
    <row r="460" spans="1:8" x14ac:dyDescent="0.25">
      <c r="A460" s="1">
        <v>45662.083333333336</v>
      </c>
      <c r="B460" t="s">
        <v>15</v>
      </c>
      <c r="C460">
        <v>488.01</v>
      </c>
      <c r="D460">
        <v>78.040000000000006</v>
      </c>
      <c r="E460" t="s">
        <v>9</v>
      </c>
      <c r="F460">
        <v>44.58</v>
      </c>
      <c r="G460" t="s">
        <v>16</v>
      </c>
      <c r="H460" t="s">
        <v>12</v>
      </c>
    </row>
    <row r="461" spans="1:8" x14ac:dyDescent="0.25">
      <c r="A461" s="1">
        <v>45662.125</v>
      </c>
      <c r="B461" t="s">
        <v>15</v>
      </c>
      <c r="C461">
        <v>251.05</v>
      </c>
      <c r="D461">
        <v>14.58</v>
      </c>
      <c r="E461" t="s">
        <v>9</v>
      </c>
      <c r="F461">
        <v>79.16</v>
      </c>
      <c r="G461" t="s">
        <v>16</v>
      </c>
      <c r="H461" t="s">
        <v>13</v>
      </c>
    </row>
    <row r="462" spans="1:8" x14ac:dyDescent="0.25">
      <c r="A462" s="1">
        <v>45662.166666666664</v>
      </c>
      <c r="B462" t="s">
        <v>15</v>
      </c>
      <c r="C462">
        <v>293.33999999999997</v>
      </c>
      <c r="D462">
        <v>68.86</v>
      </c>
      <c r="E462" t="s">
        <v>9</v>
      </c>
      <c r="F462">
        <v>72.16</v>
      </c>
      <c r="G462" t="s">
        <v>16</v>
      </c>
      <c r="H462" t="s">
        <v>12</v>
      </c>
    </row>
    <row r="463" spans="1:8" x14ac:dyDescent="0.25">
      <c r="A463" s="1">
        <v>45662.208333333336</v>
      </c>
      <c r="B463" t="s">
        <v>15</v>
      </c>
      <c r="C463">
        <v>279.02</v>
      </c>
      <c r="D463">
        <v>39.85</v>
      </c>
      <c r="E463" t="s">
        <v>9</v>
      </c>
      <c r="F463">
        <v>88.14</v>
      </c>
      <c r="G463" t="s">
        <v>16</v>
      </c>
      <c r="H463" t="s">
        <v>12</v>
      </c>
    </row>
    <row r="464" spans="1:8" x14ac:dyDescent="0.25">
      <c r="A464" s="1">
        <v>45662.25</v>
      </c>
      <c r="B464" t="s">
        <v>15</v>
      </c>
      <c r="C464">
        <v>441.8</v>
      </c>
      <c r="D464">
        <v>48.16</v>
      </c>
      <c r="E464" t="s">
        <v>9</v>
      </c>
      <c r="F464">
        <v>71.48</v>
      </c>
      <c r="G464" t="s">
        <v>16</v>
      </c>
      <c r="H464" t="s">
        <v>13</v>
      </c>
    </row>
    <row r="465" spans="1:8" x14ac:dyDescent="0.25">
      <c r="A465" s="1">
        <v>45662.291666666664</v>
      </c>
      <c r="B465" t="s">
        <v>15</v>
      </c>
      <c r="C465">
        <v>212.98</v>
      </c>
      <c r="D465">
        <v>67.5</v>
      </c>
      <c r="E465" t="s">
        <v>9</v>
      </c>
      <c r="F465">
        <v>58.25</v>
      </c>
      <c r="G465" t="s">
        <v>16</v>
      </c>
      <c r="H465" t="s">
        <v>13</v>
      </c>
    </row>
    <row r="466" spans="1:8" x14ac:dyDescent="0.25">
      <c r="A466" s="1">
        <v>45662.333333333336</v>
      </c>
      <c r="B466" t="s">
        <v>15</v>
      </c>
      <c r="C466">
        <v>320.76</v>
      </c>
      <c r="D466">
        <v>18.91</v>
      </c>
      <c r="E466" t="s">
        <v>9</v>
      </c>
      <c r="F466">
        <v>54.8</v>
      </c>
      <c r="G466" t="s">
        <v>16</v>
      </c>
      <c r="H466" t="s">
        <v>13</v>
      </c>
    </row>
    <row r="467" spans="1:8" x14ac:dyDescent="0.25">
      <c r="A467" s="1">
        <v>45662.375</v>
      </c>
      <c r="B467" t="s">
        <v>15</v>
      </c>
      <c r="C467">
        <v>181.63</v>
      </c>
      <c r="D467">
        <v>27.57</v>
      </c>
      <c r="E467" t="s">
        <v>9</v>
      </c>
      <c r="F467">
        <v>52.74</v>
      </c>
      <c r="G467" t="s">
        <v>16</v>
      </c>
      <c r="H467" t="s">
        <v>13</v>
      </c>
    </row>
    <row r="468" spans="1:8" x14ac:dyDescent="0.25">
      <c r="A468" s="1">
        <v>45662.416666666664</v>
      </c>
      <c r="B468" t="s">
        <v>15</v>
      </c>
      <c r="C468">
        <v>109.61</v>
      </c>
      <c r="D468">
        <v>68.45</v>
      </c>
      <c r="E468" t="s">
        <v>9</v>
      </c>
      <c r="F468">
        <v>60.52</v>
      </c>
      <c r="G468" t="s">
        <v>16</v>
      </c>
      <c r="H468" t="s">
        <v>11</v>
      </c>
    </row>
    <row r="469" spans="1:8" x14ac:dyDescent="0.25">
      <c r="A469" s="1">
        <v>45662.458333333336</v>
      </c>
      <c r="B469" t="s">
        <v>15</v>
      </c>
      <c r="C469">
        <v>470.67</v>
      </c>
      <c r="D469">
        <v>81.63</v>
      </c>
      <c r="E469" t="s">
        <v>9</v>
      </c>
      <c r="F469">
        <v>80.55</v>
      </c>
      <c r="G469" t="s">
        <v>16</v>
      </c>
      <c r="H469" t="s">
        <v>12</v>
      </c>
    </row>
    <row r="470" spans="1:8" x14ac:dyDescent="0.25">
      <c r="A470" s="1">
        <v>45662.5</v>
      </c>
      <c r="B470" t="s">
        <v>15</v>
      </c>
      <c r="C470">
        <v>444.83</v>
      </c>
      <c r="D470">
        <v>17.260000000000002</v>
      </c>
      <c r="E470" t="s">
        <v>9</v>
      </c>
      <c r="F470">
        <v>78.290000000000006</v>
      </c>
      <c r="G470" t="s">
        <v>16</v>
      </c>
      <c r="H470" t="s">
        <v>13</v>
      </c>
    </row>
    <row r="471" spans="1:8" x14ac:dyDescent="0.25">
      <c r="A471" s="1">
        <v>45662.541666666664</v>
      </c>
      <c r="B471" t="s">
        <v>15</v>
      </c>
      <c r="C471">
        <v>63.98</v>
      </c>
      <c r="D471">
        <v>90.7</v>
      </c>
      <c r="E471" t="s">
        <v>14</v>
      </c>
      <c r="F471">
        <v>44.44</v>
      </c>
      <c r="G471" t="s">
        <v>16</v>
      </c>
      <c r="H471" t="s">
        <v>13</v>
      </c>
    </row>
    <row r="472" spans="1:8" x14ac:dyDescent="0.25">
      <c r="A472" s="1">
        <v>45662.583333333336</v>
      </c>
      <c r="B472" t="s">
        <v>15</v>
      </c>
      <c r="C472">
        <v>362.24</v>
      </c>
      <c r="D472">
        <v>26.92</v>
      </c>
      <c r="E472" t="s">
        <v>9</v>
      </c>
      <c r="F472">
        <v>83.78</v>
      </c>
      <c r="G472" t="s">
        <v>16</v>
      </c>
      <c r="H472" t="s">
        <v>12</v>
      </c>
    </row>
    <row r="473" spans="1:8" x14ac:dyDescent="0.25">
      <c r="A473" s="1">
        <v>45662.625</v>
      </c>
      <c r="B473" t="s">
        <v>15</v>
      </c>
      <c r="C473">
        <v>350.17</v>
      </c>
      <c r="D473">
        <v>87.84</v>
      </c>
      <c r="E473" t="s">
        <v>14</v>
      </c>
      <c r="F473">
        <v>50.74</v>
      </c>
      <c r="G473" t="s">
        <v>16</v>
      </c>
      <c r="H473" t="s">
        <v>12</v>
      </c>
    </row>
    <row r="474" spans="1:8" x14ac:dyDescent="0.25">
      <c r="A474" s="1">
        <v>45662.666666666664</v>
      </c>
      <c r="B474" t="s">
        <v>15</v>
      </c>
      <c r="C474">
        <v>156.35</v>
      </c>
      <c r="D474">
        <v>67.569999999999993</v>
      </c>
      <c r="E474" t="s">
        <v>9</v>
      </c>
      <c r="F474">
        <v>53.52</v>
      </c>
      <c r="G474" t="s">
        <v>16</v>
      </c>
      <c r="H474" t="s">
        <v>11</v>
      </c>
    </row>
    <row r="475" spans="1:8" x14ac:dyDescent="0.25">
      <c r="A475" s="1">
        <v>45662.708333333336</v>
      </c>
      <c r="B475" t="s">
        <v>15</v>
      </c>
      <c r="C475">
        <v>395.05</v>
      </c>
      <c r="D475">
        <v>42.4</v>
      </c>
      <c r="E475" t="s">
        <v>9</v>
      </c>
      <c r="F475">
        <v>52.61</v>
      </c>
      <c r="G475" t="s">
        <v>16</v>
      </c>
      <c r="H475" t="s">
        <v>12</v>
      </c>
    </row>
    <row r="476" spans="1:8" x14ac:dyDescent="0.25">
      <c r="A476" s="1">
        <v>45662.75</v>
      </c>
      <c r="B476" t="s">
        <v>15</v>
      </c>
      <c r="C476">
        <v>426.15</v>
      </c>
      <c r="D476">
        <v>22.21</v>
      </c>
      <c r="E476" t="s">
        <v>9</v>
      </c>
      <c r="F476">
        <v>70.55</v>
      </c>
      <c r="G476" t="s">
        <v>16</v>
      </c>
      <c r="H476" t="s">
        <v>11</v>
      </c>
    </row>
    <row r="477" spans="1:8" x14ac:dyDescent="0.25">
      <c r="A477" s="1">
        <v>45662.791666666664</v>
      </c>
      <c r="B477" t="s">
        <v>15</v>
      </c>
      <c r="C477">
        <v>162.72</v>
      </c>
      <c r="D477">
        <v>79.290000000000006</v>
      </c>
      <c r="E477" t="s">
        <v>9</v>
      </c>
      <c r="F477">
        <v>46.78</v>
      </c>
      <c r="G477" t="s">
        <v>16</v>
      </c>
      <c r="H477" t="s">
        <v>13</v>
      </c>
    </row>
    <row r="478" spans="1:8" x14ac:dyDescent="0.25">
      <c r="A478" s="1">
        <v>45662.833333333336</v>
      </c>
      <c r="B478" t="s">
        <v>15</v>
      </c>
      <c r="C478">
        <v>369.11</v>
      </c>
      <c r="D478">
        <v>15.71</v>
      </c>
      <c r="E478" t="s">
        <v>9</v>
      </c>
      <c r="F478">
        <v>32.19</v>
      </c>
      <c r="G478" t="s">
        <v>16</v>
      </c>
      <c r="H478" t="s">
        <v>11</v>
      </c>
    </row>
    <row r="479" spans="1:8" x14ac:dyDescent="0.25">
      <c r="A479" s="1">
        <v>45662.875</v>
      </c>
      <c r="B479" t="s">
        <v>15</v>
      </c>
      <c r="C479">
        <v>85.34</v>
      </c>
      <c r="D479">
        <v>42.87</v>
      </c>
      <c r="E479" t="s">
        <v>9</v>
      </c>
      <c r="F479">
        <v>74.86</v>
      </c>
      <c r="G479" t="s">
        <v>16</v>
      </c>
      <c r="H479" t="s">
        <v>13</v>
      </c>
    </row>
    <row r="480" spans="1:8" x14ac:dyDescent="0.25">
      <c r="A480" s="1">
        <v>45662.916666666664</v>
      </c>
      <c r="B480" t="s">
        <v>15</v>
      </c>
      <c r="C480">
        <v>383.01</v>
      </c>
      <c r="D480">
        <v>39.090000000000003</v>
      </c>
      <c r="E480" t="s">
        <v>9</v>
      </c>
      <c r="F480">
        <v>81.53</v>
      </c>
      <c r="G480" t="s">
        <v>16</v>
      </c>
      <c r="H480" t="s">
        <v>11</v>
      </c>
    </row>
    <row r="481" spans="1:8" x14ac:dyDescent="0.25">
      <c r="A481" s="1">
        <v>45662.958333333336</v>
      </c>
      <c r="B481" t="s">
        <v>15</v>
      </c>
      <c r="C481">
        <v>321.70999999999998</v>
      </c>
      <c r="D481">
        <v>53.96</v>
      </c>
      <c r="E481" t="s">
        <v>9</v>
      </c>
      <c r="F481">
        <v>32.4</v>
      </c>
      <c r="G481" t="s">
        <v>16</v>
      </c>
      <c r="H481" t="s">
        <v>13</v>
      </c>
    </row>
    <row r="482" spans="1:8" x14ac:dyDescent="0.25">
      <c r="A482" s="1">
        <v>45663</v>
      </c>
      <c r="B482" t="s">
        <v>15</v>
      </c>
      <c r="C482">
        <v>327.60000000000002</v>
      </c>
      <c r="D482">
        <v>14.23</v>
      </c>
      <c r="E482" t="s">
        <v>9</v>
      </c>
      <c r="F482">
        <v>30.57</v>
      </c>
      <c r="G482" t="s">
        <v>16</v>
      </c>
      <c r="H482" t="s">
        <v>11</v>
      </c>
    </row>
    <row r="483" spans="1:8" x14ac:dyDescent="0.25">
      <c r="A483" s="1">
        <v>45663.041666666664</v>
      </c>
      <c r="B483" t="s">
        <v>15</v>
      </c>
      <c r="C483">
        <v>177.93</v>
      </c>
      <c r="D483">
        <v>61.45</v>
      </c>
      <c r="E483" t="s">
        <v>9</v>
      </c>
      <c r="F483">
        <v>65.209999999999994</v>
      </c>
      <c r="G483" t="s">
        <v>16</v>
      </c>
      <c r="H483" t="s">
        <v>12</v>
      </c>
    </row>
    <row r="484" spans="1:8" x14ac:dyDescent="0.25">
      <c r="A484" s="1">
        <v>45663.083333333336</v>
      </c>
      <c r="B484" t="s">
        <v>15</v>
      </c>
      <c r="C484">
        <v>426.25</v>
      </c>
      <c r="D484">
        <v>35.46</v>
      </c>
      <c r="E484" t="s">
        <v>9</v>
      </c>
      <c r="F484">
        <v>56.92</v>
      </c>
      <c r="G484" t="s">
        <v>16</v>
      </c>
      <c r="H484" t="s">
        <v>11</v>
      </c>
    </row>
    <row r="485" spans="1:8" x14ac:dyDescent="0.25">
      <c r="A485" s="1">
        <v>45663.125</v>
      </c>
      <c r="B485" t="s">
        <v>15</v>
      </c>
      <c r="C485">
        <v>438.33</v>
      </c>
      <c r="D485">
        <v>35.549999999999997</v>
      </c>
      <c r="E485" t="s">
        <v>9</v>
      </c>
      <c r="F485">
        <v>65.45</v>
      </c>
      <c r="G485" t="s">
        <v>16</v>
      </c>
      <c r="H485" t="s">
        <v>12</v>
      </c>
    </row>
    <row r="486" spans="1:8" x14ac:dyDescent="0.25">
      <c r="A486" s="1">
        <v>45663.166666666664</v>
      </c>
      <c r="B486" t="s">
        <v>15</v>
      </c>
      <c r="C486">
        <v>340.72</v>
      </c>
      <c r="D486">
        <v>26.2</v>
      </c>
      <c r="E486" t="s">
        <v>9</v>
      </c>
      <c r="F486">
        <v>85.96</v>
      </c>
      <c r="G486" t="s">
        <v>16</v>
      </c>
      <c r="H486" t="s">
        <v>11</v>
      </c>
    </row>
    <row r="487" spans="1:8" x14ac:dyDescent="0.25">
      <c r="A487" s="1">
        <v>45663.208333333336</v>
      </c>
      <c r="B487" t="s">
        <v>15</v>
      </c>
      <c r="C487">
        <v>359.7</v>
      </c>
      <c r="D487">
        <v>77.59</v>
      </c>
      <c r="E487" t="s">
        <v>9</v>
      </c>
      <c r="F487">
        <v>77.72</v>
      </c>
      <c r="G487" t="s">
        <v>16</v>
      </c>
      <c r="H487" t="s">
        <v>11</v>
      </c>
    </row>
    <row r="488" spans="1:8" x14ac:dyDescent="0.25">
      <c r="A488" s="1">
        <v>45663.25</v>
      </c>
      <c r="B488" t="s">
        <v>15</v>
      </c>
      <c r="C488">
        <v>269.19</v>
      </c>
      <c r="D488">
        <v>85.14</v>
      </c>
      <c r="E488" t="s">
        <v>14</v>
      </c>
      <c r="F488">
        <v>61.64</v>
      </c>
      <c r="G488" t="s">
        <v>16</v>
      </c>
      <c r="H488" t="s">
        <v>12</v>
      </c>
    </row>
    <row r="489" spans="1:8" x14ac:dyDescent="0.25">
      <c r="A489" s="1">
        <v>45663.291666666664</v>
      </c>
      <c r="B489" t="s">
        <v>15</v>
      </c>
      <c r="C489">
        <v>260.49</v>
      </c>
      <c r="D489">
        <v>36.1</v>
      </c>
      <c r="E489" t="s">
        <v>9</v>
      </c>
      <c r="F489">
        <v>57.81</v>
      </c>
      <c r="G489" t="s">
        <v>16</v>
      </c>
      <c r="H489" t="s">
        <v>11</v>
      </c>
    </row>
    <row r="490" spans="1:8" x14ac:dyDescent="0.25">
      <c r="A490" s="1">
        <v>45663.333333333336</v>
      </c>
      <c r="B490" t="s">
        <v>15</v>
      </c>
      <c r="C490">
        <v>254.81</v>
      </c>
      <c r="D490">
        <v>59.04</v>
      </c>
      <c r="E490" t="s">
        <v>9</v>
      </c>
      <c r="F490">
        <v>54.24</v>
      </c>
      <c r="G490" t="s">
        <v>16</v>
      </c>
      <c r="H490" t="s">
        <v>11</v>
      </c>
    </row>
    <row r="491" spans="1:8" x14ac:dyDescent="0.25">
      <c r="A491" s="1">
        <v>45663.375</v>
      </c>
      <c r="B491" t="s">
        <v>15</v>
      </c>
      <c r="C491">
        <v>474.49</v>
      </c>
      <c r="D491">
        <v>56.14</v>
      </c>
      <c r="E491" t="s">
        <v>9</v>
      </c>
      <c r="F491">
        <v>70.63</v>
      </c>
      <c r="G491" t="s">
        <v>16</v>
      </c>
      <c r="H491" t="s">
        <v>13</v>
      </c>
    </row>
    <row r="492" spans="1:8" x14ac:dyDescent="0.25">
      <c r="A492" s="1">
        <v>45663.416666666664</v>
      </c>
      <c r="B492" t="s">
        <v>15</v>
      </c>
      <c r="C492">
        <v>335.21</v>
      </c>
      <c r="D492">
        <v>50.45</v>
      </c>
      <c r="E492" t="s">
        <v>9</v>
      </c>
      <c r="F492">
        <v>50.27</v>
      </c>
      <c r="G492" t="s">
        <v>16</v>
      </c>
      <c r="H492" t="s">
        <v>13</v>
      </c>
    </row>
    <row r="493" spans="1:8" x14ac:dyDescent="0.25">
      <c r="A493" s="1">
        <v>45663.458333333336</v>
      </c>
      <c r="B493" t="s">
        <v>15</v>
      </c>
      <c r="C493">
        <v>159.03</v>
      </c>
      <c r="D493">
        <v>88.88</v>
      </c>
      <c r="E493" t="s">
        <v>14</v>
      </c>
      <c r="F493">
        <v>61.3</v>
      </c>
      <c r="G493" t="s">
        <v>16</v>
      </c>
      <c r="H493" t="s">
        <v>12</v>
      </c>
    </row>
    <row r="494" spans="1:8" x14ac:dyDescent="0.25">
      <c r="A494" s="1">
        <v>45663.5</v>
      </c>
      <c r="B494" t="s">
        <v>15</v>
      </c>
      <c r="C494">
        <v>330.43</v>
      </c>
      <c r="D494">
        <v>20.03</v>
      </c>
      <c r="E494" t="s">
        <v>9</v>
      </c>
      <c r="F494">
        <v>60.22</v>
      </c>
      <c r="G494" t="s">
        <v>16</v>
      </c>
      <c r="H494" t="s">
        <v>11</v>
      </c>
    </row>
    <row r="495" spans="1:8" x14ac:dyDescent="0.25">
      <c r="A495" s="1">
        <v>45663.541666666664</v>
      </c>
      <c r="B495" t="s">
        <v>15</v>
      </c>
      <c r="C495">
        <v>76.22</v>
      </c>
      <c r="D495">
        <v>88.61</v>
      </c>
      <c r="E495" t="s">
        <v>14</v>
      </c>
      <c r="F495">
        <v>82.47</v>
      </c>
      <c r="G495" t="s">
        <v>16</v>
      </c>
      <c r="H495" t="s">
        <v>13</v>
      </c>
    </row>
    <row r="496" spans="1:8" x14ac:dyDescent="0.25">
      <c r="A496" s="1">
        <v>45663.583333333336</v>
      </c>
      <c r="B496" t="s">
        <v>15</v>
      </c>
      <c r="C496">
        <v>382.23</v>
      </c>
      <c r="D496">
        <v>41.18</v>
      </c>
      <c r="E496" t="s">
        <v>9</v>
      </c>
      <c r="F496">
        <v>75.91</v>
      </c>
      <c r="G496" t="s">
        <v>16</v>
      </c>
      <c r="H496" t="s">
        <v>12</v>
      </c>
    </row>
    <row r="497" spans="1:8" x14ac:dyDescent="0.25">
      <c r="A497" s="1">
        <v>45663.625</v>
      </c>
      <c r="B497" t="s">
        <v>15</v>
      </c>
      <c r="C497">
        <v>257.02999999999997</v>
      </c>
      <c r="D497">
        <v>38.119999999999997</v>
      </c>
      <c r="E497" t="s">
        <v>9</v>
      </c>
      <c r="F497">
        <v>31.98</v>
      </c>
      <c r="G497" t="s">
        <v>16</v>
      </c>
      <c r="H497" t="s">
        <v>11</v>
      </c>
    </row>
    <row r="498" spans="1:8" x14ac:dyDescent="0.25">
      <c r="A498" s="1">
        <v>45663.666666666664</v>
      </c>
      <c r="B498" t="s">
        <v>15</v>
      </c>
      <c r="C498">
        <v>344.3</v>
      </c>
      <c r="D498">
        <v>64.11</v>
      </c>
      <c r="E498" t="s">
        <v>9</v>
      </c>
      <c r="F498">
        <v>48.59</v>
      </c>
      <c r="G498" t="s">
        <v>16</v>
      </c>
      <c r="H498" t="s">
        <v>11</v>
      </c>
    </row>
    <row r="499" spans="1:8" x14ac:dyDescent="0.25">
      <c r="A499" s="1">
        <v>45663.708333333336</v>
      </c>
      <c r="B499" t="s">
        <v>15</v>
      </c>
      <c r="C499">
        <v>497.57</v>
      </c>
      <c r="D499">
        <v>53.04</v>
      </c>
      <c r="E499" t="s">
        <v>9</v>
      </c>
      <c r="F499">
        <v>75.36</v>
      </c>
      <c r="G499" t="s">
        <v>16</v>
      </c>
      <c r="H499" t="s">
        <v>11</v>
      </c>
    </row>
    <row r="500" spans="1:8" x14ac:dyDescent="0.25">
      <c r="A500" s="1">
        <v>45663.75</v>
      </c>
      <c r="B500" t="s">
        <v>15</v>
      </c>
      <c r="C500">
        <v>107.2</v>
      </c>
      <c r="D500">
        <v>42.89</v>
      </c>
      <c r="E500" t="s">
        <v>9</v>
      </c>
      <c r="F500">
        <v>65.55</v>
      </c>
      <c r="G500" t="s">
        <v>16</v>
      </c>
      <c r="H500" t="s">
        <v>13</v>
      </c>
    </row>
    <row r="501" spans="1:8" x14ac:dyDescent="0.25">
      <c r="A501" s="1">
        <v>45663.791666666664</v>
      </c>
      <c r="B501" t="s">
        <v>15</v>
      </c>
      <c r="C501">
        <v>427.26</v>
      </c>
      <c r="D501">
        <v>66.989999999999995</v>
      </c>
      <c r="E501" t="s">
        <v>9</v>
      </c>
      <c r="F501">
        <v>46.53</v>
      </c>
      <c r="G501" t="s">
        <v>16</v>
      </c>
      <c r="H501" t="s">
        <v>13</v>
      </c>
    </row>
    <row r="502" spans="1:8" x14ac:dyDescent="0.25">
      <c r="A502" s="1">
        <v>45663.833333333336</v>
      </c>
      <c r="B502" t="s">
        <v>15</v>
      </c>
      <c r="C502">
        <v>54.12</v>
      </c>
      <c r="D502">
        <v>30.31</v>
      </c>
      <c r="E502" t="s">
        <v>9</v>
      </c>
      <c r="F502">
        <v>87.54</v>
      </c>
      <c r="G502" t="s">
        <v>16</v>
      </c>
      <c r="H502" t="s">
        <v>13</v>
      </c>
    </row>
    <row r="503" spans="1:8" x14ac:dyDescent="0.25">
      <c r="A503" s="1">
        <v>45663.875</v>
      </c>
      <c r="B503" t="s">
        <v>15</v>
      </c>
      <c r="C503">
        <v>136.04</v>
      </c>
      <c r="D503">
        <v>39.33</v>
      </c>
      <c r="E503" t="s">
        <v>9</v>
      </c>
      <c r="F503">
        <v>59.16</v>
      </c>
      <c r="G503" t="s">
        <v>16</v>
      </c>
      <c r="H503" t="s">
        <v>11</v>
      </c>
    </row>
    <row r="504" spans="1:8" x14ac:dyDescent="0.25">
      <c r="A504" s="1">
        <v>45663.916666666664</v>
      </c>
      <c r="B504" t="s">
        <v>15</v>
      </c>
      <c r="C504">
        <v>160.13999999999999</v>
      </c>
      <c r="D504">
        <v>85.41</v>
      </c>
      <c r="E504" t="s">
        <v>14</v>
      </c>
      <c r="F504">
        <v>54.95</v>
      </c>
      <c r="G504" t="s">
        <v>16</v>
      </c>
      <c r="H504" t="s">
        <v>13</v>
      </c>
    </row>
    <row r="505" spans="1:8" x14ac:dyDescent="0.25">
      <c r="A505" s="1">
        <v>45663.958333333336</v>
      </c>
      <c r="B505" t="s">
        <v>15</v>
      </c>
      <c r="C505">
        <v>145.41999999999999</v>
      </c>
      <c r="D505">
        <v>22.51</v>
      </c>
      <c r="E505" t="s">
        <v>9</v>
      </c>
      <c r="F505">
        <v>71.3</v>
      </c>
      <c r="G505" t="s">
        <v>16</v>
      </c>
      <c r="H505" t="s">
        <v>11</v>
      </c>
    </row>
    <row r="506" spans="1:8" x14ac:dyDescent="0.25">
      <c r="A506" s="1">
        <v>45664</v>
      </c>
      <c r="B506" t="s">
        <v>15</v>
      </c>
      <c r="C506">
        <v>282.7</v>
      </c>
      <c r="D506">
        <v>87.55</v>
      </c>
      <c r="E506" t="s">
        <v>14</v>
      </c>
      <c r="F506">
        <v>78.260000000000005</v>
      </c>
      <c r="G506" t="s">
        <v>16</v>
      </c>
      <c r="H506" t="s">
        <v>11</v>
      </c>
    </row>
    <row r="507" spans="1:8" x14ac:dyDescent="0.25">
      <c r="A507" s="1">
        <v>45664.041666666664</v>
      </c>
      <c r="B507" t="s">
        <v>15</v>
      </c>
      <c r="C507">
        <v>54.86</v>
      </c>
      <c r="D507">
        <v>70.790000000000006</v>
      </c>
      <c r="E507" t="s">
        <v>9</v>
      </c>
      <c r="F507">
        <v>36.799999999999997</v>
      </c>
      <c r="G507" t="s">
        <v>16</v>
      </c>
      <c r="H507" t="s">
        <v>11</v>
      </c>
    </row>
    <row r="508" spans="1:8" x14ac:dyDescent="0.25">
      <c r="A508" s="1">
        <v>45664.083333333336</v>
      </c>
      <c r="B508" t="s">
        <v>15</v>
      </c>
      <c r="C508">
        <v>105.12</v>
      </c>
      <c r="D508">
        <v>57.25</v>
      </c>
      <c r="E508" t="s">
        <v>9</v>
      </c>
      <c r="F508">
        <v>82.77</v>
      </c>
      <c r="G508" t="s">
        <v>16</v>
      </c>
      <c r="H508" t="s">
        <v>13</v>
      </c>
    </row>
    <row r="509" spans="1:8" x14ac:dyDescent="0.25">
      <c r="A509" s="1">
        <v>45664.125</v>
      </c>
      <c r="B509" t="s">
        <v>15</v>
      </c>
      <c r="C509">
        <v>87.09</v>
      </c>
      <c r="D509">
        <v>76.010000000000005</v>
      </c>
      <c r="E509" t="s">
        <v>9</v>
      </c>
      <c r="F509">
        <v>34.19</v>
      </c>
      <c r="G509" t="s">
        <v>16</v>
      </c>
      <c r="H509" t="s">
        <v>11</v>
      </c>
    </row>
    <row r="510" spans="1:8" x14ac:dyDescent="0.25">
      <c r="A510" s="1">
        <v>45664.166666666664</v>
      </c>
      <c r="B510" t="s">
        <v>15</v>
      </c>
      <c r="C510">
        <v>196.03</v>
      </c>
      <c r="D510">
        <v>90.55</v>
      </c>
      <c r="E510" t="s">
        <v>14</v>
      </c>
      <c r="F510">
        <v>46.96</v>
      </c>
      <c r="G510" t="s">
        <v>16</v>
      </c>
      <c r="H510" t="s">
        <v>13</v>
      </c>
    </row>
    <row r="511" spans="1:8" x14ac:dyDescent="0.25">
      <c r="A511" s="1">
        <v>45664.208333333336</v>
      </c>
      <c r="B511" t="s">
        <v>15</v>
      </c>
      <c r="C511">
        <v>299.36</v>
      </c>
      <c r="D511">
        <v>56.7</v>
      </c>
      <c r="E511" t="s">
        <v>9</v>
      </c>
      <c r="F511">
        <v>75.84</v>
      </c>
      <c r="G511" t="s">
        <v>16</v>
      </c>
      <c r="H511" t="s">
        <v>13</v>
      </c>
    </row>
    <row r="512" spans="1:8" x14ac:dyDescent="0.25">
      <c r="A512" s="1">
        <v>45664.25</v>
      </c>
      <c r="B512" t="s">
        <v>15</v>
      </c>
      <c r="C512">
        <v>382.34</v>
      </c>
      <c r="D512">
        <v>84.22</v>
      </c>
      <c r="E512" t="s">
        <v>9</v>
      </c>
      <c r="F512">
        <v>67.58</v>
      </c>
      <c r="G512" t="s">
        <v>16</v>
      </c>
      <c r="H512" t="s">
        <v>12</v>
      </c>
    </row>
    <row r="513" spans="1:8" x14ac:dyDescent="0.25">
      <c r="A513" s="1">
        <v>45664.291666666664</v>
      </c>
      <c r="B513" t="s">
        <v>15</v>
      </c>
      <c r="C513">
        <v>381.31</v>
      </c>
      <c r="D513">
        <v>76.709999999999994</v>
      </c>
      <c r="E513" t="s">
        <v>9</v>
      </c>
      <c r="F513">
        <v>69.37</v>
      </c>
      <c r="G513" t="s">
        <v>16</v>
      </c>
      <c r="H513" t="s">
        <v>11</v>
      </c>
    </row>
    <row r="514" spans="1:8" x14ac:dyDescent="0.25">
      <c r="A514" s="1">
        <v>45664.333333333336</v>
      </c>
      <c r="B514" t="s">
        <v>15</v>
      </c>
      <c r="C514">
        <v>398.6</v>
      </c>
      <c r="D514">
        <v>35.46</v>
      </c>
      <c r="E514" t="s">
        <v>9</v>
      </c>
      <c r="F514">
        <v>86.02</v>
      </c>
      <c r="G514" t="s">
        <v>16</v>
      </c>
      <c r="H514" t="s">
        <v>12</v>
      </c>
    </row>
    <row r="515" spans="1:8" x14ac:dyDescent="0.25">
      <c r="A515" s="1">
        <v>45664.375</v>
      </c>
      <c r="B515" t="s">
        <v>15</v>
      </c>
      <c r="C515">
        <v>331.74</v>
      </c>
      <c r="D515">
        <v>86.18</v>
      </c>
      <c r="E515" t="s">
        <v>14</v>
      </c>
      <c r="F515">
        <v>60.34</v>
      </c>
      <c r="G515" t="s">
        <v>16</v>
      </c>
      <c r="H515" t="s">
        <v>11</v>
      </c>
    </row>
    <row r="516" spans="1:8" x14ac:dyDescent="0.25">
      <c r="A516" s="1">
        <v>45664.416666666664</v>
      </c>
      <c r="B516" t="s">
        <v>15</v>
      </c>
      <c r="C516">
        <v>328.02</v>
      </c>
      <c r="D516">
        <v>76.37</v>
      </c>
      <c r="E516" t="s">
        <v>9</v>
      </c>
      <c r="F516">
        <v>36.24</v>
      </c>
      <c r="G516" t="s">
        <v>16</v>
      </c>
      <c r="H516" t="s">
        <v>12</v>
      </c>
    </row>
    <row r="517" spans="1:8" x14ac:dyDescent="0.25">
      <c r="A517" s="1">
        <v>45664.458333333336</v>
      </c>
      <c r="B517" t="s">
        <v>15</v>
      </c>
      <c r="C517">
        <v>176.24</v>
      </c>
      <c r="D517">
        <v>80.459999999999994</v>
      </c>
      <c r="E517" t="s">
        <v>9</v>
      </c>
      <c r="F517">
        <v>65.06</v>
      </c>
      <c r="G517" t="s">
        <v>16</v>
      </c>
      <c r="H517" t="s">
        <v>12</v>
      </c>
    </row>
    <row r="518" spans="1:8" x14ac:dyDescent="0.25">
      <c r="A518" s="1">
        <v>45664.5</v>
      </c>
      <c r="B518" t="s">
        <v>15</v>
      </c>
      <c r="C518">
        <v>283.25</v>
      </c>
      <c r="D518">
        <v>51.4</v>
      </c>
      <c r="E518" t="s">
        <v>9</v>
      </c>
      <c r="F518">
        <v>48.87</v>
      </c>
      <c r="G518" t="s">
        <v>16</v>
      </c>
      <c r="H518" t="s">
        <v>11</v>
      </c>
    </row>
    <row r="519" spans="1:8" x14ac:dyDescent="0.25">
      <c r="A519" s="1">
        <v>45664.541666666664</v>
      </c>
      <c r="B519" t="s">
        <v>15</v>
      </c>
      <c r="C519">
        <v>381.68</v>
      </c>
      <c r="D519">
        <v>19.670000000000002</v>
      </c>
      <c r="E519" t="s">
        <v>9</v>
      </c>
      <c r="F519">
        <v>81.87</v>
      </c>
      <c r="G519" t="s">
        <v>16</v>
      </c>
      <c r="H519" t="s">
        <v>11</v>
      </c>
    </row>
    <row r="520" spans="1:8" x14ac:dyDescent="0.25">
      <c r="A520" s="1">
        <v>45664.583333333336</v>
      </c>
      <c r="B520" t="s">
        <v>15</v>
      </c>
      <c r="C520">
        <v>364.69</v>
      </c>
      <c r="D520">
        <v>71.599999999999994</v>
      </c>
      <c r="E520" t="s">
        <v>9</v>
      </c>
      <c r="F520">
        <v>33.119999999999997</v>
      </c>
      <c r="G520" t="s">
        <v>16</v>
      </c>
      <c r="H520" t="s">
        <v>12</v>
      </c>
    </row>
    <row r="521" spans="1:8" x14ac:dyDescent="0.25">
      <c r="A521" s="1">
        <v>45664.625</v>
      </c>
      <c r="B521" t="s">
        <v>15</v>
      </c>
      <c r="C521">
        <v>256.20999999999998</v>
      </c>
      <c r="D521">
        <v>35.26</v>
      </c>
      <c r="E521" t="s">
        <v>9</v>
      </c>
      <c r="F521">
        <v>44.51</v>
      </c>
      <c r="G521" t="s">
        <v>16</v>
      </c>
      <c r="H521" t="s">
        <v>11</v>
      </c>
    </row>
    <row r="522" spans="1:8" x14ac:dyDescent="0.25">
      <c r="A522" s="1">
        <v>45664.666666666664</v>
      </c>
      <c r="B522" t="s">
        <v>15</v>
      </c>
      <c r="C522">
        <v>418.03</v>
      </c>
      <c r="D522">
        <v>42.04</v>
      </c>
      <c r="E522" t="s">
        <v>9</v>
      </c>
      <c r="F522">
        <v>78.459999999999994</v>
      </c>
      <c r="G522" t="s">
        <v>16</v>
      </c>
      <c r="H522" t="s">
        <v>13</v>
      </c>
    </row>
    <row r="523" spans="1:8" x14ac:dyDescent="0.25">
      <c r="A523" s="1">
        <v>45664.708333333336</v>
      </c>
      <c r="B523" t="s">
        <v>15</v>
      </c>
      <c r="C523">
        <v>93.57</v>
      </c>
      <c r="D523">
        <v>52.56</v>
      </c>
      <c r="E523" t="s">
        <v>9</v>
      </c>
      <c r="F523">
        <v>89.5</v>
      </c>
      <c r="G523" t="s">
        <v>16</v>
      </c>
      <c r="H523" t="s">
        <v>13</v>
      </c>
    </row>
    <row r="524" spans="1:8" x14ac:dyDescent="0.25">
      <c r="A524" s="1">
        <v>45664.75</v>
      </c>
      <c r="B524" t="s">
        <v>15</v>
      </c>
      <c r="C524">
        <v>144.74</v>
      </c>
      <c r="D524">
        <v>54.61</v>
      </c>
      <c r="E524" t="s">
        <v>9</v>
      </c>
      <c r="F524">
        <v>44.02</v>
      </c>
      <c r="G524" t="s">
        <v>16</v>
      </c>
      <c r="H524" t="s">
        <v>11</v>
      </c>
    </row>
    <row r="525" spans="1:8" x14ac:dyDescent="0.25">
      <c r="A525" s="1">
        <v>45664.791666666664</v>
      </c>
      <c r="B525" t="s">
        <v>15</v>
      </c>
      <c r="C525">
        <v>401.04</v>
      </c>
      <c r="D525">
        <v>76.48</v>
      </c>
      <c r="E525" t="s">
        <v>9</v>
      </c>
      <c r="F525">
        <v>43.69</v>
      </c>
      <c r="G525" t="s">
        <v>16</v>
      </c>
      <c r="H525" t="s">
        <v>12</v>
      </c>
    </row>
    <row r="526" spans="1:8" x14ac:dyDescent="0.25">
      <c r="A526" s="1">
        <v>45664.833333333336</v>
      </c>
      <c r="B526" t="s">
        <v>15</v>
      </c>
      <c r="C526">
        <v>262.11</v>
      </c>
      <c r="D526">
        <v>28.24</v>
      </c>
      <c r="E526" t="s">
        <v>9</v>
      </c>
      <c r="F526">
        <v>38.700000000000003</v>
      </c>
      <c r="G526" t="s">
        <v>16</v>
      </c>
      <c r="H526" t="s">
        <v>13</v>
      </c>
    </row>
    <row r="527" spans="1:8" x14ac:dyDescent="0.25">
      <c r="A527" s="1">
        <v>45664.875</v>
      </c>
      <c r="B527" t="s">
        <v>15</v>
      </c>
      <c r="C527">
        <v>322.27999999999997</v>
      </c>
      <c r="D527">
        <v>59.36</v>
      </c>
      <c r="E527" t="s">
        <v>9</v>
      </c>
      <c r="F527">
        <v>59.18</v>
      </c>
      <c r="G527" t="s">
        <v>16</v>
      </c>
      <c r="H527" t="s">
        <v>13</v>
      </c>
    </row>
    <row r="528" spans="1:8" x14ac:dyDescent="0.25">
      <c r="A528" s="1">
        <v>45664.916666666664</v>
      </c>
      <c r="B528" t="s">
        <v>15</v>
      </c>
      <c r="C528">
        <v>390.9</v>
      </c>
      <c r="D528">
        <v>79.59</v>
      </c>
      <c r="E528" t="s">
        <v>9</v>
      </c>
      <c r="F528">
        <v>83.2</v>
      </c>
      <c r="G528" t="s">
        <v>16</v>
      </c>
      <c r="H528" t="s">
        <v>11</v>
      </c>
    </row>
    <row r="529" spans="1:8" x14ac:dyDescent="0.25">
      <c r="A529" s="1">
        <v>45664.958333333336</v>
      </c>
      <c r="B529" t="s">
        <v>15</v>
      </c>
      <c r="C529">
        <v>151.05000000000001</v>
      </c>
      <c r="D529">
        <v>51.71</v>
      </c>
      <c r="E529" t="s">
        <v>9</v>
      </c>
      <c r="F529">
        <v>45.91</v>
      </c>
      <c r="G529" t="s">
        <v>16</v>
      </c>
      <c r="H529" t="s">
        <v>12</v>
      </c>
    </row>
    <row r="530" spans="1:8" x14ac:dyDescent="0.25">
      <c r="A530" s="1">
        <v>45665</v>
      </c>
      <c r="B530" t="s">
        <v>15</v>
      </c>
      <c r="C530">
        <v>216.06</v>
      </c>
      <c r="D530">
        <v>24.98</v>
      </c>
      <c r="E530" t="s">
        <v>9</v>
      </c>
      <c r="F530">
        <v>61.1</v>
      </c>
      <c r="G530" t="s">
        <v>16</v>
      </c>
      <c r="H530" t="s">
        <v>13</v>
      </c>
    </row>
    <row r="531" spans="1:8" x14ac:dyDescent="0.25">
      <c r="A531" s="1">
        <v>45665.041666666664</v>
      </c>
      <c r="B531" t="s">
        <v>15</v>
      </c>
      <c r="C531">
        <v>461.79</v>
      </c>
      <c r="D531">
        <v>37.76</v>
      </c>
      <c r="E531" t="s">
        <v>9</v>
      </c>
      <c r="F531">
        <v>59.44</v>
      </c>
      <c r="G531" t="s">
        <v>16</v>
      </c>
      <c r="H531" t="s">
        <v>12</v>
      </c>
    </row>
    <row r="532" spans="1:8" x14ac:dyDescent="0.25">
      <c r="A532" s="1">
        <v>45665.083333333336</v>
      </c>
      <c r="B532" t="s">
        <v>15</v>
      </c>
      <c r="C532">
        <v>232.99</v>
      </c>
      <c r="D532">
        <v>45.03</v>
      </c>
      <c r="E532" t="s">
        <v>9</v>
      </c>
      <c r="F532">
        <v>77.680000000000007</v>
      </c>
      <c r="G532" t="s">
        <v>16</v>
      </c>
      <c r="H532" t="s">
        <v>13</v>
      </c>
    </row>
    <row r="533" spans="1:8" x14ac:dyDescent="0.25">
      <c r="A533" s="1">
        <v>45665.125</v>
      </c>
      <c r="B533" t="s">
        <v>15</v>
      </c>
      <c r="C533">
        <v>126.85</v>
      </c>
      <c r="D533">
        <v>35.64</v>
      </c>
      <c r="E533" t="s">
        <v>9</v>
      </c>
      <c r="F533">
        <v>60.55</v>
      </c>
      <c r="G533" t="s">
        <v>16</v>
      </c>
      <c r="H533" t="s">
        <v>13</v>
      </c>
    </row>
    <row r="534" spans="1:8" x14ac:dyDescent="0.25">
      <c r="A534" s="1">
        <v>45665.166666666664</v>
      </c>
      <c r="B534" t="s">
        <v>15</v>
      </c>
      <c r="C534">
        <v>401.74</v>
      </c>
      <c r="D534">
        <v>22.39</v>
      </c>
      <c r="E534" t="s">
        <v>9</v>
      </c>
      <c r="F534">
        <v>36.44</v>
      </c>
      <c r="G534" t="s">
        <v>16</v>
      </c>
      <c r="H534" t="s">
        <v>11</v>
      </c>
    </row>
    <row r="535" spans="1:8" x14ac:dyDescent="0.25">
      <c r="A535" s="1">
        <v>45665.208333333336</v>
      </c>
      <c r="B535" t="s">
        <v>15</v>
      </c>
      <c r="C535">
        <v>471.97</v>
      </c>
      <c r="D535">
        <v>87.89</v>
      </c>
      <c r="E535" t="s">
        <v>14</v>
      </c>
      <c r="F535">
        <v>86.76</v>
      </c>
      <c r="G535" t="s">
        <v>16</v>
      </c>
      <c r="H535" t="s">
        <v>13</v>
      </c>
    </row>
    <row r="536" spans="1:8" x14ac:dyDescent="0.25">
      <c r="A536" s="1">
        <v>45665.25</v>
      </c>
      <c r="B536" t="s">
        <v>15</v>
      </c>
      <c r="C536">
        <v>247.41</v>
      </c>
      <c r="D536">
        <v>57.79</v>
      </c>
      <c r="E536" t="s">
        <v>9</v>
      </c>
      <c r="F536">
        <v>88.08</v>
      </c>
      <c r="G536" t="s">
        <v>16</v>
      </c>
      <c r="H536" t="s">
        <v>11</v>
      </c>
    </row>
    <row r="537" spans="1:8" x14ac:dyDescent="0.25">
      <c r="A537" s="1">
        <v>45665.291666666664</v>
      </c>
      <c r="B537" t="s">
        <v>15</v>
      </c>
      <c r="C537">
        <v>436.7</v>
      </c>
      <c r="D537">
        <v>22.91</v>
      </c>
      <c r="E537" t="s">
        <v>9</v>
      </c>
      <c r="F537">
        <v>86.85</v>
      </c>
      <c r="G537" t="s">
        <v>16</v>
      </c>
      <c r="H537" t="s">
        <v>13</v>
      </c>
    </row>
    <row r="538" spans="1:8" x14ac:dyDescent="0.25">
      <c r="A538" s="1">
        <v>45665.333333333336</v>
      </c>
      <c r="B538" t="s">
        <v>15</v>
      </c>
      <c r="C538">
        <v>302.70999999999998</v>
      </c>
      <c r="D538">
        <v>19.920000000000002</v>
      </c>
      <c r="E538" t="s">
        <v>9</v>
      </c>
      <c r="F538">
        <v>75.88</v>
      </c>
      <c r="G538" t="s">
        <v>16</v>
      </c>
      <c r="H538" t="s">
        <v>13</v>
      </c>
    </row>
    <row r="539" spans="1:8" x14ac:dyDescent="0.25">
      <c r="A539" s="1">
        <v>45665.375</v>
      </c>
      <c r="B539" t="s">
        <v>15</v>
      </c>
      <c r="C539">
        <v>294.75</v>
      </c>
      <c r="D539">
        <v>41.41</v>
      </c>
      <c r="E539" t="s">
        <v>9</v>
      </c>
      <c r="F539">
        <v>58.41</v>
      </c>
      <c r="G539" t="s">
        <v>16</v>
      </c>
      <c r="H539" t="s">
        <v>12</v>
      </c>
    </row>
    <row r="540" spans="1:8" x14ac:dyDescent="0.25">
      <c r="A540" s="1">
        <v>45665.416666666664</v>
      </c>
      <c r="B540" t="s">
        <v>15</v>
      </c>
      <c r="C540">
        <v>363.15</v>
      </c>
      <c r="D540">
        <v>27.34</v>
      </c>
      <c r="E540" t="s">
        <v>9</v>
      </c>
      <c r="F540">
        <v>75.22</v>
      </c>
      <c r="G540" t="s">
        <v>16</v>
      </c>
      <c r="H540" t="s">
        <v>13</v>
      </c>
    </row>
    <row r="541" spans="1:8" x14ac:dyDescent="0.25">
      <c r="A541" s="1">
        <v>45665.458333333336</v>
      </c>
      <c r="B541" t="s">
        <v>15</v>
      </c>
      <c r="C541">
        <v>418.74</v>
      </c>
      <c r="D541">
        <v>87.35</v>
      </c>
      <c r="E541" t="s">
        <v>14</v>
      </c>
      <c r="F541">
        <v>37.19</v>
      </c>
      <c r="G541" t="s">
        <v>16</v>
      </c>
      <c r="H541" t="s">
        <v>13</v>
      </c>
    </row>
    <row r="542" spans="1:8" x14ac:dyDescent="0.25">
      <c r="A542" s="1">
        <v>45665.5</v>
      </c>
      <c r="B542" t="s">
        <v>15</v>
      </c>
      <c r="C542">
        <v>362.93</v>
      </c>
      <c r="D542">
        <v>80.87</v>
      </c>
      <c r="E542" t="s">
        <v>9</v>
      </c>
      <c r="F542">
        <v>33.36</v>
      </c>
      <c r="G542" t="s">
        <v>16</v>
      </c>
      <c r="H542" t="s">
        <v>12</v>
      </c>
    </row>
    <row r="543" spans="1:8" x14ac:dyDescent="0.25">
      <c r="A543" s="1">
        <v>45665.541666666664</v>
      </c>
      <c r="B543" t="s">
        <v>15</v>
      </c>
      <c r="C543">
        <v>438.25</v>
      </c>
      <c r="D543">
        <v>27.19</v>
      </c>
      <c r="E543" t="s">
        <v>9</v>
      </c>
      <c r="F543">
        <v>78.739999999999995</v>
      </c>
      <c r="G543" t="s">
        <v>16</v>
      </c>
      <c r="H543" t="s">
        <v>11</v>
      </c>
    </row>
    <row r="544" spans="1:8" x14ac:dyDescent="0.25">
      <c r="A544" s="1">
        <v>45665.583333333336</v>
      </c>
      <c r="B544" t="s">
        <v>15</v>
      </c>
      <c r="C544">
        <v>248.1</v>
      </c>
      <c r="D544">
        <v>81.48</v>
      </c>
      <c r="E544" t="s">
        <v>9</v>
      </c>
      <c r="F544">
        <v>85.76</v>
      </c>
      <c r="G544" t="s">
        <v>16</v>
      </c>
      <c r="H544" t="s">
        <v>12</v>
      </c>
    </row>
    <row r="545" spans="1:8" x14ac:dyDescent="0.25">
      <c r="A545" s="1">
        <v>45665.625</v>
      </c>
      <c r="B545" t="s">
        <v>15</v>
      </c>
      <c r="C545">
        <v>194.3</v>
      </c>
      <c r="D545">
        <v>58.75</v>
      </c>
      <c r="E545" t="s">
        <v>9</v>
      </c>
      <c r="F545">
        <v>33.03</v>
      </c>
      <c r="G545" t="s">
        <v>16</v>
      </c>
      <c r="H545" t="s">
        <v>12</v>
      </c>
    </row>
    <row r="546" spans="1:8" x14ac:dyDescent="0.25">
      <c r="A546" s="1">
        <v>45665.666666666664</v>
      </c>
      <c r="B546" t="s">
        <v>15</v>
      </c>
      <c r="C546">
        <v>492.36</v>
      </c>
      <c r="D546">
        <v>88.92</v>
      </c>
      <c r="E546" t="s">
        <v>14</v>
      </c>
      <c r="F546">
        <v>77.14</v>
      </c>
      <c r="G546" t="s">
        <v>16</v>
      </c>
      <c r="H546" t="s">
        <v>12</v>
      </c>
    </row>
    <row r="547" spans="1:8" x14ac:dyDescent="0.25">
      <c r="A547" s="1">
        <v>45665.708333333336</v>
      </c>
      <c r="B547" t="s">
        <v>15</v>
      </c>
      <c r="C547">
        <v>135.69</v>
      </c>
      <c r="D547">
        <v>68.27</v>
      </c>
      <c r="E547" t="s">
        <v>9</v>
      </c>
      <c r="F547">
        <v>30.02</v>
      </c>
      <c r="G547" t="s">
        <v>16</v>
      </c>
      <c r="H547" t="s">
        <v>12</v>
      </c>
    </row>
    <row r="548" spans="1:8" x14ac:dyDescent="0.25">
      <c r="A548" s="1">
        <v>45665.75</v>
      </c>
      <c r="B548" t="s">
        <v>15</v>
      </c>
      <c r="C548">
        <v>85.66</v>
      </c>
      <c r="D548">
        <v>29.52</v>
      </c>
      <c r="E548" t="s">
        <v>9</v>
      </c>
      <c r="F548">
        <v>53.17</v>
      </c>
      <c r="G548" t="s">
        <v>16</v>
      </c>
      <c r="H548" t="s">
        <v>13</v>
      </c>
    </row>
    <row r="549" spans="1:8" x14ac:dyDescent="0.25">
      <c r="A549" s="1">
        <v>45665.791666666664</v>
      </c>
      <c r="B549" t="s">
        <v>15</v>
      </c>
      <c r="C549">
        <v>250.54</v>
      </c>
      <c r="D549">
        <v>86.54</v>
      </c>
      <c r="E549" t="s">
        <v>14</v>
      </c>
      <c r="F549">
        <v>37.57</v>
      </c>
      <c r="G549" t="s">
        <v>16</v>
      </c>
      <c r="H549" t="s">
        <v>13</v>
      </c>
    </row>
    <row r="550" spans="1:8" x14ac:dyDescent="0.25">
      <c r="A550" s="1">
        <v>45665.833333333336</v>
      </c>
      <c r="B550" t="s">
        <v>15</v>
      </c>
      <c r="C550">
        <v>116.35</v>
      </c>
      <c r="D550">
        <v>16.41</v>
      </c>
      <c r="E550" t="s">
        <v>9</v>
      </c>
      <c r="F550">
        <v>34.299999999999997</v>
      </c>
      <c r="G550" t="s">
        <v>16</v>
      </c>
      <c r="H550" t="s">
        <v>11</v>
      </c>
    </row>
    <row r="551" spans="1:8" x14ac:dyDescent="0.25">
      <c r="A551" s="1">
        <v>45665.875</v>
      </c>
      <c r="B551" t="s">
        <v>15</v>
      </c>
      <c r="C551">
        <v>185.66</v>
      </c>
      <c r="D551">
        <v>21.67</v>
      </c>
      <c r="E551" t="s">
        <v>9</v>
      </c>
      <c r="F551">
        <v>75.5</v>
      </c>
      <c r="G551" t="s">
        <v>16</v>
      </c>
      <c r="H551" t="s">
        <v>12</v>
      </c>
    </row>
    <row r="552" spans="1:8" x14ac:dyDescent="0.25">
      <c r="A552" s="1">
        <v>45665.916666666664</v>
      </c>
      <c r="B552" t="s">
        <v>15</v>
      </c>
      <c r="C552">
        <v>346.57</v>
      </c>
      <c r="D552">
        <v>18.09</v>
      </c>
      <c r="E552" t="s">
        <v>9</v>
      </c>
      <c r="F552">
        <v>36.270000000000003</v>
      </c>
      <c r="G552" t="s">
        <v>16</v>
      </c>
      <c r="H552" t="s">
        <v>11</v>
      </c>
    </row>
    <row r="553" spans="1:8" x14ac:dyDescent="0.25">
      <c r="A553" s="1">
        <v>45665.958333333336</v>
      </c>
      <c r="B553" t="s">
        <v>15</v>
      </c>
      <c r="C553">
        <v>287.37</v>
      </c>
      <c r="D553">
        <v>80.819999999999993</v>
      </c>
      <c r="E553" t="s">
        <v>9</v>
      </c>
      <c r="F553">
        <v>81.400000000000006</v>
      </c>
      <c r="G553" t="s">
        <v>16</v>
      </c>
      <c r="H553" t="s">
        <v>11</v>
      </c>
    </row>
    <row r="554" spans="1:8" x14ac:dyDescent="0.25">
      <c r="A554" s="1">
        <v>45666</v>
      </c>
      <c r="B554" t="s">
        <v>15</v>
      </c>
      <c r="C554">
        <v>476.79</v>
      </c>
      <c r="D554">
        <v>82.24</v>
      </c>
      <c r="E554" t="s">
        <v>9</v>
      </c>
      <c r="F554">
        <v>73.34</v>
      </c>
      <c r="G554" t="s">
        <v>16</v>
      </c>
      <c r="H554" t="s">
        <v>13</v>
      </c>
    </row>
    <row r="555" spans="1:8" x14ac:dyDescent="0.25">
      <c r="A555" s="1">
        <v>45666.041666666664</v>
      </c>
      <c r="B555" t="s">
        <v>15</v>
      </c>
      <c r="C555">
        <v>97.76</v>
      </c>
      <c r="D555">
        <v>53.92</v>
      </c>
      <c r="E555" t="s">
        <v>9</v>
      </c>
      <c r="F555">
        <v>39.64</v>
      </c>
      <c r="G555" t="s">
        <v>16</v>
      </c>
      <c r="H555" t="s">
        <v>13</v>
      </c>
    </row>
    <row r="556" spans="1:8" x14ac:dyDescent="0.25">
      <c r="A556" s="1">
        <v>45666.083333333336</v>
      </c>
      <c r="B556" t="s">
        <v>15</v>
      </c>
      <c r="C556">
        <v>453.11</v>
      </c>
      <c r="D556">
        <v>66.900000000000006</v>
      </c>
      <c r="E556" t="s">
        <v>9</v>
      </c>
      <c r="F556">
        <v>50.94</v>
      </c>
      <c r="G556" t="s">
        <v>16</v>
      </c>
      <c r="H556" t="s">
        <v>13</v>
      </c>
    </row>
    <row r="557" spans="1:8" x14ac:dyDescent="0.25">
      <c r="A557" s="1">
        <v>45666.125</v>
      </c>
      <c r="B557" t="s">
        <v>15</v>
      </c>
      <c r="C557">
        <v>337.72</v>
      </c>
      <c r="D557">
        <v>24.46</v>
      </c>
      <c r="E557" t="s">
        <v>9</v>
      </c>
      <c r="F557">
        <v>55.82</v>
      </c>
      <c r="G557" t="s">
        <v>16</v>
      </c>
      <c r="H557" t="s">
        <v>11</v>
      </c>
    </row>
    <row r="558" spans="1:8" x14ac:dyDescent="0.25">
      <c r="A558" s="1">
        <v>45666.166666666664</v>
      </c>
      <c r="B558" t="s">
        <v>15</v>
      </c>
      <c r="C558">
        <v>449.49</v>
      </c>
      <c r="D558">
        <v>17.29</v>
      </c>
      <c r="E558" t="s">
        <v>9</v>
      </c>
      <c r="F558">
        <v>84.82</v>
      </c>
      <c r="G558" t="s">
        <v>16</v>
      </c>
      <c r="H558" t="s">
        <v>12</v>
      </c>
    </row>
    <row r="559" spans="1:8" x14ac:dyDescent="0.25">
      <c r="A559" s="1">
        <v>45666.208333333336</v>
      </c>
      <c r="B559" t="s">
        <v>15</v>
      </c>
      <c r="C559">
        <v>371.26</v>
      </c>
      <c r="D559">
        <v>52.88</v>
      </c>
      <c r="E559" t="s">
        <v>9</v>
      </c>
      <c r="F559">
        <v>54.14</v>
      </c>
      <c r="G559" t="s">
        <v>16</v>
      </c>
      <c r="H559" t="s">
        <v>11</v>
      </c>
    </row>
    <row r="560" spans="1:8" x14ac:dyDescent="0.25">
      <c r="A560" s="1">
        <v>45666.25</v>
      </c>
      <c r="B560" t="s">
        <v>15</v>
      </c>
      <c r="C560">
        <v>485.09</v>
      </c>
      <c r="D560">
        <v>56.66</v>
      </c>
      <c r="E560" t="s">
        <v>9</v>
      </c>
      <c r="F560">
        <v>48.2</v>
      </c>
      <c r="G560" t="s">
        <v>16</v>
      </c>
      <c r="H560" t="s">
        <v>12</v>
      </c>
    </row>
    <row r="561" spans="1:8" x14ac:dyDescent="0.25">
      <c r="A561" s="1">
        <v>45666.291666666664</v>
      </c>
      <c r="B561" t="s">
        <v>15</v>
      </c>
      <c r="C561">
        <v>52.43</v>
      </c>
      <c r="D561">
        <v>68.14</v>
      </c>
      <c r="E561" t="s">
        <v>9</v>
      </c>
      <c r="F561">
        <v>88.36</v>
      </c>
      <c r="G561" t="s">
        <v>16</v>
      </c>
      <c r="H561" t="s">
        <v>13</v>
      </c>
    </row>
    <row r="562" spans="1:8" x14ac:dyDescent="0.25">
      <c r="A562" s="1">
        <v>45666.333333333336</v>
      </c>
      <c r="B562" t="s">
        <v>15</v>
      </c>
      <c r="C562">
        <v>103.96</v>
      </c>
      <c r="D562">
        <v>39.97</v>
      </c>
      <c r="E562" t="s">
        <v>9</v>
      </c>
      <c r="F562">
        <v>82.06</v>
      </c>
      <c r="G562" t="s">
        <v>16</v>
      </c>
      <c r="H562" t="s">
        <v>11</v>
      </c>
    </row>
    <row r="563" spans="1:8" x14ac:dyDescent="0.25">
      <c r="A563" s="1">
        <v>45666.375</v>
      </c>
      <c r="B563" t="s">
        <v>15</v>
      </c>
      <c r="C563">
        <v>323.45999999999998</v>
      </c>
      <c r="D563">
        <v>46.62</v>
      </c>
      <c r="E563" t="s">
        <v>9</v>
      </c>
      <c r="F563">
        <v>42.47</v>
      </c>
      <c r="G563" t="s">
        <v>16</v>
      </c>
      <c r="H563" t="s">
        <v>12</v>
      </c>
    </row>
    <row r="564" spans="1:8" x14ac:dyDescent="0.25">
      <c r="A564" s="1">
        <v>45666.416666666664</v>
      </c>
      <c r="B564" t="s">
        <v>15</v>
      </c>
      <c r="C564">
        <v>137.21</v>
      </c>
      <c r="D564">
        <v>31.39</v>
      </c>
      <c r="E564" t="s">
        <v>9</v>
      </c>
      <c r="F564">
        <v>74.290000000000006</v>
      </c>
      <c r="G564" t="s">
        <v>16</v>
      </c>
      <c r="H564" t="s">
        <v>12</v>
      </c>
    </row>
    <row r="565" spans="1:8" x14ac:dyDescent="0.25">
      <c r="A565" s="1">
        <v>45666.458333333336</v>
      </c>
      <c r="B565" t="s">
        <v>15</v>
      </c>
      <c r="C565">
        <v>94.04</v>
      </c>
      <c r="D565">
        <v>60.67</v>
      </c>
      <c r="E565" t="s">
        <v>9</v>
      </c>
      <c r="F565">
        <v>63.22</v>
      </c>
      <c r="G565" t="s">
        <v>16</v>
      </c>
      <c r="H565" t="s">
        <v>12</v>
      </c>
    </row>
    <row r="566" spans="1:8" x14ac:dyDescent="0.25">
      <c r="A566" s="1">
        <v>45666.5</v>
      </c>
      <c r="B566" t="s">
        <v>15</v>
      </c>
      <c r="C566">
        <v>473.98</v>
      </c>
      <c r="D566">
        <v>55.99</v>
      </c>
      <c r="E566" t="s">
        <v>9</v>
      </c>
      <c r="F566">
        <v>51.14</v>
      </c>
      <c r="G566" t="s">
        <v>16</v>
      </c>
      <c r="H566" t="s">
        <v>13</v>
      </c>
    </row>
    <row r="567" spans="1:8" x14ac:dyDescent="0.25">
      <c r="A567" s="1">
        <v>45666.541666666664</v>
      </c>
      <c r="B567" t="s">
        <v>15</v>
      </c>
      <c r="C567">
        <v>402.61</v>
      </c>
      <c r="D567">
        <v>88.68</v>
      </c>
      <c r="E567" t="s">
        <v>14</v>
      </c>
      <c r="F567">
        <v>41.7</v>
      </c>
      <c r="G567" t="s">
        <v>16</v>
      </c>
      <c r="H567" t="s">
        <v>11</v>
      </c>
    </row>
    <row r="568" spans="1:8" x14ac:dyDescent="0.25">
      <c r="A568" s="1">
        <v>45666.583333333336</v>
      </c>
      <c r="B568" t="s">
        <v>15</v>
      </c>
      <c r="C568">
        <v>290.13</v>
      </c>
      <c r="D568">
        <v>90.46</v>
      </c>
      <c r="E568" t="s">
        <v>14</v>
      </c>
      <c r="F568">
        <v>53.78</v>
      </c>
      <c r="G568" t="s">
        <v>16</v>
      </c>
      <c r="H568" t="s">
        <v>13</v>
      </c>
    </row>
    <row r="569" spans="1:8" x14ac:dyDescent="0.25">
      <c r="A569" s="1">
        <v>45666.625</v>
      </c>
      <c r="B569" t="s">
        <v>15</v>
      </c>
      <c r="C569">
        <v>207.41</v>
      </c>
      <c r="D569">
        <v>48.42</v>
      </c>
      <c r="E569" t="s">
        <v>9</v>
      </c>
      <c r="F569">
        <v>37.69</v>
      </c>
      <c r="G569" t="s">
        <v>16</v>
      </c>
      <c r="H569" t="s">
        <v>12</v>
      </c>
    </row>
    <row r="570" spans="1:8" x14ac:dyDescent="0.25">
      <c r="A570" s="1">
        <v>45666.666666666664</v>
      </c>
      <c r="B570" t="s">
        <v>15</v>
      </c>
      <c r="C570">
        <v>254.73</v>
      </c>
      <c r="D570">
        <v>52.14</v>
      </c>
      <c r="E570" t="s">
        <v>9</v>
      </c>
      <c r="F570">
        <v>72.400000000000006</v>
      </c>
      <c r="G570" t="s">
        <v>16</v>
      </c>
      <c r="H570" t="s">
        <v>12</v>
      </c>
    </row>
    <row r="571" spans="1:8" x14ac:dyDescent="0.25">
      <c r="A571" s="1">
        <v>45666.708333333336</v>
      </c>
      <c r="B571" t="s">
        <v>15</v>
      </c>
      <c r="C571">
        <v>300.51</v>
      </c>
      <c r="D571">
        <v>66.31</v>
      </c>
      <c r="E571" t="s">
        <v>9</v>
      </c>
      <c r="F571">
        <v>30.81</v>
      </c>
      <c r="G571" t="s">
        <v>16</v>
      </c>
      <c r="H571" t="s">
        <v>11</v>
      </c>
    </row>
    <row r="572" spans="1:8" x14ac:dyDescent="0.25">
      <c r="A572" s="1">
        <v>45666.75</v>
      </c>
      <c r="B572" t="s">
        <v>15</v>
      </c>
      <c r="C572">
        <v>125.8</v>
      </c>
      <c r="D572">
        <v>75.599999999999994</v>
      </c>
      <c r="E572" t="s">
        <v>9</v>
      </c>
      <c r="F572">
        <v>89.1</v>
      </c>
      <c r="G572" t="s">
        <v>16</v>
      </c>
      <c r="H572" t="s">
        <v>11</v>
      </c>
    </row>
    <row r="573" spans="1:8" x14ac:dyDescent="0.25">
      <c r="A573" s="1">
        <v>45666.791666666664</v>
      </c>
      <c r="B573" t="s">
        <v>15</v>
      </c>
      <c r="C573">
        <v>372.52</v>
      </c>
      <c r="D573">
        <v>71.19</v>
      </c>
      <c r="E573" t="s">
        <v>9</v>
      </c>
      <c r="F573">
        <v>44.05</v>
      </c>
      <c r="G573" t="s">
        <v>16</v>
      </c>
      <c r="H573" t="s">
        <v>11</v>
      </c>
    </row>
    <row r="574" spans="1:8" x14ac:dyDescent="0.25">
      <c r="A574" s="1">
        <v>45666.833333333336</v>
      </c>
      <c r="B574" t="s">
        <v>15</v>
      </c>
      <c r="C574">
        <v>344.65</v>
      </c>
      <c r="D574">
        <v>45.59</v>
      </c>
      <c r="E574" t="s">
        <v>9</v>
      </c>
      <c r="F574">
        <v>41.67</v>
      </c>
      <c r="G574" t="s">
        <v>16</v>
      </c>
      <c r="H574" t="s">
        <v>13</v>
      </c>
    </row>
    <row r="575" spans="1:8" x14ac:dyDescent="0.25">
      <c r="A575" s="1">
        <v>45666.875</v>
      </c>
      <c r="B575" t="s">
        <v>15</v>
      </c>
      <c r="C575">
        <v>119.37</v>
      </c>
      <c r="D575">
        <v>83.3</v>
      </c>
      <c r="E575" t="s">
        <v>9</v>
      </c>
      <c r="F575">
        <v>60.88</v>
      </c>
      <c r="G575" t="s">
        <v>16</v>
      </c>
      <c r="H575" t="s">
        <v>12</v>
      </c>
    </row>
    <row r="576" spans="1:8" x14ac:dyDescent="0.25">
      <c r="A576" s="1">
        <v>45666.916666666664</v>
      </c>
      <c r="B576" t="s">
        <v>15</v>
      </c>
      <c r="C576">
        <v>353.38</v>
      </c>
      <c r="D576">
        <v>65.3</v>
      </c>
      <c r="E576" t="s">
        <v>9</v>
      </c>
      <c r="F576">
        <v>35.97</v>
      </c>
      <c r="G576" t="s">
        <v>16</v>
      </c>
      <c r="H576" t="s">
        <v>13</v>
      </c>
    </row>
    <row r="577" spans="1:8" x14ac:dyDescent="0.25">
      <c r="A577" s="1">
        <v>45666.958333333336</v>
      </c>
      <c r="B577" t="s">
        <v>15</v>
      </c>
      <c r="C577">
        <v>184.25</v>
      </c>
      <c r="D577">
        <v>35.31</v>
      </c>
      <c r="E577" t="s">
        <v>9</v>
      </c>
      <c r="F577">
        <v>39.82</v>
      </c>
      <c r="G577" t="s">
        <v>16</v>
      </c>
      <c r="H577" t="s">
        <v>13</v>
      </c>
    </row>
    <row r="578" spans="1:8" x14ac:dyDescent="0.25">
      <c r="A578" s="1">
        <v>45667</v>
      </c>
      <c r="B578" t="s">
        <v>15</v>
      </c>
      <c r="C578">
        <v>231.25</v>
      </c>
      <c r="D578">
        <v>61.7</v>
      </c>
      <c r="E578" t="s">
        <v>9</v>
      </c>
      <c r="F578">
        <v>35.35</v>
      </c>
      <c r="G578" t="s">
        <v>16</v>
      </c>
      <c r="H578" t="s">
        <v>11</v>
      </c>
    </row>
    <row r="579" spans="1:8" x14ac:dyDescent="0.25">
      <c r="A579" s="1">
        <v>45667.041666666664</v>
      </c>
      <c r="B579" t="s">
        <v>15</v>
      </c>
      <c r="C579">
        <v>275.83</v>
      </c>
      <c r="D579">
        <v>77.02</v>
      </c>
      <c r="E579" t="s">
        <v>9</v>
      </c>
      <c r="F579">
        <v>80.48</v>
      </c>
      <c r="G579" t="s">
        <v>16</v>
      </c>
      <c r="H579" t="s">
        <v>13</v>
      </c>
    </row>
    <row r="580" spans="1:8" x14ac:dyDescent="0.25">
      <c r="A580" s="1">
        <v>45667.083333333336</v>
      </c>
      <c r="B580" t="s">
        <v>15</v>
      </c>
      <c r="C580">
        <v>359.35</v>
      </c>
      <c r="D580">
        <v>40.35</v>
      </c>
      <c r="E580" t="s">
        <v>9</v>
      </c>
      <c r="F580">
        <v>35.68</v>
      </c>
      <c r="G580" t="s">
        <v>16</v>
      </c>
      <c r="H580" t="s">
        <v>12</v>
      </c>
    </row>
    <row r="581" spans="1:8" x14ac:dyDescent="0.25">
      <c r="A581" s="1">
        <v>45667.125</v>
      </c>
      <c r="B581" t="s">
        <v>15</v>
      </c>
      <c r="C581">
        <v>178.82</v>
      </c>
      <c r="D581">
        <v>48.33</v>
      </c>
      <c r="E581" t="s">
        <v>9</v>
      </c>
      <c r="F581">
        <v>68.989999999999995</v>
      </c>
      <c r="G581" t="s">
        <v>16</v>
      </c>
      <c r="H581" t="s">
        <v>11</v>
      </c>
    </row>
    <row r="582" spans="1:8" x14ac:dyDescent="0.25">
      <c r="A582" s="1">
        <v>45667.166666666664</v>
      </c>
      <c r="B582" t="s">
        <v>15</v>
      </c>
      <c r="C582">
        <v>132.43</v>
      </c>
      <c r="D582">
        <v>61.74</v>
      </c>
      <c r="E582" t="s">
        <v>9</v>
      </c>
      <c r="F582">
        <v>63.6</v>
      </c>
      <c r="G582" t="s">
        <v>16</v>
      </c>
      <c r="H582" t="s">
        <v>11</v>
      </c>
    </row>
    <row r="583" spans="1:8" x14ac:dyDescent="0.25">
      <c r="A583" s="1">
        <v>45667.208333333336</v>
      </c>
      <c r="B583" t="s">
        <v>15</v>
      </c>
      <c r="C583">
        <v>77.72</v>
      </c>
      <c r="D583">
        <v>27.16</v>
      </c>
      <c r="E583" t="s">
        <v>9</v>
      </c>
      <c r="F583">
        <v>83.7</v>
      </c>
      <c r="G583" t="s">
        <v>16</v>
      </c>
      <c r="H583" t="s">
        <v>13</v>
      </c>
    </row>
    <row r="584" spans="1:8" x14ac:dyDescent="0.25">
      <c r="A584" s="1">
        <v>45667.25</v>
      </c>
      <c r="B584" t="s">
        <v>15</v>
      </c>
      <c r="C584">
        <v>360.34</v>
      </c>
      <c r="D584">
        <v>38.409999999999997</v>
      </c>
      <c r="E584" t="s">
        <v>9</v>
      </c>
      <c r="F584">
        <v>67.56</v>
      </c>
      <c r="G584" t="s">
        <v>16</v>
      </c>
      <c r="H584" t="s">
        <v>12</v>
      </c>
    </row>
    <row r="585" spans="1:8" x14ac:dyDescent="0.25">
      <c r="A585" s="1">
        <v>45667.291666666664</v>
      </c>
      <c r="B585" t="s">
        <v>15</v>
      </c>
      <c r="C585">
        <v>261.07</v>
      </c>
      <c r="D585">
        <v>54.86</v>
      </c>
      <c r="E585" t="s">
        <v>9</v>
      </c>
      <c r="F585">
        <v>65.099999999999994</v>
      </c>
      <c r="G585" t="s">
        <v>16</v>
      </c>
      <c r="H585" t="s">
        <v>12</v>
      </c>
    </row>
    <row r="586" spans="1:8" x14ac:dyDescent="0.25">
      <c r="A586" s="1">
        <v>45667.333333333336</v>
      </c>
      <c r="B586" t="s">
        <v>15</v>
      </c>
      <c r="C586">
        <v>351.33</v>
      </c>
      <c r="D586">
        <v>92.62</v>
      </c>
      <c r="E586" t="s">
        <v>14</v>
      </c>
      <c r="F586">
        <v>40.54</v>
      </c>
      <c r="G586" t="s">
        <v>16</v>
      </c>
      <c r="H586" t="s">
        <v>11</v>
      </c>
    </row>
    <row r="587" spans="1:8" x14ac:dyDescent="0.25">
      <c r="A587" s="1">
        <v>45667.375</v>
      </c>
      <c r="B587" t="s">
        <v>15</v>
      </c>
      <c r="C587">
        <v>90.28</v>
      </c>
      <c r="D587">
        <v>49.14</v>
      </c>
      <c r="E587" t="s">
        <v>9</v>
      </c>
      <c r="F587">
        <v>51.35</v>
      </c>
      <c r="G587" t="s">
        <v>16</v>
      </c>
      <c r="H587" t="s">
        <v>11</v>
      </c>
    </row>
    <row r="588" spans="1:8" x14ac:dyDescent="0.25">
      <c r="A588" s="1">
        <v>45667.416666666664</v>
      </c>
      <c r="B588" t="s">
        <v>15</v>
      </c>
      <c r="C588">
        <v>421.31</v>
      </c>
      <c r="D588">
        <v>53.31</v>
      </c>
      <c r="E588" t="s">
        <v>9</v>
      </c>
      <c r="F588">
        <v>62.6</v>
      </c>
      <c r="G588" t="s">
        <v>16</v>
      </c>
      <c r="H588" t="s">
        <v>12</v>
      </c>
    </row>
    <row r="589" spans="1:8" x14ac:dyDescent="0.25">
      <c r="A589" s="1">
        <v>45667.458333333336</v>
      </c>
      <c r="B589" t="s">
        <v>15</v>
      </c>
      <c r="C589">
        <v>131.81</v>
      </c>
      <c r="D589">
        <v>20.97</v>
      </c>
      <c r="E589" t="s">
        <v>9</v>
      </c>
      <c r="F589">
        <v>72.849999999999994</v>
      </c>
      <c r="G589" t="s">
        <v>16</v>
      </c>
      <c r="H589" t="s">
        <v>12</v>
      </c>
    </row>
    <row r="590" spans="1:8" x14ac:dyDescent="0.25">
      <c r="A590" s="1">
        <v>45667.5</v>
      </c>
      <c r="B590" t="s">
        <v>15</v>
      </c>
      <c r="C590">
        <v>360.53</v>
      </c>
      <c r="D590">
        <v>45.63</v>
      </c>
      <c r="E590" t="s">
        <v>9</v>
      </c>
      <c r="F590">
        <v>54.95</v>
      </c>
      <c r="G590" t="s">
        <v>16</v>
      </c>
      <c r="H590" t="s">
        <v>12</v>
      </c>
    </row>
    <row r="591" spans="1:8" x14ac:dyDescent="0.25">
      <c r="A591" s="1">
        <v>45667.541666666664</v>
      </c>
      <c r="B591" t="s">
        <v>15</v>
      </c>
      <c r="C591">
        <v>299.44</v>
      </c>
      <c r="D591">
        <v>56.7</v>
      </c>
      <c r="E591" t="s">
        <v>9</v>
      </c>
      <c r="F591">
        <v>74.05</v>
      </c>
      <c r="G591" t="s">
        <v>16</v>
      </c>
      <c r="H591" t="s">
        <v>13</v>
      </c>
    </row>
    <row r="592" spans="1:8" x14ac:dyDescent="0.25">
      <c r="A592" s="1">
        <v>45667.583333333336</v>
      </c>
      <c r="B592" t="s">
        <v>15</v>
      </c>
      <c r="C592">
        <v>348.68</v>
      </c>
      <c r="D592">
        <v>67.930000000000007</v>
      </c>
      <c r="E592" t="s">
        <v>9</v>
      </c>
      <c r="F592">
        <v>47.17</v>
      </c>
      <c r="G592" t="s">
        <v>16</v>
      </c>
      <c r="H592" t="s">
        <v>12</v>
      </c>
    </row>
    <row r="593" spans="1:8" x14ac:dyDescent="0.25">
      <c r="A593" s="1">
        <v>45667.625</v>
      </c>
      <c r="B593" t="s">
        <v>15</v>
      </c>
      <c r="C593">
        <v>132.53</v>
      </c>
      <c r="D593">
        <v>48.96</v>
      </c>
      <c r="E593" t="s">
        <v>9</v>
      </c>
      <c r="F593">
        <v>79.05</v>
      </c>
      <c r="G593" t="s">
        <v>16</v>
      </c>
      <c r="H593" t="s">
        <v>11</v>
      </c>
    </row>
    <row r="594" spans="1:8" x14ac:dyDescent="0.25">
      <c r="A594" s="1">
        <v>45667.666666666664</v>
      </c>
      <c r="B594" t="s">
        <v>15</v>
      </c>
      <c r="C594">
        <v>453.54</v>
      </c>
      <c r="D594">
        <v>31.06</v>
      </c>
      <c r="E594" t="s">
        <v>9</v>
      </c>
      <c r="F594">
        <v>43.65</v>
      </c>
      <c r="G594" t="s">
        <v>16</v>
      </c>
      <c r="H594" t="s">
        <v>11</v>
      </c>
    </row>
    <row r="595" spans="1:8" x14ac:dyDescent="0.25">
      <c r="A595" s="1">
        <v>45667.708333333336</v>
      </c>
      <c r="B595" t="s">
        <v>15</v>
      </c>
      <c r="C595">
        <v>65.83</v>
      </c>
      <c r="D595">
        <v>87.85</v>
      </c>
      <c r="E595" t="s">
        <v>14</v>
      </c>
      <c r="F595">
        <v>76.52</v>
      </c>
      <c r="G595" t="s">
        <v>16</v>
      </c>
      <c r="H595" t="s">
        <v>11</v>
      </c>
    </row>
    <row r="596" spans="1:8" x14ac:dyDescent="0.25">
      <c r="A596" s="1">
        <v>45667.75</v>
      </c>
      <c r="B596" t="s">
        <v>15</v>
      </c>
      <c r="C596">
        <v>110.39</v>
      </c>
      <c r="D596">
        <v>66.22</v>
      </c>
      <c r="E596" t="s">
        <v>9</v>
      </c>
      <c r="F596">
        <v>50.38</v>
      </c>
      <c r="G596" t="s">
        <v>16</v>
      </c>
      <c r="H596" t="s">
        <v>12</v>
      </c>
    </row>
    <row r="597" spans="1:8" x14ac:dyDescent="0.25">
      <c r="A597" s="1">
        <v>45667.791666666664</v>
      </c>
      <c r="B597" t="s">
        <v>15</v>
      </c>
      <c r="C597">
        <v>429.07</v>
      </c>
      <c r="D597">
        <v>75.61</v>
      </c>
      <c r="E597" t="s">
        <v>9</v>
      </c>
      <c r="F597">
        <v>40.090000000000003</v>
      </c>
      <c r="G597" t="s">
        <v>16</v>
      </c>
      <c r="H597" t="s">
        <v>11</v>
      </c>
    </row>
    <row r="598" spans="1:8" x14ac:dyDescent="0.25">
      <c r="A598" s="1">
        <v>45667.833333333336</v>
      </c>
      <c r="B598" t="s">
        <v>15</v>
      </c>
      <c r="C598">
        <v>102.32</v>
      </c>
      <c r="D598">
        <v>57.45</v>
      </c>
      <c r="E598" t="s">
        <v>9</v>
      </c>
      <c r="F598">
        <v>56.23</v>
      </c>
      <c r="G598" t="s">
        <v>16</v>
      </c>
      <c r="H598" t="s">
        <v>12</v>
      </c>
    </row>
    <row r="599" spans="1:8" x14ac:dyDescent="0.25">
      <c r="A599" s="1">
        <v>45667.875</v>
      </c>
      <c r="B599" t="s">
        <v>15</v>
      </c>
      <c r="C599">
        <v>354.64</v>
      </c>
      <c r="D599">
        <v>54.28</v>
      </c>
      <c r="E599" t="s">
        <v>9</v>
      </c>
      <c r="F599">
        <v>35.64</v>
      </c>
      <c r="G599" t="s">
        <v>16</v>
      </c>
      <c r="H599" t="s">
        <v>12</v>
      </c>
    </row>
    <row r="600" spans="1:8" x14ac:dyDescent="0.25">
      <c r="A600" s="1">
        <v>45667.916666666664</v>
      </c>
      <c r="B600" t="s">
        <v>15</v>
      </c>
      <c r="C600">
        <v>323.49</v>
      </c>
      <c r="D600">
        <v>46.78</v>
      </c>
      <c r="E600" t="s">
        <v>9</v>
      </c>
      <c r="F600">
        <v>43.51</v>
      </c>
      <c r="G600" t="s">
        <v>16</v>
      </c>
      <c r="H600" t="s">
        <v>12</v>
      </c>
    </row>
    <row r="601" spans="1:8" x14ac:dyDescent="0.25">
      <c r="A601" s="1">
        <v>45667.958333333336</v>
      </c>
      <c r="B601" t="s">
        <v>15</v>
      </c>
      <c r="C601">
        <v>498.33</v>
      </c>
      <c r="D601">
        <v>82.49</v>
      </c>
      <c r="E601" t="s">
        <v>9</v>
      </c>
      <c r="F601">
        <v>66.66</v>
      </c>
      <c r="G601" t="s">
        <v>16</v>
      </c>
      <c r="H601" t="s">
        <v>12</v>
      </c>
    </row>
    <row r="602" spans="1:8" x14ac:dyDescent="0.25">
      <c r="A602" s="1">
        <v>45668</v>
      </c>
      <c r="B602" t="s">
        <v>15</v>
      </c>
      <c r="C602">
        <v>215.73</v>
      </c>
      <c r="D602">
        <v>44.26</v>
      </c>
      <c r="E602" t="s">
        <v>9</v>
      </c>
      <c r="F602">
        <v>53.01</v>
      </c>
      <c r="G602" t="s">
        <v>16</v>
      </c>
      <c r="H602" t="s">
        <v>11</v>
      </c>
    </row>
    <row r="603" spans="1:8" x14ac:dyDescent="0.25">
      <c r="A603" s="1">
        <v>45668.041666666664</v>
      </c>
      <c r="B603" t="s">
        <v>15</v>
      </c>
      <c r="C603">
        <v>425.49</v>
      </c>
      <c r="D603">
        <v>81.48</v>
      </c>
      <c r="E603" t="s">
        <v>9</v>
      </c>
      <c r="F603">
        <v>71.89</v>
      </c>
      <c r="G603" t="s">
        <v>16</v>
      </c>
      <c r="H603" t="s">
        <v>11</v>
      </c>
    </row>
    <row r="604" spans="1:8" x14ac:dyDescent="0.25">
      <c r="A604" s="1">
        <v>45668.083333333336</v>
      </c>
      <c r="B604" t="s">
        <v>15</v>
      </c>
      <c r="C604">
        <v>418.06</v>
      </c>
      <c r="D604">
        <v>17.11</v>
      </c>
      <c r="E604" t="s">
        <v>9</v>
      </c>
      <c r="F604">
        <v>82.25</v>
      </c>
      <c r="G604" t="s">
        <v>16</v>
      </c>
      <c r="H604" t="s">
        <v>11</v>
      </c>
    </row>
    <row r="605" spans="1:8" x14ac:dyDescent="0.25">
      <c r="A605" s="1">
        <v>45668.125</v>
      </c>
      <c r="B605" t="s">
        <v>15</v>
      </c>
      <c r="C605">
        <v>312.16000000000003</v>
      </c>
      <c r="D605">
        <v>70.61</v>
      </c>
      <c r="E605" t="s">
        <v>9</v>
      </c>
      <c r="F605">
        <v>81.23</v>
      </c>
      <c r="G605" t="s">
        <v>16</v>
      </c>
      <c r="H605" t="s">
        <v>13</v>
      </c>
    </row>
    <row r="606" spans="1:8" x14ac:dyDescent="0.25">
      <c r="A606" s="1">
        <v>45668.166666666664</v>
      </c>
      <c r="B606" t="s">
        <v>15</v>
      </c>
      <c r="C606">
        <v>294.88</v>
      </c>
      <c r="D606">
        <v>14.65</v>
      </c>
      <c r="E606" t="s">
        <v>9</v>
      </c>
      <c r="F606">
        <v>35.71</v>
      </c>
      <c r="G606" t="s">
        <v>16</v>
      </c>
      <c r="H606" t="s">
        <v>13</v>
      </c>
    </row>
    <row r="607" spans="1:8" x14ac:dyDescent="0.25">
      <c r="A607" s="1">
        <v>45668.208333333336</v>
      </c>
      <c r="B607" t="s">
        <v>15</v>
      </c>
      <c r="C607">
        <v>376.47</v>
      </c>
      <c r="D607">
        <v>20.57</v>
      </c>
      <c r="E607" t="s">
        <v>9</v>
      </c>
      <c r="F607">
        <v>72.989999999999995</v>
      </c>
      <c r="G607" t="s">
        <v>16</v>
      </c>
      <c r="H607" t="s">
        <v>11</v>
      </c>
    </row>
    <row r="608" spans="1:8" x14ac:dyDescent="0.25">
      <c r="A608" s="1">
        <v>45668.25</v>
      </c>
      <c r="B608" t="s">
        <v>15</v>
      </c>
      <c r="C608">
        <v>355.4</v>
      </c>
      <c r="D608">
        <v>48.09</v>
      </c>
      <c r="E608" t="s">
        <v>9</v>
      </c>
      <c r="F608">
        <v>87.69</v>
      </c>
      <c r="G608" t="s">
        <v>16</v>
      </c>
      <c r="H608" t="s">
        <v>12</v>
      </c>
    </row>
    <row r="609" spans="1:8" x14ac:dyDescent="0.25">
      <c r="A609" s="1">
        <v>45668.291666666664</v>
      </c>
      <c r="B609" t="s">
        <v>15</v>
      </c>
      <c r="C609">
        <v>447.69</v>
      </c>
      <c r="D609">
        <v>89.6</v>
      </c>
      <c r="E609" t="s">
        <v>14</v>
      </c>
      <c r="F609">
        <v>81.52</v>
      </c>
      <c r="G609" t="s">
        <v>16</v>
      </c>
      <c r="H609" t="s">
        <v>11</v>
      </c>
    </row>
    <row r="610" spans="1:8" x14ac:dyDescent="0.25">
      <c r="A610" s="1">
        <v>45668.333333333336</v>
      </c>
      <c r="B610" t="s">
        <v>15</v>
      </c>
      <c r="C610">
        <v>201.58</v>
      </c>
      <c r="D610">
        <v>60.13</v>
      </c>
      <c r="E610" t="s">
        <v>9</v>
      </c>
      <c r="F610">
        <v>81.67</v>
      </c>
      <c r="G610" t="s">
        <v>16</v>
      </c>
      <c r="H610" t="s">
        <v>11</v>
      </c>
    </row>
    <row r="611" spans="1:8" x14ac:dyDescent="0.25">
      <c r="A611" s="1">
        <v>45668.375</v>
      </c>
      <c r="B611" t="s">
        <v>15</v>
      </c>
      <c r="C611">
        <v>82.66</v>
      </c>
      <c r="D611">
        <v>82.87</v>
      </c>
      <c r="E611" t="s">
        <v>9</v>
      </c>
      <c r="F611">
        <v>42.77</v>
      </c>
      <c r="G611" t="s">
        <v>16</v>
      </c>
      <c r="H611" t="s">
        <v>12</v>
      </c>
    </row>
    <row r="612" spans="1:8" x14ac:dyDescent="0.25">
      <c r="A612" s="1">
        <v>45668.416666666664</v>
      </c>
      <c r="B612" t="s">
        <v>15</v>
      </c>
      <c r="C612">
        <v>294.3</v>
      </c>
      <c r="D612">
        <v>81.459999999999994</v>
      </c>
      <c r="E612" t="s">
        <v>9</v>
      </c>
      <c r="F612">
        <v>37.51</v>
      </c>
      <c r="G612" t="s">
        <v>16</v>
      </c>
      <c r="H612" t="s">
        <v>11</v>
      </c>
    </row>
    <row r="613" spans="1:8" x14ac:dyDescent="0.25">
      <c r="A613" s="1">
        <v>45668.458333333336</v>
      </c>
      <c r="B613" t="s">
        <v>15</v>
      </c>
      <c r="C613">
        <v>406.58</v>
      </c>
      <c r="D613">
        <v>32.25</v>
      </c>
      <c r="E613" t="s">
        <v>9</v>
      </c>
      <c r="F613">
        <v>70.89</v>
      </c>
      <c r="G613" t="s">
        <v>16</v>
      </c>
      <c r="H613" t="s">
        <v>12</v>
      </c>
    </row>
    <row r="614" spans="1:8" x14ac:dyDescent="0.25">
      <c r="A614" s="1">
        <v>45668.5</v>
      </c>
      <c r="B614" t="s">
        <v>15</v>
      </c>
      <c r="C614">
        <v>197.12</v>
      </c>
      <c r="D614">
        <v>63.14</v>
      </c>
      <c r="E614" t="s">
        <v>9</v>
      </c>
      <c r="F614">
        <v>85.83</v>
      </c>
      <c r="G614" t="s">
        <v>16</v>
      </c>
      <c r="H614" t="s">
        <v>11</v>
      </c>
    </row>
    <row r="615" spans="1:8" x14ac:dyDescent="0.25">
      <c r="A615" s="1">
        <v>45668.541666666664</v>
      </c>
      <c r="B615" t="s">
        <v>15</v>
      </c>
      <c r="C615">
        <v>272.23</v>
      </c>
      <c r="D615">
        <v>91.89</v>
      </c>
      <c r="E615" t="s">
        <v>14</v>
      </c>
      <c r="F615">
        <v>76.180000000000007</v>
      </c>
      <c r="G615" t="s">
        <v>16</v>
      </c>
      <c r="H615" t="s">
        <v>13</v>
      </c>
    </row>
    <row r="616" spans="1:8" x14ac:dyDescent="0.25">
      <c r="A616" s="1">
        <v>45668.583333333336</v>
      </c>
      <c r="B616" t="s">
        <v>15</v>
      </c>
      <c r="C616">
        <v>419.26</v>
      </c>
      <c r="D616">
        <v>37.11</v>
      </c>
      <c r="E616" t="s">
        <v>9</v>
      </c>
      <c r="F616">
        <v>44.35</v>
      </c>
      <c r="G616" t="s">
        <v>16</v>
      </c>
      <c r="H616" t="s">
        <v>13</v>
      </c>
    </row>
    <row r="617" spans="1:8" x14ac:dyDescent="0.25">
      <c r="A617" s="1">
        <v>45668.625</v>
      </c>
      <c r="B617" t="s">
        <v>15</v>
      </c>
      <c r="C617">
        <v>402.77</v>
      </c>
      <c r="D617">
        <v>40.299999999999997</v>
      </c>
      <c r="E617" t="s">
        <v>9</v>
      </c>
      <c r="F617">
        <v>73.27</v>
      </c>
      <c r="G617" t="s">
        <v>16</v>
      </c>
      <c r="H617" t="s">
        <v>13</v>
      </c>
    </row>
    <row r="618" spans="1:8" x14ac:dyDescent="0.25">
      <c r="A618" s="1">
        <v>45668.666666666664</v>
      </c>
      <c r="B618" t="s">
        <v>15</v>
      </c>
      <c r="C618">
        <v>302.16000000000003</v>
      </c>
      <c r="D618">
        <v>73.02</v>
      </c>
      <c r="E618" t="s">
        <v>9</v>
      </c>
      <c r="F618">
        <v>51.29</v>
      </c>
      <c r="G618" t="s">
        <v>16</v>
      </c>
      <c r="H618" t="s">
        <v>12</v>
      </c>
    </row>
    <row r="619" spans="1:8" x14ac:dyDescent="0.25">
      <c r="A619" s="1">
        <v>45668.708333333336</v>
      </c>
      <c r="B619" t="s">
        <v>15</v>
      </c>
      <c r="C619">
        <v>375.53</v>
      </c>
      <c r="D619">
        <v>36.19</v>
      </c>
      <c r="E619" t="s">
        <v>9</v>
      </c>
      <c r="F619">
        <v>80.760000000000005</v>
      </c>
      <c r="G619" t="s">
        <v>16</v>
      </c>
      <c r="H619" t="s">
        <v>13</v>
      </c>
    </row>
    <row r="620" spans="1:8" x14ac:dyDescent="0.25">
      <c r="A620" s="1">
        <v>45668.75</v>
      </c>
      <c r="B620" t="s">
        <v>15</v>
      </c>
      <c r="C620">
        <v>166.75</v>
      </c>
      <c r="D620">
        <v>20.86</v>
      </c>
      <c r="E620" t="s">
        <v>9</v>
      </c>
      <c r="F620">
        <v>37.159999999999997</v>
      </c>
      <c r="G620" t="s">
        <v>16</v>
      </c>
      <c r="H620" t="s">
        <v>12</v>
      </c>
    </row>
    <row r="621" spans="1:8" x14ac:dyDescent="0.25">
      <c r="A621" s="1">
        <v>45668.791666666664</v>
      </c>
      <c r="B621" t="s">
        <v>15</v>
      </c>
      <c r="C621">
        <v>116.88</v>
      </c>
      <c r="D621">
        <v>50.95</v>
      </c>
      <c r="E621" t="s">
        <v>9</v>
      </c>
      <c r="F621">
        <v>59.54</v>
      </c>
      <c r="G621" t="s">
        <v>16</v>
      </c>
      <c r="H621" t="s">
        <v>11</v>
      </c>
    </row>
    <row r="622" spans="1:8" x14ac:dyDescent="0.25">
      <c r="A622" s="1">
        <v>45668.833333333336</v>
      </c>
      <c r="B622" t="s">
        <v>15</v>
      </c>
      <c r="C622">
        <v>405.07</v>
      </c>
      <c r="D622">
        <v>42.42</v>
      </c>
      <c r="E622" t="s">
        <v>9</v>
      </c>
      <c r="F622">
        <v>54.28</v>
      </c>
      <c r="G622" t="s">
        <v>16</v>
      </c>
      <c r="H622" t="s">
        <v>11</v>
      </c>
    </row>
    <row r="623" spans="1:8" x14ac:dyDescent="0.25">
      <c r="A623" s="1">
        <v>45668.875</v>
      </c>
      <c r="B623" t="s">
        <v>15</v>
      </c>
      <c r="C623">
        <v>181.59</v>
      </c>
      <c r="D623">
        <v>84.87</v>
      </c>
      <c r="E623" t="s">
        <v>9</v>
      </c>
      <c r="F623">
        <v>76.31</v>
      </c>
      <c r="G623" t="s">
        <v>16</v>
      </c>
      <c r="H623" t="s">
        <v>13</v>
      </c>
    </row>
    <row r="624" spans="1:8" x14ac:dyDescent="0.25">
      <c r="A624" s="1">
        <v>45668.916666666664</v>
      </c>
      <c r="B624" t="s">
        <v>15</v>
      </c>
      <c r="C624">
        <v>386.78</v>
      </c>
      <c r="D624">
        <v>91.87</v>
      </c>
      <c r="E624" t="s">
        <v>14</v>
      </c>
      <c r="F624">
        <v>57.54</v>
      </c>
      <c r="G624" t="s">
        <v>16</v>
      </c>
      <c r="H624" t="s">
        <v>11</v>
      </c>
    </row>
    <row r="625" spans="1:8" x14ac:dyDescent="0.25">
      <c r="A625" s="1">
        <v>45668.958333333336</v>
      </c>
      <c r="B625" t="s">
        <v>15</v>
      </c>
      <c r="C625">
        <v>163.66</v>
      </c>
      <c r="D625">
        <v>81.19</v>
      </c>
      <c r="E625" t="s">
        <v>9</v>
      </c>
      <c r="F625">
        <v>72.239999999999995</v>
      </c>
      <c r="G625" t="s">
        <v>16</v>
      </c>
      <c r="H625" t="s">
        <v>12</v>
      </c>
    </row>
    <row r="626" spans="1:8" x14ac:dyDescent="0.25">
      <c r="A626" s="1">
        <v>45669</v>
      </c>
      <c r="B626" t="s">
        <v>15</v>
      </c>
      <c r="C626">
        <v>307.70999999999998</v>
      </c>
      <c r="D626">
        <v>54.55</v>
      </c>
      <c r="E626" t="s">
        <v>9</v>
      </c>
      <c r="F626">
        <v>81.34</v>
      </c>
      <c r="G626" t="s">
        <v>16</v>
      </c>
      <c r="H626" t="s">
        <v>11</v>
      </c>
    </row>
    <row r="627" spans="1:8" x14ac:dyDescent="0.25">
      <c r="A627" s="1">
        <v>45669.041666666664</v>
      </c>
      <c r="B627" t="s">
        <v>15</v>
      </c>
      <c r="C627">
        <v>333.76</v>
      </c>
      <c r="D627">
        <v>50.41</v>
      </c>
      <c r="E627" t="s">
        <v>9</v>
      </c>
      <c r="F627">
        <v>41.32</v>
      </c>
      <c r="G627" t="s">
        <v>16</v>
      </c>
      <c r="H627" t="s">
        <v>11</v>
      </c>
    </row>
    <row r="628" spans="1:8" x14ac:dyDescent="0.25">
      <c r="A628" s="1">
        <v>45669.083333333336</v>
      </c>
      <c r="B628" t="s">
        <v>15</v>
      </c>
      <c r="C628">
        <v>154.87</v>
      </c>
      <c r="D628">
        <v>60.46</v>
      </c>
      <c r="E628" t="s">
        <v>9</v>
      </c>
      <c r="F628">
        <v>79.290000000000006</v>
      </c>
      <c r="G628" t="s">
        <v>16</v>
      </c>
      <c r="H628" t="s">
        <v>13</v>
      </c>
    </row>
    <row r="629" spans="1:8" x14ac:dyDescent="0.25">
      <c r="A629" s="1">
        <v>45669.125</v>
      </c>
      <c r="B629" t="s">
        <v>15</v>
      </c>
      <c r="C629">
        <v>348.71</v>
      </c>
      <c r="D629">
        <v>23.18</v>
      </c>
      <c r="E629" t="s">
        <v>9</v>
      </c>
      <c r="F629">
        <v>73.239999999999995</v>
      </c>
      <c r="G629" t="s">
        <v>16</v>
      </c>
      <c r="H629" t="s">
        <v>12</v>
      </c>
    </row>
    <row r="630" spans="1:8" x14ac:dyDescent="0.25">
      <c r="A630" s="1">
        <v>45669.166666666664</v>
      </c>
      <c r="B630" t="s">
        <v>15</v>
      </c>
      <c r="C630">
        <v>226.66</v>
      </c>
      <c r="D630">
        <v>41.7</v>
      </c>
      <c r="E630" t="s">
        <v>9</v>
      </c>
      <c r="F630">
        <v>79.930000000000007</v>
      </c>
      <c r="G630" t="s">
        <v>16</v>
      </c>
      <c r="H630" t="s">
        <v>11</v>
      </c>
    </row>
    <row r="631" spans="1:8" x14ac:dyDescent="0.25">
      <c r="A631" s="1">
        <v>45669.208333333336</v>
      </c>
      <c r="B631" t="s">
        <v>15</v>
      </c>
      <c r="C631">
        <v>419.29</v>
      </c>
      <c r="D631">
        <v>17.059999999999999</v>
      </c>
      <c r="E631" t="s">
        <v>9</v>
      </c>
      <c r="F631">
        <v>52.03</v>
      </c>
      <c r="G631" t="s">
        <v>16</v>
      </c>
      <c r="H631" t="s">
        <v>13</v>
      </c>
    </row>
    <row r="632" spans="1:8" x14ac:dyDescent="0.25">
      <c r="A632" s="1">
        <v>45669.25</v>
      </c>
      <c r="B632" t="s">
        <v>15</v>
      </c>
      <c r="C632">
        <v>368.02</v>
      </c>
      <c r="D632">
        <v>38.14</v>
      </c>
      <c r="E632" t="s">
        <v>9</v>
      </c>
      <c r="F632">
        <v>54.73</v>
      </c>
      <c r="G632" t="s">
        <v>16</v>
      </c>
      <c r="H632" t="s">
        <v>12</v>
      </c>
    </row>
    <row r="633" spans="1:8" x14ac:dyDescent="0.25">
      <c r="A633" s="1">
        <v>45669.291666666664</v>
      </c>
      <c r="B633" t="s">
        <v>15</v>
      </c>
      <c r="C633">
        <v>469.64</v>
      </c>
      <c r="D633">
        <v>53.53</v>
      </c>
      <c r="E633" t="s">
        <v>9</v>
      </c>
      <c r="F633">
        <v>67.83</v>
      </c>
      <c r="G633" t="s">
        <v>16</v>
      </c>
      <c r="H633" t="s">
        <v>11</v>
      </c>
    </row>
    <row r="634" spans="1:8" x14ac:dyDescent="0.25">
      <c r="A634" s="1">
        <v>45669.333333333336</v>
      </c>
      <c r="B634" t="s">
        <v>15</v>
      </c>
      <c r="C634">
        <v>352.3</v>
      </c>
      <c r="D634">
        <v>45.95</v>
      </c>
      <c r="E634" t="s">
        <v>9</v>
      </c>
      <c r="F634">
        <v>30.08</v>
      </c>
      <c r="G634" t="s">
        <v>16</v>
      </c>
      <c r="H634" t="s">
        <v>11</v>
      </c>
    </row>
    <row r="635" spans="1:8" x14ac:dyDescent="0.25">
      <c r="A635" s="1">
        <v>45669.375</v>
      </c>
      <c r="B635" t="s">
        <v>15</v>
      </c>
      <c r="C635">
        <v>367.55</v>
      </c>
      <c r="D635">
        <v>53.64</v>
      </c>
      <c r="E635" t="s">
        <v>9</v>
      </c>
      <c r="F635">
        <v>52.98</v>
      </c>
      <c r="G635" t="s">
        <v>16</v>
      </c>
      <c r="H635" t="s">
        <v>13</v>
      </c>
    </row>
    <row r="636" spans="1:8" x14ac:dyDescent="0.25">
      <c r="A636" s="1">
        <v>45669.416666666664</v>
      </c>
      <c r="B636" t="s">
        <v>15</v>
      </c>
      <c r="C636">
        <v>421.08</v>
      </c>
      <c r="D636">
        <v>63.28</v>
      </c>
      <c r="E636" t="s">
        <v>9</v>
      </c>
      <c r="F636">
        <v>56.66</v>
      </c>
      <c r="G636" t="s">
        <v>16</v>
      </c>
      <c r="H636" t="s">
        <v>11</v>
      </c>
    </row>
    <row r="637" spans="1:8" x14ac:dyDescent="0.25">
      <c r="A637" s="1">
        <v>45669.458333333336</v>
      </c>
      <c r="B637" t="s">
        <v>15</v>
      </c>
      <c r="C637">
        <v>428</v>
      </c>
      <c r="D637">
        <v>72.72</v>
      </c>
      <c r="E637" t="s">
        <v>9</v>
      </c>
      <c r="F637">
        <v>83.69</v>
      </c>
      <c r="G637" t="s">
        <v>16</v>
      </c>
      <c r="H637" t="s">
        <v>13</v>
      </c>
    </row>
    <row r="638" spans="1:8" x14ac:dyDescent="0.25">
      <c r="A638" s="1">
        <v>45669.5</v>
      </c>
      <c r="B638" t="s">
        <v>15</v>
      </c>
      <c r="C638">
        <v>449.12</v>
      </c>
      <c r="D638">
        <v>79.650000000000006</v>
      </c>
      <c r="E638" t="s">
        <v>9</v>
      </c>
      <c r="F638">
        <v>52.46</v>
      </c>
      <c r="G638" t="s">
        <v>16</v>
      </c>
      <c r="H638" t="s">
        <v>13</v>
      </c>
    </row>
    <row r="639" spans="1:8" x14ac:dyDescent="0.25">
      <c r="A639" s="1">
        <v>45669.541666666664</v>
      </c>
      <c r="B639" t="s">
        <v>15</v>
      </c>
      <c r="C639">
        <v>498.84</v>
      </c>
      <c r="D639">
        <v>36.770000000000003</v>
      </c>
      <c r="E639" t="s">
        <v>9</v>
      </c>
      <c r="F639">
        <v>70.08</v>
      </c>
      <c r="G639" t="s">
        <v>16</v>
      </c>
      <c r="H639" t="s">
        <v>13</v>
      </c>
    </row>
    <row r="640" spans="1:8" x14ac:dyDescent="0.25">
      <c r="A640" s="1">
        <v>45669.583333333336</v>
      </c>
      <c r="B640" t="s">
        <v>15</v>
      </c>
      <c r="C640">
        <v>403.94</v>
      </c>
      <c r="D640">
        <v>39.31</v>
      </c>
      <c r="E640" t="s">
        <v>9</v>
      </c>
      <c r="F640">
        <v>84.87</v>
      </c>
      <c r="G640" t="s">
        <v>16</v>
      </c>
      <c r="H640" t="s">
        <v>11</v>
      </c>
    </row>
    <row r="641" spans="1:8" x14ac:dyDescent="0.25">
      <c r="A641" s="1">
        <v>45669.625</v>
      </c>
      <c r="B641" t="s">
        <v>15</v>
      </c>
      <c r="C641">
        <v>351.61</v>
      </c>
      <c r="D641">
        <v>29.23</v>
      </c>
      <c r="E641" t="s">
        <v>9</v>
      </c>
      <c r="F641">
        <v>67.489999999999995</v>
      </c>
      <c r="G641" t="s">
        <v>16</v>
      </c>
      <c r="H641" t="s">
        <v>13</v>
      </c>
    </row>
    <row r="642" spans="1:8" x14ac:dyDescent="0.25">
      <c r="A642" s="1">
        <v>45669.666666666664</v>
      </c>
      <c r="B642" t="s">
        <v>15</v>
      </c>
      <c r="C642">
        <v>412.59</v>
      </c>
      <c r="D642">
        <v>62.8</v>
      </c>
      <c r="E642" t="s">
        <v>9</v>
      </c>
      <c r="F642">
        <v>47.75</v>
      </c>
      <c r="G642" t="s">
        <v>16</v>
      </c>
      <c r="H642" t="s">
        <v>11</v>
      </c>
    </row>
    <row r="643" spans="1:8" x14ac:dyDescent="0.25">
      <c r="A643" s="1">
        <v>45669.708333333336</v>
      </c>
      <c r="B643" t="s">
        <v>15</v>
      </c>
      <c r="C643">
        <v>428.27</v>
      </c>
      <c r="D643">
        <v>52.3</v>
      </c>
      <c r="E643" t="s">
        <v>9</v>
      </c>
      <c r="F643">
        <v>32.340000000000003</v>
      </c>
      <c r="G643" t="s">
        <v>16</v>
      </c>
      <c r="H643" t="s">
        <v>11</v>
      </c>
    </row>
    <row r="644" spans="1:8" x14ac:dyDescent="0.25">
      <c r="A644" s="1">
        <v>45669.75</v>
      </c>
      <c r="B644" t="s">
        <v>15</v>
      </c>
      <c r="C644">
        <v>194.24</v>
      </c>
      <c r="D644">
        <v>74.3</v>
      </c>
      <c r="E644" t="s">
        <v>9</v>
      </c>
      <c r="F644">
        <v>88.27</v>
      </c>
      <c r="G644" t="s">
        <v>16</v>
      </c>
      <c r="H644" t="s">
        <v>11</v>
      </c>
    </row>
    <row r="645" spans="1:8" x14ac:dyDescent="0.25">
      <c r="A645" s="1">
        <v>45669.791666666664</v>
      </c>
      <c r="B645" t="s">
        <v>15</v>
      </c>
      <c r="C645">
        <v>135.27000000000001</v>
      </c>
      <c r="D645">
        <v>68.790000000000006</v>
      </c>
      <c r="E645" t="s">
        <v>9</v>
      </c>
      <c r="F645">
        <v>35.54</v>
      </c>
      <c r="G645" t="s">
        <v>16</v>
      </c>
      <c r="H645" t="s">
        <v>12</v>
      </c>
    </row>
    <row r="646" spans="1:8" x14ac:dyDescent="0.25">
      <c r="A646" s="1">
        <v>45669.833333333336</v>
      </c>
      <c r="B646" t="s">
        <v>15</v>
      </c>
      <c r="C646">
        <v>360.78</v>
      </c>
      <c r="D646">
        <v>55.58</v>
      </c>
      <c r="E646" t="s">
        <v>9</v>
      </c>
      <c r="F646">
        <v>69.040000000000006</v>
      </c>
      <c r="G646" t="s">
        <v>16</v>
      </c>
      <c r="H646" t="s">
        <v>11</v>
      </c>
    </row>
    <row r="647" spans="1:8" x14ac:dyDescent="0.25">
      <c r="A647" s="1">
        <v>45669.875</v>
      </c>
      <c r="B647" t="s">
        <v>15</v>
      </c>
      <c r="C647">
        <v>248.2</v>
      </c>
      <c r="D647">
        <v>86.99</v>
      </c>
      <c r="E647" t="s">
        <v>14</v>
      </c>
      <c r="F647">
        <v>75.040000000000006</v>
      </c>
      <c r="G647" t="s">
        <v>16</v>
      </c>
      <c r="H647" t="s">
        <v>11</v>
      </c>
    </row>
    <row r="648" spans="1:8" x14ac:dyDescent="0.25">
      <c r="A648" s="1">
        <v>45669.916666666664</v>
      </c>
      <c r="B648" t="s">
        <v>15</v>
      </c>
      <c r="C648">
        <v>321.45</v>
      </c>
      <c r="D648">
        <v>40.369999999999997</v>
      </c>
      <c r="E648" t="s">
        <v>9</v>
      </c>
      <c r="F648">
        <v>89.02</v>
      </c>
      <c r="G648" t="s">
        <v>16</v>
      </c>
      <c r="H648" t="s">
        <v>13</v>
      </c>
    </row>
    <row r="649" spans="1:8" x14ac:dyDescent="0.25">
      <c r="A649" s="1">
        <v>45669.958333333336</v>
      </c>
      <c r="B649" t="s">
        <v>15</v>
      </c>
      <c r="C649">
        <v>447.25</v>
      </c>
      <c r="D649">
        <v>88.68</v>
      </c>
      <c r="E649" t="s">
        <v>14</v>
      </c>
      <c r="F649">
        <v>36.270000000000003</v>
      </c>
      <c r="G649" t="s">
        <v>16</v>
      </c>
      <c r="H649" t="s">
        <v>11</v>
      </c>
    </row>
    <row r="650" spans="1:8" x14ac:dyDescent="0.25">
      <c r="A650" s="1">
        <v>45670</v>
      </c>
      <c r="B650" t="s">
        <v>15</v>
      </c>
      <c r="C650">
        <v>75.349999999999994</v>
      </c>
      <c r="D650">
        <v>15.93</v>
      </c>
      <c r="E650" t="s">
        <v>9</v>
      </c>
      <c r="F650">
        <v>57</v>
      </c>
      <c r="G650" t="s">
        <v>16</v>
      </c>
      <c r="H650" t="s">
        <v>11</v>
      </c>
    </row>
    <row r="651" spans="1:8" x14ac:dyDescent="0.25">
      <c r="A651" s="1">
        <v>45670.041666666664</v>
      </c>
      <c r="B651" t="s">
        <v>15</v>
      </c>
      <c r="C651">
        <v>247.23</v>
      </c>
      <c r="D651">
        <v>35.28</v>
      </c>
      <c r="E651" t="s">
        <v>9</v>
      </c>
      <c r="F651">
        <v>39.880000000000003</v>
      </c>
      <c r="G651" t="s">
        <v>16</v>
      </c>
      <c r="H651" t="s">
        <v>11</v>
      </c>
    </row>
    <row r="652" spans="1:8" x14ac:dyDescent="0.25">
      <c r="A652" s="1">
        <v>45670.083333333336</v>
      </c>
      <c r="B652" t="s">
        <v>15</v>
      </c>
      <c r="C652">
        <v>281.56</v>
      </c>
      <c r="D652">
        <v>30.22</v>
      </c>
      <c r="E652" t="s">
        <v>9</v>
      </c>
      <c r="F652">
        <v>49.18</v>
      </c>
      <c r="G652" t="s">
        <v>16</v>
      </c>
      <c r="H652" t="s">
        <v>13</v>
      </c>
    </row>
    <row r="653" spans="1:8" x14ac:dyDescent="0.25">
      <c r="A653" s="1">
        <v>45670.125</v>
      </c>
      <c r="B653" t="s">
        <v>15</v>
      </c>
      <c r="C653">
        <v>400.55</v>
      </c>
      <c r="D653">
        <v>15.62</v>
      </c>
      <c r="E653" t="s">
        <v>9</v>
      </c>
      <c r="F653">
        <v>83.43</v>
      </c>
      <c r="G653" t="s">
        <v>16</v>
      </c>
      <c r="H653" t="s">
        <v>12</v>
      </c>
    </row>
    <row r="654" spans="1:8" x14ac:dyDescent="0.25">
      <c r="A654" s="1">
        <v>45670.166666666664</v>
      </c>
      <c r="B654" t="s">
        <v>15</v>
      </c>
      <c r="C654">
        <v>415.54</v>
      </c>
      <c r="D654">
        <v>74.95</v>
      </c>
      <c r="E654" t="s">
        <v>9</v>
      </c>
      <c r="F654">
        <v>75.2</v>
      </c>
      <c r="G654" t="s">
        <v>16</v>
      </c>
      <c r="H654" t="s">
        <v>11</v>
      </c>
    </row>
    <row r="655" spans="1:8" x14ac:dyDescent="0.25">
      <c r="A655" s="1">
        <v>45670.208333333336</v>
      </c>
      <c r="B655" t="s">
        <v>15</v>
      </c>
      <c r="C655">
        <v>351.22</v>
      </c>
      <c r="D655">
        <v>52.63</v>
      </c>
      <c r="E655" t="s">
        <v>9</v>
      </c>
      <c r="F655">
        <v>68.540000000000006</v>
      </c>
      <c r="G655" t="s">
        <v>16</v>
      </c>
      <c r="H655" t="s">
        <v>12</v>
      </c>
    </row>
    <row r="656" spans="1:8" x14ac:dyDescent="0.25">
      <c r="A656" s="1">
        <v>45670.25</v>
      </c>
      <c r="B656" t="s">
        <v>15</v>
      </c>
      <c r="C656">
        <v>376.79</v>
      </c>
      <c r="D656">
        <v>82.18</v>
      </c>
      <c r="E656" t="s">
        <v>9</v>
      </c>
      <c r="F656">
        <v>47.94</v>
      </c>
      <c r="G656" t="s">
        <v>16</v>
      </c>
      <c r="H656" t="s">
        <v>13</v>
      </c>
    </row>
    <row r="657" spans="1:8" x14ac:dyDescent="0.25">
      <c r="A657" s="1">
        <v>45670.291666666664</v>
      </c>
      <c r="B657" t="s">
        <v>15</v>
      </c>
      <c r="C657">
        <v>210.88</v>
      </c>
      <c r="D657">
        <v>36.46</v>
      </c>
      <c r="E657" t="s">
        <v>9</v>
      </c>
      <c r="F657">
        <v>68.569999999999993</v>
      </c>
      <c r="G657" t="s">
        <v>16</v>
      </c>
      <c r="H657" t="s">
        <v>13</v>
      </c>
    </row>
    <row r="658" spans="1:8" x14ac:dyDescent="0.25">
      <c r="A658" s="1">
        <v>45670.333333333336</v>
      </c>
      <c r="B658" t="s">
        <v>15</v>
      </c>
      <c r="C658">
        <v>426.1</v>
      </c>
      <c r="D658">
        <v>47.62</v>
      </c>
      <c r="E658" t="s">
        <v>9</v>
      </c>
      <c r="F658">
        <v>75.89</v>
      </c>
      <c r="G658" t="s">
        <v>16</v>
      </c>
      <c r="H658" t="s">
        <v>11</v>
      </c>
    </row>
    <row r="659" spans="1:8" x14ac:dyDescent="0.25">
      <c r="A659" s="1">
        <v>45670.375</v>
      </c>
      <c r="B659" t="s">
        <v>15</v>
      </c>
      <c r="C659">
        <v>195.02</v>
      </c>
      <c r="D659">
        <v>92.91</v>
      </c>
      <c r="E659" t="s">
        <v>14</v>
      </c>
      <c r="F659">
        <v>89.18</v>
      </c>
      <c r="G659" t="s">
        <v>16</v>
      </c>
      <c r="H659" t="s">
        <v>13</v>
      </c>
    </row>
    <row r="660" spans="1:8" x14ac:dyDescent="0.25">
      <c r="A660" s="1">
        <v>45670.416666666664</v>
      </c>
      <c r="B660" t="s">
        <v>15</v>
      </c>
      <c r="C660">
        <v>470.42</v>
      </c>
      <c r="D660">
        <v>56.34</v>
      </c>
      <c r="E660" t="s">
        <v>9</v>
      </c>
      <c r="F660">
        <v>47.5</v>
      </c>
      <c r="G660" t="s">
        <v>16</v>
      </c>
      <c r="H660" t="s">
        <v>11</v>
      </c>
    </row>
    <row r="661" spans="1:8" x14ac:dyDescent="0.25">
      <c r="A661" s="1">
        <v>45670.458333333336</v>
      </c>
      <c r="B661" t="s">
        <v>15</v>
      </c>
      <c r="C661">
        <v>74.05</v>
      </c>
      <c r="D661">
        <v>89.94</v>
      </c>
      <c r="E661" t="s">
        <v>14</v>
      </c>
      <c r="F661">
        <v>61.79</v>
      </c>
      <c r="G661" t="s">
        <v>16</v>
      </c>
      <c r="H661" t="s">
        <v>12</v>
      </c>
    </row>
    <row r="662" spans="1:8" x14ac:dyDescent="0.25">
      <c r="A662" s="1">
        <v>45670.5</v>
      </c>
      <c r="B662" t="s">
        <v>15</v>
      </c>
      <c r="C662">
        <v>299.99</v>
      </c>
      <c r="D662">
        <v>73.900000000000006</v>
      </c>
      <c r="E662" t="s">
        <v>9</v>
      </c>
      <c r="F662">
        <v>59.95</v>
      </c>
      <c r="G662" t="s">
        <v>16</v>
      </c>
      <c r="H662" t="s">
        <v>13</v>
      </c>
    </row>
    <row r="663" spans="1:8" x14ac:dyDescent="0.25">
      <c r="A663" s="1">
        <v>45670.541666666664</v>
      </c>
      <c r="B663" t="s">
        <v>15</v>
      </c>
      <c r="C663">
        <v>386.25</v>
      </c>
      <c r="D663">
        <v>39.25</v>
      </c>
      <c r="E663" t="s">
        <v>9</v>
      </c>
      <c r="F663">
        <v>48.37</v>
      </c>
      <c r="G663" t="s">
        <v>16</v>
      </c>
      <c r="H663" t="s">
        <v>11</v>
      </c>
    </row>
    <row r="664" spans="1:8" x14ac:dyDescent="0.25">
      <c r="A664" s="1">
        <v>45670.583333333336</v>
      </c>
      <c r="B664" t="s">
        <v>15</v>
      </c>
      <c r="C664">
        <v>306.27999999999997</v>
      </c>
      <c r="D664">
        <v>73.81</v>
      </c>
      <c r="E664" t="s">
        <v>9</v>
      </c>
      <c r="F664">
        <v>38.49</v>
      </c>
      <c r="G664" t="s">
        <v>16</v>
      </c>
      <c r="H664" t="s">
        <v>12</v>
      </c>
    </row>
    <row r="665" spans="1:8" x14ac:dyDescent="0.25">
      <c r="A665" s="1">
        <v>45670.625</v>
      </c>
      <c r="B665" t="s">
        <v>15</v>
      </c>
      <c r="C665">
        <v>316.83999999999997</v>
      </c>
      <c r="D665">
        <v>89.82</v>
      </c>
      <c r="E665" t="s">
        <v>14</v>
      </c>
      <c r="F665">
        <v>70.69</v>
      </c>
      <c r="G665" t="s">
        <v>16</v>
      </c>
      <c r="H665" t="s">
        <v>12</v>
      </c>
    </row>
    <row r="666" spans="1:8" x14ac:dyDescent="0.25">
      <c r="A666" s="1">
        <v>45670.666666666664</v>
      </c>
      <c r="B666" t="s">
        <v>15</v>
      </c>
      <c r="C666">
        <v>430.16</v>
      </c>
      <c r="D666">
        <v>86.7</v>
      </c>
      <c r="E666" t="s">
        <v>14</v>
      </c>
      <c r="F666">
        <v>45.88</v>
      </c>
      <c r="G666" t="s">
        <v>16</v>
      </c>
      <c r="H666" t="s">
        <v>11</v>
      </c>
    </row>
    <row r="667" spans="1:8" x14ac:dyDescent="0.25">
      <c r="A667" s="1">
        <v>45670.708333333336</v>
      </c>
      <c r="B667" t="s">
        <v>15</v>
      </c>
      <c r="C667">
        <v>498.51</v>
      </c>
      <c r="D667">
        <v>74.819999999999993</v>
      </c>
      <c r="E667" t="s">
        <v>9</v>
      </c>
      <c r="F667">
        <v>68.680000000000007</v>
      </c>
      <c r="G667" t="s">
        <v>16</v>
      </c>
      <c r="H667" t="s">
        <v>13</v>
      </c>
    </row>
    <row r="668" spans="1:8" x14ac:dyDescent="0.25">
      <c r="A668" s="1">
        <v>45670.75</v>
      </c>
      <c r="B668" t="s">
        <v>15</v>
      </c>
      <c r="C668">
        <v>362.67</v>
      </c>
      <c r="D668">
        <v>78.459999999999994</v>
      </c>
      <c r="E668" t="s">
        <v>9</v>
      </c>
      <c r="F668">
        <v>50.41</v>
      </c>
      <c r="G668" t="s">
        <v>16</v>
      </c>
      <c r="H668" t="s">
        <v>13</v>
      </c>
    </row>
    <row r="669" spans="1:8" x14ac:dyDescent="0.25">
      <c r="A669" s="1">
        <v>45670.791666666664</v>
      </c>
      <c r="B669" t="s">
        <v>15</v>
      </c>
      <c r="C669">
        <v>392.91</v>
      </c>
      <c r="D669">
        <v>57.52</v>
      </c>
      <c r="E669" t="s">
        <v>9</v>
      </c>
      <c r="F669">
        <v>80.45</v>
      </c>
      <c r="G669" t="s">
        <v>16</v>
      </c>
      <c r="H669" t="s">
        <v>11</v>
      </c>
    </row>
    <row r="670" spans="1:8" x14ac:dyDescent="0.25">
      <c r="A670" s="1">
        <v>45670.833333333336</v>
      </c>
      <c r="B670" t="s">
        <v>15</v>
      </c>
      <c r="C670">
        <v>197.01</v>
      </c>
      <c r="D670">
        <v>49.41</v>
      </c>
      <c r="E670" t="s">
        <v>9</v>
      </c>
      <c r="F670">
        <v>46.77</v>
      </c>
      <c r="G670" t="s">
        <v>16</v>
      </c>
      <c r="H670" t="s">
        <v>13</v>
      </c>
    </row>
    <row r="671" spans="1:8" x14ac:dyDescent="0.25">
      <c r="A671" s="1">
        <v>45670.875</v>
      </c>
      <c r="B671" t="s">
        <v>15</v>
      </c>
      <c r="C671">
        <v>82.57</v>
      </c>
      <c r="D671">
        <v>91.29</v>
      </c>
      <c r="E671" t="s">
        <v>14</v>
      </c>
      <c r="F671">
        <v>43.4</v>
      </c>
      <c r="G671" t="s">
        <v>16</v>
      </c>
      <c r="H671" t="s">
        <v>13</v>
      </c>
    </row>
    <row r="672" spans="1:8" x14ac:dyDescent="0.25">
      <c r="A672" s="1">
        <v>45670.916666666664</v>
      </c>
      <c r="B672" t="s">
        <v>15</v>
      </c>
      <c r="C672">
        <v>113.96</v>
      </c>
      <c r="D672">
        <v>65.819999999999993</v>
      </c>
      <c r="E672" t="s">
        <v>9</v>
      </c>
      <c r="F672">
        <v>33.28</v>
      </c>
      <c r="G672" t="s">
        <v>16</v>
      </c>
      <c r="H672" t="s">
        <v>12</v>
      </c>
    </row>
    <row r="673" spans="1:8" x14ac:dyDescent="0.25">
      <c r="A673" s="1">
        <v>45670.958333333336</v>
      </c>
      <c r="B673" t="s">
        <v>15</v>
      </c>
      <c r="C673">
        <v>129.83000000000001</v>
      </c>
      <c r="D673">
        <v>22.87</v>
      </c>
      <c r="E673" t="s">
        <v>9</v>
      </c>
      <c r="F673">
        <v>64.02</v>
      </c>
      <c r="G673" t="s">
        <v>16</v>
      </c>
      <c r="H673" t="s">
        <v>13</v>
      </c>
    </row>
    <row r="674" spans="1:8" x14ac:dyDescent="0.25">
      <c r="A674" s="1">
        <v>45671</v>
      </c>
      <c r="B674" t="s">
        <v>15</v>
      </c>
      <c r="C674">
        <v>112.87</v>
      </c>
      <c r="D674">
        <v>21.79</v>
      </c>
      <c r="E674" t="s">
        <v>9</v>
      </c>
      <c r="F674">
        <v>55.47</v>
      </c>
      <c r="G674" t="s">
        <v>16</v>
      </c>
      <c r="H674" t="s">
        <v>12</v>
      </c>
    </row>
    <row r="675" spans="1:8" x14ac:dyDescent="0.25">
      <c r="A675" s="1">
        <v>45671.041666666664</v>
      </c>
      <c r="B675" t="s">
        <v>15</v>
      </c>
      <c r="C675">
        <v>258.20999999999998</v>
      </c>
      <c r="D675">
        <v>79.319999999999993</v>
      </c>
      <c r="E675" t="s">
        <v>9</v>
      </c>
      <c r="F675">
        <v>40.78</v>
      </c>
      <c r="G675" t="s">
        <v>16</v>
      </c>
      <c r="H675" t="s">
        <v>12</v>
      </c>
    </row>
    <row r="676" spans="1:8" x14ac:dyDescent="0.25">
      <c r="A676" s="1">
        <v>45671.083333333336</v>
      </c>
      <c r="B676" t="s">
        <v>15</v>
      </c>
      <c r="C676">
        <v>50.36</v>
      </c>
      <c r="D676">
        <v>79.63</v>
      </c>
      <c r="E676" t="s">
        <v>9</v>
      </c>
      <c r="F676">
        <v>35.25</v>
      </c>
      <c r="G676" t="s">
        <v>16</v>
      </c>
      <c r="H676" t="s">
        <v>13</v>
      </c>
    </row>
    <row r="677" spans="1:8" x14ac:dyDescent="0.25">
      <c r="A677" s="1">
        <v>45671.125</v>
      </c>
      <c r="B677" t="s">
        <v>15</v>
      </c>
      <c r="C677">
        <v>303.74</v>
      </c>
      <c r="D677">
        <v>55.83</v>
      </c>
      <c r="E677" t="s">
        <v>9</v>
      </c>
      <c r="F677">
        <v>73.62</v>
      </c>
      <c r="G677" t="s">
        <v>16</v>
      </c>
      <c r="H677" t="s">
        <v>13</v>
      </c>
    </row>
    <row r="678" spans="1:8" x14ac:dyDescent="0.25">
      <c r="A678" s="1">
        <v>45671.166666666664</v>
      </c>
      <c r="B678" t="s">
        <v>15</v>
      </c>
      <c r="C678">
        <v>123.13</v>
      </c>
      <c r="D678">
        <v>68.61</v>
      </c>
      <c r="E678" t="s">
        <v>9</v>
      </c>
      <c r="F678">
        <v>38.01</v>
      </c>
      <c r="G678" t="s">
        <v>16</v>
      </c>
      <c r="H678" t="s">
        <v>12</v>
      </c>
    </row>
    <row r="679" spans="1:8" x14ac:dyDescent="0.25">
      <c r="A679" s="1">
        <v>45671.208333333336</v>
      </c>
      <c r="B679" t="s">
        <v>15</v>
      </c>
      <c r="C679">
        <v>185.55</v>
      </c>
      <c r="D679">
        <v>51.53</v>
      </c>
      <c r="E679" t="s">
        <v>9</v>
      </c>
      <c r="F679">
        <v>65.97</v>
      </c>
      <c r="G679" t="s">
        <v>16</v>
      </c>
      <c r="H679" t="s">
        <v>11</v>
      </c>
    </row>
    <row r="680" spans="1:8" x14ac:dyDescent="0.25">
      <c r="A680" s="1">
        <v>45671.25</v>
      </c>
      <c r="B680" t="s">
        <v>15</v>
      </c>
      <c r="C680">
        <v>70.900000000000006</v>
      </c>
      <c r="D680">
        <v>15.12</v>
      </c>
      <c r="E680" t="s">
        <v>9</v>
      </c>
      <c r="F680">
        <v>85.29</v>
      </c>
      <c r="G680" t="s">
        <v>16</v>
      </c>
      <c r="H680" t="s">
        <v>11</v>
      </c>
    </row>
    <row r="681" spans="1:8" x14ac:dyDescent="0.25">
      <c r="A681" s="1">
        <v>45671.291666666664</v>
      </c>
      <c r="B681" t="s">
        <v>15</v>
      </c>
      <c r="C681">
        <v>250.6</v>
      </c>
      <c r="D681">
        <v>80.040000000000006</v>
      </c>
      <c r="E681" t="s">
        <v>9</v>
      </c>
      <c r="F681">
        <v>83.36</v>
      </c>
      <c r="G681" t="s">
        <v>16</v>
      </c>
      <c r="H681" t="s">
        <v>13</v>
      </c>
    </row>
    <row r="682" spans="1:8" x14ac:dyDescent="0.25">
      <c r="A682" s="1">
        <v>45671.333333333336</v>
      </c>
      <c r="B682" t="s">
        <v>15</v>
      </c>
      <c r="C682">
        <v>161.24</v>
      </c>
      <c r="D682">
        <v>74.62</v>
      </c>
      <c r="E682" t="s">
        <v>9</v>
      </c>
      <c r="F682">
        <v>45.72</v>
      </c>
      <c r="G682" t="s">
        <v>16</v>
      </c>
      <c r="H682" t="s">
        <v>11</v>
      </c>
    </row>
    <row r="683" spans="1:8" x14ac:dyDescent="0.25">
      <c r="A683" s="1">
        <v>45671.375</v>
      </c>
      <c r="B683" t="s">
        <v>15</v>
      </c>
      <c r="C683">
        <v>321.2</v>
      </c>
      <c r="D683">
        <v>59.32</v>
      </c>
      <c r="E683" t="s">
        <v>9</v>
      </c>
      <c r="F683">
        <v>30.87</v>
      </c>
      <c r="G683" t="s">
        <v>16</v>
      </c>
      <c r="H683" t="s">
        <v>11</v>
      </c>
    </row>
    <row r="684" spans="1:8" x14ac:dyDescent="0.25">
      <c r="A684" s="1">
        <v>45671.416666666664</v>
      </c>
      <c r="B684" t="s">
        <v>15</v>
      </c>
      <c r="C684">
        <v>226.19</v>
      </c>
      <c r="D684">
        <v>71.78</v>
      </c>
      <c r="E684" t="s">
        <v>9</v>
      </c>
      <c r="F684">
        <v>69.569999999999993</v>
      </c>
      <c r="G684" t="s">
        <v>16</v>
      </c>
      <c r="H684" t="s">
        <v>11</v>
      </c>
    </row>
    <row r="685" spans="1:8" x14ac:dyDescent="0.25">
      <c r="A685" s="1">
        <v>45671.458333333336</v>
      </c>
      <c r="B685" t="s">
        <v>15</v>
      </c>
      <c r="C685">
        <v>287.52999999999997</v>
      </c>
      <c r="D685">
        <v>77.83</v>
      </c>
      <c r="E685" t="s">
        <v>9</v>
      </c>
      <c r="F685">
        <v>80.42</v>
      </c>
      <c r="G685" t="s">
        <v>16</v>
      </c>
      <c r="H685" t="s">
        <v>11</v>
      </c>
    </row>
    <row r="686" spans="1:8" x14ac:dyDescent="0.25">
      <c r="A686" s="1">
        <v>45671.5</v>
      </c>
      <c r="B686" t="s">
        <v>15</v>
      </c>
      <c r="C686">
        <v>373.56</v>
      </c>
      <c r="D686">
        <v>54.81</v>
      </c>
      <c r="E686" t="s">
        <v>9</v>
      </c>
      <c r="F686">
        <v>72.53</v>
      </c>
      <c r="G686" t="s">
        <v>16</v>
      </c>
      <c r="H686" t="s">
        <v>11</v>
      </c>
    </row>
    <row r="687" spans="1:8" x14ac:dyDescent="0.25">
      <c r="A687" s="1">
        <v>45671.541666666664</v>
      </c>
      <c r="B687" t="s">
        <v>15</v>
      </c>
      <c r="C687">
        <v>184.35</v>
      </c>
      <c r="D687">
        <v>88.83</v>
      </c>
      <c r="E687" t="s">
        <v>14</v>
      </c>
      <c r="F687">
        <v>43.79</v>
      </c>
      <c r="G687" t="s">
        <v>16</v>
      </c>
      <c r="H687" t="s">
        <v>13</v>
      </c>
    </row>
    <row r="688" spans="1:8" x14ac:dyDescent="0.25">
      <c r="A688" s="1">
        <v>45671.583333333336</v>
      </c>
      <c r="B688" t="s">
        <v>15</v>
      </c>
      <c r="C688">
        <v>203.47</v>
      </c>
      <c r="D688">
        <v>79.069999999999993</v>
      </c>
      <c r="E688" t="s">
        <v>9</v>
      </c>
      <c r="F688">
        <v>83.84</v>
      </c>
      <c r="G688" t="s">
        <v>16</v>
      </c>
      <c r="H688" t="s">
        <v>11</v>
      </c>
    </row>
    <row r="689" spans="1:8" x14ac:dyDescent="0.25">
      <c r="A689" s="1">
        <v>45671.625</v>
      </c>
      <c r="B689" t="s">
        <v>15</v>
      </c>
      <c r="C689">
        <v>469.69</v>
      </c>
      <c r="D689">
        <v>65.23</v>
      </c>
      <c r="E689" t="s">
        <v>9</v>
      </c>
      <c r="F689">
        <v>47.3</v>
      </c>
      <c r="G689" t="s">
        <v>16</v>
      </c>
      <c r="H689" t="s">
        <v>12</v>
      </c>
    </row>
    <row r="690" spans="1:8" x14ac:dyDescent="0.25">
      <c r="A690" s="1">
        <v>45671.666666666664</v>
      </c>
      <c r="B690" t="s">
        <v>15</v>
      </c>
      <c r="C690">
        <v>475.14</v>
      </c>
      <c r="D690">
        <v>53.62</v>
      </c>
      <c r="E690" t="s">
        <v>9</v>
      </c>
      <c r="F690">
        <v>50.52</v>
      </c>
      <c r="G690" t="s">
        <v>16</v>
      </c>
      <c r="H690" t="s">
        <v>13</v>
      </c>
    </row>
    <row r="691" spans="1:8" x14ac:dyDescent="0.25">
      <c r="A691" s="1">
        <v>45671.708333333336</v>
      </c>
      <c r="B691" t="s">
        <v>15</v>
      </c>
      <c r="C691">
        <v>275.13</v>
      </c>
      <c r="D691">
        <v>68.989999999999995</v>
      </c>
      <c r="E691" t="s">
        <v>9</v>
      </c>
      <c r="F691">
        <v>53.52</v>
      </c>
      <c r="G691" t="s">
        <v>16</v>
      </c>
      <c r="H691" t="s">
        <v>11</v>
      </c>
    </row>
    <row r="692" spans="1:8" x14ac:dyDescent="0.25">
      <c r="A692" s="1">
        <v>45671.75</v>
      </c>
      <c r="B692" t="s">
        <v>15</v>
      </c>
      <c r="C692">
        <v>148.69</v>
      </c>
      <c r="D692">
        <v>48.74</v>
      </c>
      <c r="E692" t="s">
        <v>9</v>
      </c>
      <c r="F692">
        <v>69.14</v>
      </c>
      <c r="G692" t="s">
        <v>16</v>
      </c>
      <c r="H692" t="s">
        <v>11</v>
      </c>
    </row>
    <row r="693" spans="1:8" x14ac:dyDescent="0.25">
      <c r="A693" s="1">
        <v>45671.791666666664</v>
      </c>
      <c r="B693" t="s">
        <v>15</v>
      </c>
      <c r="C693">
        <v>50.32</v>
      </c>
      <c r="D693">
        <v>89.89</v>
      </c>
      <c r="E693" t="s">
        <v>14</v>
      </c>
      <c r="F693">
        <v>39.869999999999997</v>
      </c>
      <c r="G693" t="s">
        <v>16</v>
      </c>
      <c r="H693" t="s">
        <v>12</v>
      </c>
    </row>
    <row r="694" spans="1:8" x14ac:dyDescent="0.25">
      <c r="A694" s="1">
        <v>45671.833333333336</v>
      </c>
      <c r="B694" t="s">
        <v>15</v>
      </c>
      <c r="C694">
        <v>168.56</v>
      </c>
      <c r="D694">
        <v>17.059999999999999</v>
      </c>
      <c r="E694" t="s">
        <v>9</v>
      </c>
      <c r="F694">
        <v>37.380000000000003</v>
      </c>
      <c r="G694" t="s">
        <v>16</v>
      </c>
      <c r="H694" t="s">
        <v>11</v>
      </c>
    </row>
    <row r="695" spans="1:8" x14ac:dyDescent="0.25">
      <c r="A695" s="1">
        <v>45671.875</v>
      </c>
      <c r="B695" t="s">
        <v>15</v>
      </c>
      <c r="C695">
        <v>351.74</v>
      </c>
      <c r="D695">
        <v>39.79</v>
      </c>
      <c r="E695" t="s">
        <v>9</v>
      </c>
      <c r="F695">
        <v>52.87</v>
      </c>
      <c r="G695" t="s">
        <v>16</v>
      </c>
      <c r="H695" t="s">
        <v>12</v>
      </c>
    </row>
    <row r="696" spans="1:8" x14ac:dyDescent="0.25">
      <c r="A696" s="1">
        <v>45671.916666666664</v>
      </c>
      <c r="B696" t="s">
        <v>15</v>
      </c>
      <c r="C696">
        <v>373.76</v>
      </c>
      <c r="D696">
        <v>83.23</v>
      </c>
      <c r="E696" t="s">
        <v>9</v>
      </c>
      <c r="F696">
        <v>45.42</v>
      </c>
      <c r="G696" t="s">
        <v>16</v>
      </c>
      <c r="H696" t="s">
        <v>12</v>
      </c>
    </row>
    <row r="697" spans="1:8" x14ac:dyDescent="0.25">
      <c r="A697" s="1">
        <v>45671.958333333336</v>
      </c>
      <c r="B697" t="s">
        <v>15</v>
      </c>
      <c r="C697">
        <v>157.65</v>
      </c>
      <c r="D697">
        <v>47.62</v>
      </c>
      <c r="E697" t="s">
        <v>9</v>
      </c>
      <c r="F697">
        <v>66.91</v>
      </c>
      <c r="G697" t="s">
        <v>16</v>
      </c>
      <c r="H697" t="s">
        <v>13</v>
      </c>
    </row>
    <row r="698" spans="1:8" x14ac:dyDescent="0.25">
      <c r="A698" s="1">
        <v>45672</v>
      </c>
      <c r="B698" t="s">
        <v>15</v>
      </c>
      <c r="C698">
        <v>244.18</v>
      </c>
      <c r="D698">
        <v>32.630000000000003</v>
      </c>
      <c r="E698" t="s">
        <v>9</v>
      </c>
      <c r="F698">
        <v>60.96</v>
      </c>
      <c r="G698" t="s">
        <v>16</v>
      </c>
      <c r="H698" t="s">
        <v>13</v>
      </c>
    </row>
    <row r="699" spans="1:8" x14ac:dyDescent="0.25">
      <c r="A699" s="1">
        <v>45672.041666666664</v>
      </c>
      <c r="B699" t="s">
        <v>15</v>
      </c>
      <c r="C699">
        <v>473.24</v>
      </c>
      <c r="D699">
        <v>87.39</v>
      </c>
      <c r="E699" t="s">
        <v>14</v>
      </c>
      <c r="F699">
        <v>64.010000000000005</v>
      </c>
      <c r="G699" t="s">
        <v>16</v>
      </c>
      <c r="H699" t="s">
        <v>13</v>
      </c>
    </row>
    <row r="700" spans="1:8" x14ac:dyDescent="0.25">
      <c r="A700" s="1">
        <v>45672.083333333336</v>
      </c>
      <c r="B700" t="s">
        <v>15</v>
      </c>
      <c r="C700">
        <v>221.52</v>
      </c>
      <c r="D700">
        <v>47.35</v>
      </c>
      <c r="E700" t="s">
        <v>9</v>
      </c>
      <c r="F700">
        <v>73.650000000000006</v>
      </c>
      <c r="G700" t="s">
        <v>16</v>
      </c>
      <c r="H700" t="s">
        <v>11</v>
      </c>
    </row>
    <row r="701" spans="1:8" x14ac:dyDescent="0.25">
      <c r="A701" s="1">
        <v>45672.125</v>
      </c>
      <c r="B701" t="s">
        <v>15</v>
      </c>
      <c r="C701">
        <v>434.63</v>
      </c>
      <c r="D701">
        <v>89.29</v>
      </c>
      <c r="E701" t="s">
        <v>14</v>
      </c>
      <c r="F701">
        <v>41.05</v>
      </c>
      <c r="G701" t="s">
        <v>16</v>
      </c>
      <c r="H701" t="s">
        <v>11</v>
      </c>
    </row>
    <row r="702" spans="1:8" x14ac:dyDescent="0.25">
      <c r="A702" s="1">
        <v>45672.166666666664</v>
      </c>
      <c r="B702" t="s">
        <v>15</v>
      </c>
      <c r="C702">
        <v>226.57</v>
      </c>
      <c r="D702">
        <v>46.81</v>
      </c>
      <c r="E702" t="s">
        <v>9</v>
      </c>
      <c r="F702">
        <v>37.53</v>
      </c>
      <c r="G702" t="s">
        <v>16</v>
      </c>
      <c r="H702" t="s">
        <v>12</v>
      </c>
    </row>
    <row r="703" spans="1:8" x14ac:dyDescent="0.25">
      <c r="A703" s="1">
        <v>45672.208333333336</v>
      </c>
      <c r="B703" t="s">
        <v>15</v>
      </c>
      <c r="C703">
        <v>142.79</v>
      </c>
      <c r="D703">
        <v>85.01</v>
      </c>
      <c r="E703" t="s">
        <v>14</v>
      </c>
      <c r="F703">
        <v>39.5</v>
      </c>
      <c r="G703" t="s">
        <v>16</v>
      </c>
      <c r="H703" t="s">
        <v>11</v>
      </c>
    </row>
    <row r="704" spans="1:8" x14ac:dyDescent="0.25">
      <c r="A704" s="1">
        <v>45672.25</v>
      </c>
      <c r="B704" t="s">
        <v>15</v>
      </c>
      <c r="C704">
        <v>143.36000000000001</v>
      </c>
      <c r="D704">
        <v>87.37</v>
      </c>
      <c r="E704" t="s">
        <v>14</v>
      </c>
      <c r="F704">
        <v>80.31</v>
      </c>
      <c r="G704" t="s">
        <v>16</v>
      </c>
      <c r="H704" t="s">
        <v>13</v>
      </c>
    </row>
    <row r="705" spans="1:8" x14ac:dyDescent="0.25">
      <c r="A705" s="1">
        <v>45672.291666666664</v>
      </c>
      <c r="B705" t="s">
        <v>15</v>
      </c>
      <c r="C705">
        <v>441.09</v>
      </c>
      <c r="D705">
        <v>60.03</v>
      </c>
      <c r="E705" t="s">
        <v>9</v>
      </c>
      <c r="F705">
        <v>56.37</v>
      </c>
      <c r="G705" t="s">
        <v>16</v>
      </c>
      <c r="H705" t="s">
        <v>12</v>
      </c>
    </row>
    <row r="706" spans="1:8" x14ac:dyDescent="0.25">
      <c r="A706" s="1">
        <v>45672.333333333336</v>
      </c>
      <c r="B706" t="s">
        <v>15</v>
      </c>
      <c r="C706">
        <v>109.28</v>
      </c>
      <c r="D706">
        <v>69.099999999999994</v>
      </c>
      <c r="E706" t="s">
        <v>9</v>
      </c>
      <c r="F706">
        <v>80.55</v>
      </c>
      <c r="G706" t="s">
        <v>16</v>
      </c>
      <c r="H706" t="s">
        <v>12</v>
      </c>
    </row>
    <row r="707" spans="1:8" x14ac:dyDescent="0.25">
      <c r="A707" s="1">
        <v>45672.375</v>
      </c>
      <c r="B707" t="s">
        <v>15</v>
      </c>
      <c r="C707">
        <v>439.89</v>
      </c>
      <c r="D707">
        <v>16.7</v>
      </c>
      <c r="E707" t="s">
        <v>9</v>
      </c>
      <c r="F707">
        <v>84.77</v>
      </c>
      <c r="G707" t="s">
        <v>16</v>
      </c>
      <c r="H707" t="s">
        <v>11</v>
      </c>
    </row>
    <row r="708" spans="1:8" x14ac:dyDescent="0.25">
      <c r="A708" s="1">
        <v>45672.416666666664</v>
      </c>
      <c r="B708" t="s">
        <v>15</v>
      </c>
      <c r="C708">
        <v>186.45</v>
      </c>
      <c r="D708">
        <v>70.540000000000006</v>
      </c>
      <c r="E708" t="s">
        <v>9</v>
      </c>
      <c r="F708">
        <v>77.42</v>
      </c>
      <c r="G708" t="s">
        <v>16</v>
      </c>
      <c r="H708" t="s">
        <v>12</v>
      </c>
    </row>
    <row r="709" spans="1:8" x14ac:dyDescent="0.25">
      <c r="A709" s="1">
        <v>45672.458333333336</v>
      </c>
      <c r="B709" t="s">
        <v>15</v>
      </c>
      <c r="C709">
        <v>273.04000000000002</v>
      </c>
      <c r="D709">
        <v>48.11</v>
      </c>
      <c r="E709" t="s">
        <v>9</v>
      </c>
      <c r="F709">
        <v>54.63</v>
      </c>
      <c r="G709" t="s">
        <v>16</v>
      </c>
      <c r="H709" t="s">
        <v>11</v>
      </c>
    </row>
    <row r="710" spans="1:8" x14ac:dyDescent="0.25">
      <c r="A710" s="1">
        <v>45672.5</v>
      </c>
      <c r="B710" t="s">
        <v>15</v>
      </c>
      <c r="C710">
        <v>347.65</v>
      </c>
      <c r="D710">
        <v>85.44</v>
      </c>
      <c r="E710" t="s">
        <v>14</v>
      </c>
      <c r="F710">
        <v>54.56</v>
      </c>
      <c r="G710" t="s">
        <v>16</v>
      </c>
      <c r="H710" t="s">
        <v>12</v>
      </c>
    </row>
    <row r="711" spans="1:8" x14ac:dyDescent="0.25">
      <c r="A711" s="1">
        <v>45672.541666666664</v>
      </c>
      <c r="B711" t="s">
        <v>15</v>
      </c>
      <c r="C711">
        <v>139.16</v>
      </c>
      <c r="D711">
        <v>14.74</v>
      </c>
      <c r="E711" t="s">
        <v>9</v>
      </c>
      <c r="F711">
        <v>67.64</v>
      </c>
      <c r="G711" t="s">
        <v>16</v>
      </c>
      <c r="H711" t="s">
        <v>13</v>
      </c>
    </row>
    <row r="712" spans="1:8" x14ac:dyDescent="0.25">
      <c r="A712" s="1">
        <v>45672.583333333336</v>
      </c>
      <c r="B712" t="s">
        <v>15</v>
      </c>
      <c r="C712">
        <v>218.59</v>
      </c>
      <c r="D712">
        <v>28.81</v>
      </c>
      <c r="E712" t="s">
        <v>9</v>
      </c>
      <c r="F712">
        <v>55.8</v>
      </c>
      <c r="G712" t="s">
        <v>16</v>
      </c>
      <c r="H712" t="s">
        <v>12</v>
      </c>
    </row>
    <row r="713" spans="1:8" x14ac:dyDescent="0.25">
      <c r="A713" s="1">
        <v>45672.625</v>
      </c>
      <c r="B713" t="s">
        <v>15</v>
      </c>
      <c r="C713">
        <v>183.99</v>
      </c>
      <c r="D713">
        <v>62.58</v>
      </c>
      <c r="E713" t="s">
        <v>9</v>
      </c>
      <c r="F713">
        <v>76.59</v>
      </c>
      <c r="G713" t="s">
        <v>16</v>
      </c>
      <c r="H713" t="s">
        <v>12</v>
      </c>
    </row>
    <row r="714" spans="1:8" x14ac:dyDescent="0.25">
      <c r="A714" s="1">
        <v>45672.666666666664</v>
      </c>
      <c r="B714" t="s">
        <v>15</v>
      </c>
      <c r="C714">
        <v>473.08</v>
      </c>
      <c r="D714">
        <v>86.25</v>
      </c>
      <c r="E714" t="s">
        <v>14</v>
      </c>
      <c r="F714">
        <v>62.13</v>
      </c>
      <c r="G714" t="s">
        <v>16</v>
      </c>
      <c r="H714" t="s">
        <v>13</v>
      </c>
    </row>
    <row r="715" spans="1:8" x14ac:dyDescent="0.25">
      <c r="A715" s="1">
        <v>45672.708333333336</v>
      </c>
      <c r="B715" t="s">
        <v>15</v>
      </c>
      <c r="C715">
        <v>56.95</v>
      </c>
      <c r="D715">
        <v>49.3</v>
      </c>
      <c r="E715" t="s">
        <v>9</v>
      </c>
      <c r="F715">
        <v>43.46</v>
      </c>
      <c r="G715" t="s">
        <v>16</v>
      </c>
      <c r="H715" t="s">
        <v>11</v>
      </c>
    </row>
    <row r="716" spans="1:8" x14ac:dyDescent="0.25">
      <c r="A716" s="1">
        <v>45672.75</v>
      </c>
      <c r="B716" t="s">
        <v>15</v>
      </c>
      <c r="C716">
        <v>70.150000000000006</v>
      </c>
      <c r="D716">
        <v>18.37</v>
      </c>
      <c r="E716" t="s">
        <v>9</v>
      </c>
      <c r="F716">
        <v>57.43</v>
      </c>
      <c r="G716" t="s">
        <v>16</v>
      </c>
      <c r="H716" t="s">
        <v>11</v>
      </c>
    </row>
    <row r="717" spans="1:8" x14ac:dyDescent="0.25">
      <c r="A717" s="1">
        <v>45672.791666666664</v>
      </c>
      <c r="B717" t="s">
        <v>15</v>
      </c>
      <c r="C717">
        <v>280.66000000000003</v>
      </c>
      <c r="D717">
        <v>59.7</v>
      </c>
      <c r="E717" t="s">
        <v>9</v>
      </c>
      <c r="F717">
        <v>59.65</v>
      </c>
      <c r="G717" t="s">
        <v>16</v>
      </c>
      <c r="H717" t="s">
        <v>12</v>
      </c>
    </row>
    <row r="718" spans="1:8" x14ac:dyDescent="0.25">
      <c r="A718" s="1">
        <v>45672.833333333336</v>
      </c>
      <c r="B718" t="s">
        <v>15</v>
      </c>
      <c r="C718">
        <v>144.52000000000001</v>
      </c>
      <c r="D718">
        <v>45.91</v>
      </c>
      <c r="E718" t="s">
        <v>9</v>
      </c>
      <c r="F718">
        <v>49</v>
      </c>
      <c r="G718" t="s">
        <v>16</v>
      </c>
      <c r="H718" t="s">
        <v>13</v>
      </c>
    </row>
    <row r="719" spans="1:8" x14ac:dyDescent="0.25">
      <c r="A719" s="1">
        <v>45672.875</v>
      </c>
      <c r="B719" t="s">
        <v>15</v>
      </c>
      <c r="C719">
        <v>117.72</v>
      </c>
      <c r="D719">
        <v>54.79</v>
      </c>
      <c r="E719" t="s">
        <v>9</v>
      </c>
      <c r="F719">
        <v>78.099999999999994</v>
      </c>
      <c r="G719" t="s">
        <v>16</v>
      </c>
      <c r="H719" t="s">
        <v>11</v>
      </c>
    </row>
    <row r="720" spans="1:8" x14ac:dyDescent="0.25">
      <c r="A720" s="1">
        <v>45672.916666666664</v>
      </c>
      <c r="B720" t="s">
        <v>15</v>
      </c>
      <c r="C720">
        <v>270.77999999999997</v>
      </c>
      <c r="D720">
        <v>82.74</v>
      </c>
      <c r="E720" t="s">
        <v>9</v>
      </c>
      <c r="F720">
        <v>72.36</v>
      </c>
      <c r="G720" t="s">
        <v>16</v>
      </c>
      <c r="H720" t="s">
        <v>11</v>
      </c>
    </row>
    <row r="721" spans="1:8" x14ac:dyDescent="0.25">
      <c r="A721" s="1">
        <v>45672.958333333336</v>
      </c>
      <c r="B721" t="s">
        <v>15</v>
      </c>
      <c r="C721">
        <v>229.6</v>
      </c>
      <c r="D721">
        <v>47.64</v>
      </c>
      <c r="E721" t="s">
        <v>9</v>
      </c>
      <c r="F721">
        <v>54.48</v>
      </c>
      <c r="G721" t="s">
        <v>16</v>
      </c>
      <c r="H721" t="s">
        <v>11</v>
      </c>
    </row>
    <row r="722" spans="1:8" x14ac:dyDescent="0.25">
      <c r="A722" s="1">
        <v>45658</v>
      </c>
      <c r="B722" t="s">
        <v>17</v>
      </c>
      <c r="C722">
        <v>401.76</v>
      </c>
      <c r="D722">
        <v>75.47</v>
      </c>
      <c r="E722" t="s">
        <v>9</v>
      </c>
      <c r="F722">
        <v>58.72</v>
      </c>
      <c r="G722" t="s">
        <v>10</v>
      </c>
      <c r="H722" t="s">
        <v>11</v>
      </c>
    </row>
    <row r="723" spans="1:8" x14ac:dyDescent="0.25">
      <c r="A723" s="1">
        <v>45658.041666666664</v>
      </c>
      <c r="B723" t="s">
        <v>17</v>
      </c>
      <c r="C723">
        <v>496.44</v>
      </c>
      <c r="D723">
        <v>24.57</v>
      </c>
      <c r="E723" t="s">
        <v>9</v>
      </c>
      <c r="F723">
        <v>77.760000000000005</v>
      </c>
      <c r="G723" t="s">
        <v>10</v>
      </c>
      <c r="H723" t="s">
        <v>12</v>
      </c>
    </row>
    <row r="724" spans="1:8" x14ac:dyDescent="0.25">
      <c r="A724" s="1">
        <v>45658.083333333336</v>
      </c>
      <c r="B724" t="s">
        <v>17</v>
      </c>
      <c r="C724">
        <v>89.41</v>
      </c>
      <c r="D724">
        <v>79.27</v>
      </c>
      <c r="E724" t="s">
        <v>9</v>
      </c>
      <c r="F724">
        <v>70.150000000000006</v>
      </c>
      <c r="G724" t="s">
        <v>10</v>
      </c>
      <c r="H724" t="s">
        <v>12</v>
      </c>
    </row>
    <row r="725" spans="1:8" x14ac:dyDescent="0.25">
      <c r="A725" s="1">
        <v>45658.125</v>
      </c>
      <c r="B725" t="s">
        <v>17</v>
      </c>
      <c r="C725">
        <v>291.87</v>
      </c>
      <c r="D725">
        <v>18</v>
      </c>
      <c r="E725" t="s">
        <v>9</v>
      </c>
      <c r="F725">
        <v>30.14</v>
      </c>
      <c r="G725" t="s">
        <v>10</v>
      </c>
      <c r="H725" t="s">
        <v>11</v>
      </c>
    </row>
    <row r="726" spans="1:8" x14ac:dyDescent="0.25">
      <c r="A726" s="1">
        <v>45658.166666666664</v>
      </c>
      <c r="B726" t="s">
        <v>17</v>
      </c>
      <c r="C726">
        <v>356.26</v>
      </c>
      <c r="D726">
        <v>23.83</v>
      </c>
      <c r="E726" t="s">
        <v>9</v>
      </c>
      <c r="F726">
        <v>36.83</v>
      </c>
      <c r="G726" t="s">
        <v>10</v>
      </c>
      <c r="H726" t="s">
        <v>13</v>
      </c>
    </row>
    <row r="727" spans="1:8" x14ac:dyDescent="0.25">
      <c r="A727" s="1">
        <v>45658.208333333336</v>
      </c>
      <c r="B727" t="s">
        <v>17</v>
      </c>
      <c r="C727">
        <v>341.53</v>
      </c>
      <c r="D727">
        <v>71.67</v>
      </c>
      <c r="E727" t="s">
        <v>9</v>
      </c>
      <c r="F727">
        <v>40.71</v>
      </c>
      <c r="G727" t="s">
        <v>10</v>
      </c>
      <c r="H727" t="s">
        <v>12</v>
      </c>
    </row>
    <row r="728" spans="1:8" x14ac:dyDescent="0.25">
      <c r="A728" s="1">
        <v>45658.25</v>
      </c>
      <c r="B728" t="s">
        <v>17</v>
      </c>
      <c r="C728">
        <v>473.18</v>
      </c>
      <c r="D728">
        <v>35.11</v>
      </c>
      <c r="E728" t="s">
        <v>9</v>
      </c>
      <c r="F728">
        <v>81.2</v>
      </c>
      <c r="G728" t="s">
        <v>10</v>
      </c>
      <c r="H728" t="s">
        <v>12</v>
      </c>
    </row>
    <row r="729" spans="1:8" x14ac:dyDescent="0.25">
      <c r="A729" s="1">
        <v>45658.291666666664</v>
      </c>
      <c r="B729" t="s">
        <v>17</v>
      </c>
      <c r="C729">
        <v>332.84</v>
      </c>
      <c r="D729">
        <v>21.7</v>
      </c>
      <c r="E729" t="s">
        <v>9</v>
      </c>
      <c r="F729">
        <v>35.700000000000003</v>
      </c>
      <c r="G729" t="s">
        <v>10</v>
      </c>
      <c r="H729" t="s">
        <v>11</v>
      </c>
    </row>
    <row r="730" spans="1:8" x14ac:dyDescent="0.25">
      <c r="A730" s="1">
        <v>45658.333333333336</v>
      </c>
      <c r="B730" t="s">
        <v>17</v>
      </c>
      <c r="C730">
        <v>195.86</v>
      </c>
      <c r="D730">
        <v>93.16</v>
      </c>
      <c r="E730" t="s">
        <v>14</v>
      </c>
      <c r="F730">
        <v>32.24</v>
      </c>
      <c r="G730" t="s">
        <v>10</v>
      </c>
      <c r="H730" t="s">
        <v>11</v>
      </c>
    </row>
    <row r="731" spans="1:8" x14ac:dyDescent="0.25">
      <c r="A731" s="1">
        <v>45658.375</v>
      </c>
      <c r="B731" t="s">
        <v>17</v>
      </c>
      <c r="C731">
        <v>104.85</v>
      </c>
      <c r="D731">
        <v>55.29</v>
      </c>
      <c r="E731" t="s">
        <v>9</v>
      </c>
      <c r="F731">
        <v>65.12</v>
      </c>
      <c r="G731" t="s">
        <v>10</v>
      </c>
      <c r="H731" t="s">
        <v>13</v>
      </c>
    </row>
    <row r="732" spans="1:8" x14ac:dyDescent="0.25">
      <c r="A732" s="1">
        <v>45658.416666666664</v>
      </c>
      <c r="B732" t="s">
        <v>17</v>
      </c>
      <c r="C732">
        <v>449.98</v>
      </c>
      <c r="D732">
        <v>17.91</v>
      </c>
      <c r="E732" t="s">
        <v>9</v>
      </c>
      <c r="F732">
        <v>63.8</v>
      </c>
      <c r="G732" t="s">
        <v>10</v>
      </c>
      <c r="H732" t="s">
        <v>13</v>
      </c>
    </row>
    <row r="733" spans="1:8" x14ac:dyDescent="0.25">
      <c r="A733" s="1">
        <v>45658.458333333336</v>
      </c>
      <c r="B733" t="s">
        <v>17</v>
      </c>
      <c r="C733">
        <v>455.57</v>
      </c>
      <c r="D733">
        <v>27.28</v>
      </c>
      <c r="E733" t="s">
        <v>9</v>
      </c>
      <c r="F733">
        <v>52.88</v>
      </c>
      <c r="G733" t="s">
        <v>10</v>
      </c>
      <c r="H733" t="s">
        <v>11</v>
      </c>
    </row>
    <row r="734" spans="1:8" x14ac:dyDescent="0.25">
      <c r="A734" s="1">
        <v>45658.5</v>
      </c>
      <c r="B734" t="s">
        <v>17</v>
      </c>
      <c r="C734">
        <v>331.22</v>
      </c>
      <c r="D734">
        <v>73.040000000000006</v>
      </c>
      <c r="E734" t="s">
        <v>9</v>
      </c>
      <c r="F734">
        <v>85.91</v>
      </c>
      <c r="G734" t="s">
        <v>10</v>
      </c>
      <c r="H734" t="s">
        <v>11</v>
      </c>
    </row>
    <row r="735" spans="1:8" x14ac:dyDescent="0.25">
      <c r="A735" s="1">
        <v>45658.541666666664</v>
      </c>
      <c r="B735" t="s">
        <v>17</v>
      </c>
      <c r="C735">
        <v>205.58</v>
      </c>
      <c r="D735">
        <v>27.88</v>
      </c>
      <c r="E735" t="s">
        <v>9</v>
      </c>
      <c r="F735">
        <v>34.74</v>
      </c>
      <c r="G735" t="s">
        <v>10</v>
      </c>
      <c r="H735" t="s">
        <v>12</v>
      </c>
    </row>
    <row r="736" spans="1:8" x14ac:dyDescent="0.25">
      <c r="A736" s="1">
        <v>45658.583333333336</v>
      </c>
      <c r="B736" t="s">
        <v>17</v>
      </c>
      <c r="C736">
        <v>75.709999999999994</v>
      </c>
      <c r="D736">
        <v>86.4</v>
      </c>
      <c r="E736" t="s">
        <v>14</v>
      </c>
      <c r="F736">
        <v>61.79</v>
      </c>
      <c r="G736" t="s">
        <v>10</v>
      </c>
      <c r="H736" t="s">
        <v>13</v>
      </c>
    </row>
    <row r="737" spans="1:8" x14ac:dyDescent="0.25">
      <c r="A737" s="1">
        <v>45658.625</v>
      </c>
      <c r="B737" t="s">
        <v>17</v>
      </c>
      <c r="C737">
        <v>445.97</v>
      </c>
      <c r="D737">
        <v>94.98</v>
      </c>
      <c r="E737" t="s">
        <v>14</v>
      </c>
      <c r="F737">
        <v>44.64</v>
      </c>
      <c r="G737" t="s">
        <v>10</v>
      </c>
      <c r="H737" t="s">
        <v>13</v>
      </c>
    </row>
    <row r="738" spans="1:8" x14ac:dyDescent="0.25">
      <c r="A738" s="1">
        <v>45658.666666666664</v>
      </c>
      <c r="B738" t="s">
        <v>17</v>
      </c>
      <c r="C738">
        <v>445.5</v>
      </c>
      <c r="D738">
        <v>39.51</v>
      </c>
      <c r="E738" t="s">
        <v>9</v>
      </c>
      <c r="F738">
        <v>37.74</v>
      </c>
      <c r="G738" t="s">
        <v>10</v>
      </c>
      <c r="H738" t="s">
        <v>11</v>
      </c>
    </row>
    <row r="739" spans="1:8" x14ac:dyDescent="0.25">
      <c r="A739" s="1">
        <v>45658.708333333336</v>
      </c>
      <c r="B739" t="s">
        <v>17</v>
      </c>
      <c r="C739">
        <v>107.83</v>
      </c>
      <c r="D739">
        <v>16.12</v>
      </c>
      <c r="E739" t="s">
        <v>9</v>
      </c>
      <c r="F739">
        <v>71.3</v>
      </c>
      <c r="G739" t="s">
        <v>10</v>
      </c>
      <c r="H739" t="s">
        <v>11</v>
      </c>
    </row>
    <row r="740" spans="1:8" x14ac:dyDescent="0.25">
      <c r="A740" s="1">
        <v>45658.75</v>
      </c>
      <c r="B740" t="s">
        <v>17</v>
      </c>
      <c r="C740">
        <v>239.15</v>
      </c>
      <c r="D740">
        <v>86.5</v>
      </c>
      <c r="E740" t="s">
        <v>14</v>
      </c>
      <c r="F740">
        <v>88.96</v>
      </c>
      <c r="G740" t="s">
        <v>10</v>
      </c>
      <c r="H740" t="s">
        <v>12</v>
      </c>
    </row>
    <row r="741" spans="1:8" x14ac:dyDescent="0.25">
      <c r="A741" s="1">
        <v>45658.791666666664</v>
      </c>
      <c r="B741" t="s">
        <v>17</v>
      </c>
      <c r="C741">
        <v>166.65</v>
      </c>
      <c r="D741">
        <v>15.53</v>
      </c>
      <c r="E741" t="s">
        <v>9</v>
      </c>
      <c r="F741">
        <v>32.15</v>
      </c>
      <c r="G741" t="s">
        <v>10</v>
      </c>
      <c r="H741" t="s">
        <v>12</v>
      </c>
    </row>
    <row r="742" spans="1:8" x14ac:dyDescent="0.25">
      <c r="A742" s="1">
        <v>45658.833333333336</v>
      </c>
      <c r="B742" t="s">
        <v>17</v>
      </c>
      <c r="C742">
        <v>119.19</v>
      </c>
      <c r="D742">
        <v>88.66</v>
      </c>
      <c r="E742" t="s">
        <v>14</v>
      </c>
      <c r="F742">
        <v>75.45</v>
      </c>
      <c r="G742" t="s">
        <v>10</v>
      </c>
      <c r="H742" t="s">
        <v>13</v>
      </c>
    </row>
    <row r="743" spans="1:8" x14ac:dyDescent="0.25">
      <c r="A743" s="1">
        <v>45658.875</v>
      </c>
      <c r="B743" t="s">
        <v>17</v>
      </c>
      <c r="C743">
        <v>171.73</v>
      </c>
      <c r="D743">
        <v>79.180000000000007</v>
      </c>
      <c r="E743" t="s">
        <v>9</v>
      </c>
      <c r="F743">
        <v>66.930000000000007</v>
      </c>
      <c r="G743" t="s">
        <v>10</v>
      </c>
      <c r="H743" t="s">
        <v>12</v>
      </c>
    </row>
    <row r="744" spans="1:8" x14ac:dyDescent="0.25">
      <c r="A744" s="1">
        <v>45658.916666666664</v>
      </c>
      <c r="B744" t="s">
        <v>17</v>
      </c>
      <c r="C744">
        <v>359.73</v>
      </c>
      <c r="D744">
        <v>31.8</v>
      </c>
      <c r="E744" t="s">
        <v>9</v>
      </c>
      <c r="F744">
        <v>56.32</v>
      </c>
      <c r="G744" t="s">
        <v>10</v>
      </c>
      <c r="H744" t="s">
        <v>13</v>
      </c>
    </row>
    <row r="745" spans="1:8" x14ac:dyDescent="0.25">
      <c r="A745" s="1">
        <v>45658.958333333336</v>
      </c>
      <c r="B745" t="s">
        <v>17</v>
      </c>
      <c r="C745">
        <v>195.38</v>
      </c>
      <c r="D745">
        <v>81.95</v>
      </c>
      <c r="E745" t="s">
        <v>9</v>
      </c>
      <c r="F745">
        <v>47.86</v>
      </c>
      <c r="G745" t="s">
        <v>10</v>
      </c>
      <c r="H745" t="s">
        <v>11</v>
      </c>
    </row>
    <row r="746" spans="1:8" x14ac:dyDescent="0.25">
      <c r="A746" s="1">
        <v>45659</v>
      </c>
      <c r="B746" t="s">
        <v>17</v>
      </c>
      <c r="C746">
        <v>111.64</v>
      </c>
      <c r="D746">
        <v>69.64</v>
      </c>
      <c r="E746" t="s">
        <v>9</v>
      </c>
      <c r="F746">
        <v>84.8</v>
      </c>
      <c r="G746" t="s">
        <v>10</v>
      </c>
      <c r="H746" t="s">
        <v>12</v>
      </c>
    </row>
    <row r="747" spans="1:8" x14ac:dyDescent="0.25">
      <c r="A747" s="1">
        <v>45659.041666666664</v>
      </c>
      <c r="B747" t="s">
        <v>17</v>
      </c>
      <c r="C747">
        <v>191.68</v>
      </c>
      <c r="D747">
        <v>23.47</v>
      </c>
      <c r="E747" t="s">
        <v>9</v>
      </c>
      <c r="F747">
        <v>46.39</v>
      </c>
      <c r="G747" t="s">
        <v>10</v>
      </c>
      <c r="H747" t="s">
        <v>12</v>
      </c>
    </row>
    <row r="748" spans="1:8" x14ac:dyDescent="0.25">
      <c r="A748" s="1">
        <v>45659.083333333336</v>
      </c>
      <c r="B748" t="s">
        <v>17</v>
      </c>
      <c r="C748">
        <v>254.9</v>
      </c>
      <c r="D748">
        <v>87.58</v>
      </c>
      <c r="E748" t="s">
        <v>14</v>
      </c>
      <c r="F748">
        <v>36.270000000000003</v>
      </c>
      <c r="G748" t="s">
        <v>10</v>
      </c>
      <c r="H748" t="s">
        <v>13</v>
      </c>
    </row>
    <row r="749" spans="1:8" x14ac:dyDescent="0.25">
      <c r="A749" s="1">
        <v>45659.125</v>
      </c>
      <c r="B749" t="s">
        <v>17</v>
      </c>
      <c r="C749">
        <v>186.57</v>
      </c>
      <c r="D749">
        <v>41.97</v>
      </c>
      <c r="E749" t="s">
        <v>9</v>
      </c>
      <c r="F749">
        <v>89.46</v>
      </c>
      <c r="G749" t="s">
        <v>10</v>
      </c>
      <c r="H749" t="s">
        <v>11</v>
      </c>
    </row>
    <row r="750" spans="1:8" x14ac:dyDescent="0.25">
      <c r="A750" s="1">
        <v>45659.166666666664</v>
      </c>
      <c r="B750" t="s">
        <v>17</v>
      </c>
      <c r="C750">
        <v>232.09</v>
      </c>
      <c r="D750">
        <v>19.059999999999999</v>
      </c>
      <c r="E750" t="s">
        <v>9</v>
      </c>
      <c r="F750">
        <v>79.260000000000005</v>
      </c>
      <c r="G750" t="s">
        <v>10</v>
      </c>
      <c r="H750" t="s">
        <v>13</v>
      </c>
    </row>
    <row r="751" spans="1:8" x14ac:dyDescent="0.25">
      <c r="A751" s="1">
        <v>45659.208333333336</v>
      </c>
      <c r="B751" t="s">
        <v>17</v>
      </c>
      <c r="C751">
        <v>362.08</v>
      </c>
      <c r="D751">
        <v>17.22</v>
      </c>
      <c r="E751" t="s">
        <v>9</v>
      </c>
      <c r="F751">
        <v>80.36</v>
      </c>
      <c r="G751" t="s">
        <v>10</v>
      </c>
      <c r="H751" t="s">
        <v>11</v>
      </c>
    </row>
    <row r="752" spans="1:8" x14ac:dyDescent="0.25">
      <c r="A752" s="1">
        <v>45659.25</v>
      </c>
      <c r="B752" t="s">
        <v>17</v>
      </c>
      <c r="C752">
        <v>336.51</v>
      </c>
      <c r="D752">
        <v>31.93</v>
      </c>
      <c r="E752" t="s">
        <v>9</v>
      </c>
      <c r="F752">
        <v>70.62</v>
      </c>
      <c r="G752" t="s">
        <v>10</v>
      </c>
      <c r="H752" t="s">
        <v>12</v>
      </c>
    </row>
    <row r="753" spans="1:8" x14ac:dyDescent="0.25">
      <c r="A753" s="1">
        <v>45659.291666666664</v>
      </c>
      <c r="B753" t="s">
        <v>17</v>
      </c>
      <c r="C753">
        <v>185.22</v>
      </c>
      <c r="D753">
        <v>79.069999999999993</v>
      </c>
      <c r="E753" t="s">
        <v>9</v>
      </c>
      <c r="F753">
        <v>46.32</v>
      </c>
      <c r="G753" t="s">
        <v>10</v>
      </c>
      <c r="H753" t="s">
        <v>11</v>
      </c>
    </row>
    <row r="754" spans="1:8" x14ac:dyDescent="0.25">
      <c r="A754" s="1">
        <v>45659.333333333336</v>
      </c>
      <c r="B754" t="s">
        <v>17</v>
      </c>
      <c r="C754">
        <v>142.79</v>
      </c>
      <c r="D754">
        <v>34.229999999999997</v>
      </c>
      <c r="E754" t="s">
        <v>9</v>
      </c>
      <c r="F754">
        <v>50.19</v>
      </c>
      <c r="G754" t="s">
        <v>10</v>
      </c>
      <c r="H754" t="s">
        <v>13</v>
      </c>
    </row>
    <row r="755" spans="1:8" x14ac:dyDescent="0.25">
      <c r="A755" s="1">
        <v>45659.375</v>
      </c>
      <c r="B755" t="s">
        <v>17</v>
      </c>
      <c r="C755">
        <v>234.73</v>
      </c>
      <c r="D755">
        <v>32.630000000000003</v>
      </c>
      <c r="E755" t="s">
        <v>9</v>
      </c>
      <c r="F755">
        <v>54.36</v>
      </c>
      <c r="G755" t="s">
        <v>10</v>
      </c>
      <c r="H755" t="s">
        <v>11</v>
      </c>
    </row>
    <row r="756" spans="1:8" x14ac:dyDescent="0.25">
      <c r="A756" s="1">
        <v>45659.416666666664</v>
      </c>
      <c r="B756" t="s">
        <v>17</v>
      </c>
      <c r="C756">
        <v>54.8</v>
      </c>
      <c r="D756">
        <v>76.91</v>
      </c>
      <c r="E756" t="s">
        <v>9</v>
      </c>
      <c r="F756">
        <v>79.3</v>
      </c>
      <c r="G756" t="s">
        <v>10</v>
      </c>
      <c r="H756" t="s">
        <v>12</v>
      </c>
    </row>
    <row r="757" spans="1:8" x14ac:dyDescent="0.25">
      <c r="A757" s="1">
        <v>45659.458333333336</v>
      </c>
      <c r="B757" t="s">
        <v>17</v>
      </c>
      <c r="C757">
        <v>209.06</v>
      </c>
      <c r="D757">
        <v>66.02</v>
      </c>
      <c r="E757" t="s">
        <v>9</v>
      </c>
      <c r="F757">
        <v>44.74</v>
      </c>
      <c r="G757" t="s">
        <v>10</v>
      </c>
      <c r="H757" t="s">
        <v>11</v>
      </c>
    </row>
    <row r="758" spans="1:8" x14ac:dyDescent="0.25">
      <c r="A758" s="1">
        <v>45659.5</v>
      </c>
      <c r="B758" t="s">
        <v>17</v>
      </c>
      <c r="C758">
        <v>443.49</v>
      </c>
      <c r="D758">
        <v>82.94</v>
      </c>
      <c r="E758" t="s">
        <v>9</v>
      </c>
      <c r="F758">
        <v>76.63</v>
      </c>
      <c r="G758" t="s">
        <v>10</v>
      </c>
      <c r="H758" t="s">
        <v>12</v>
      </c>
    </row>
    <row r="759" spans="1:8" x14ac:dyDescent="0.25">
      <c r="A759" s="1">
        <v>45659.541666666664</v>
      </c>
      <c r="B759" t="s">
        <v>17</v>
      </c>
      <c r="C759">
        <v>415.35</v>
      </c>
      <c r="D759">
        <v>57.22</v>
      </c>
      <c r="E759" t="s">
        <v>9</v>
      </c>
      <c r="F759">
        <v>33.17</v>
      </c>
      <c r="G759" t="s">
        <v>10</v>
      </c>
      <c r="H759" t="s">
        <v>11</v>
      </c>
    </row>
    <row r="760" spans="1:8" x14ac:dyDescent="0.25">
      <c r="A760" s="1">
        <v>45659.583333333336</v>
      </c>
      <c r="B760" t="s">
        <v>17</v>
      </c>
      <c r="C760">
        <v>170.72</v>
      </c>
      <c r="D760">
        <v>17.309999999999999</v>
      </c>
      <c r="E760" t="s">
        <v>9</v>
      </c>
      <c r="F760">
        <v>72.3</v>
      </c>
      <c r="G760" t="s">
        <v>10</v>
      </c>
      <c r="H760" t="s">
        <v>11</v>
      </c>
    </row>
    <row r="761" spans="1:8" x14ac:dyDescent="0.25">
      <c r="A761" s="1">
        <v>45659.625</v>
      </c>
      <c r="B761" t="s">
        <v>17</v>
      </c>
      <c r="C761">
        <v>95.34</v>
      </c>
      <c r="D761">
        <v>71.31</v>
      </c>
      <c r="E761" t="s">
        <v>9</v>
      </c>
      <c r="F761">
        <v>31.87</v>
      </c>
      <c r="G761" t="s">
        <v>10</v>
      </c>
      <c r="H761" t="s">
        <v>12</v>
      </c>
    </row>
    <row r="762" spans="1:8" x14ac:dyDescent="0.25">
      <c r="A762" s="1">
        <v>45659.666666666664</v>
      </c>
      <c r="B762" t="s">
        <v>17</v>
      </c>
      <c r="C762">
        <v>247.57</v>
      </c>
      <c r="D762">
        <v>23.14</v>
      </c>
      <c r="E762" t="s">
        <v>9</v>
      </c>
      <c r="F762">
        <v>72.349999999999994</v>
      </c>
      <c r="G762" t="s">
        <v>10</v>
      </c>
      <c r="H762" t="s">
        <v>12</v>
      </c>
    </row>
    <row r="763" spans="1:8" x14ac:dyDescent="0.25">
      <c r="A763" s="1">
        <v>45659.708333333336</v>
      </c>
      <c r="B763" t="s">
        <v>17</v>
      </c>
      <c r="C763">
        <v>361.93</v>
      </c>
      <c r="D763">
        <v>78.91</v>
      </c>
      <c r="E763" t="s">
        <v>9</v>
      </c>
      <c r="F763">
        <v>53.86</v>
      </c>
      <c r="G763" t="s">
        <v>10</v>
      </c>
      <c r="H763" t="s">
        <v>13</v>
      </c>
    </row>
    <row r="764" spans="1:8" x14ac:dyDescent="0.25">
      <c r="A764" s="1">
        <v>45659.75</v>
      </c>
      <c r="B764" t="s">
        <v>17</v>
      </c>
      <c r="C764">
        <v>132.44</v>
      </c>
      <c r="D764">
        <v>66.06</v>
      </c>
      <c r="E764" t="s">
        <v>9</v>
      </c>
      <c r="F764">
        <v>49.67</v>
      </c>
      <c r="G764" t="s">
        <v>10</v>
      </c>
      <c r="H764" t="s">
        <v>12</v>
      </c>
    </row>
    <row r="765" spans="1:8" x14ac:dyDescent="0.25">
      <c r="A765" s="1">
        <v>45659.791666666664</v>
      </c>
      <c r="B765" t="s">
        <v>17</v>
      </c>
      <c r="C765">
        <v>334.3</v>
      </c>
      <c r="D765">
        <v>34.83</v>
      </c>
      <c r="E765" t="s">
        <v>9</v>
      </c>
      <c r="F765">
        <v>86.92</v>
      </c>
      <c r="G765" t="s">
        <v>10</v>
      </c>
      <c r="H765" t="s">
        <v>12</v>
      </c>
    </row>
    <row r="766" spans="1:8" x14ac:dyDescent="0.25">
      <c r="A766" s="1">
        <v>45659.833333333336</v>
      </c>
      <c r="B766" t="s">
        <v>17</v>
      </c>
      <c r="C766">
        <v>472.12</v>
      </c>
      <c r="D766">
        <v>26.4</v>
      </c>
      <c r="E766" t="s">
        <v>9</v>
      </c>
      <c r="F766">
        <v>30.59</v>
      </c>
      <c r="G766" t="s">
        <v>10</v>
      </c>
      <c r="H766" t="s">
        <v>12</v>
      </c>
    </row>
    <row r="767" spans="1:8" x14ac:dyDescent="0.25">
      <c r="A767" s="1">
        <v>45659.875</v>
      </c>
      <c r="B767" t="s">
        <v>17</v>
      </c>
      <c r="C767">
        <v>200.02</v>
      </c>
      <c r="D767">
        <v>50.38</v>
      </c>
      <c r="E767" t="s">
        <v>9</v>
      </c>
      <c r="F767">
        <v>64.239999999999995</v>
      </c>
      <c r="G767" t="s">
        <v>10</v>
      </c>
      <c r="H767" t="s">
        <v>13</v>
      </c>
    </row>
    <row r="768" spans="1:8" x14ac:dyDescent="0.25">
      <c r="A768" s="1">
        <v>45659.916666666664</v>
      </c>
      <c r="B768" t="s">
        <v>17</v>
      </c>
      <c r="C768">
        <v>108.45</v>
      </c>
      <c r="D768">
        <v>71.94</v>
      </c>
      <c r="E768" t="s">
        <v>9</v>
      </c>
      <c r="F768">
        <v>34.15</v>
      </c>
      <c r="G768" t="s">
        <v>10</v>
      </c>
      <c r="H768" t="s">
        <v>12</v>
      </c>
    </row>
    <row r="769" spans="1:8" x14ac:dyDescent="0.25">
      <c r="A769" s="1">
        <v>45659.958333333336</v>
      </c>
      <c r="B769" t="s">
        <v>17</v>
      </c>
      <c r="C769">
        <v>424.97</v>
      </c>
      <c r="D769">
        <v>34.25</v>
      </c>
      <c r="E769" t="s">
        <v>9</v>
      </c>
      <c r="F769">
        <v>66.569999999999993</v>
      </c>
      <c r="G769" t="s">
        <v>10</v>
      </c>
      <c r="H769" t="s">
        <v>12</v>
      </c>
    </row>
    <row r="770" spans="1:8" x14ac:dyDescent="0.25">
      <c r="A770" s="1">
        <v>45660</v>
      </c>
      <c r="B770" t="s">
        <v>17</v>
      </c>
      <c r="C770">
        <v>289.79000000000002</v>
      </c>
      <c r="D770">
        <v>89.42</v>
      </c>
      <c r="E770" t="s">
        <v>14</v>
      </c>
      <c r="F770">
        <v>87.09</v>
      </c>
      <c r="G770" t="s">
        <v>10</v>
      </c>
      <c r="H770" t="s">
        <v>12</v>
      </c>
    </row>
    <row r="771" spans="1:8" x14ac:dyDescent="0.25">
      <c r="A771" s="1">
        <v>45660.041666666664</v>
      </c>
      <c r="B771" t="s">
        <v>17</v>
      </c>
      <c r="C771">
        <v>113.83</v>
      </c>
      <c r="D771">
        <v>31.32</v>
      </c>
      <c r="E771" t="s">
        <v>9</v>
      </c>
      <c r="F771">
        <v>36.33</v>
      </c>
      <c r="G771" t="s">
        <v>10</v>
      </c>
      <c r="H771" t="s">
        <v>12</v>
      </c>
    </row>
    <row r="772" spans="1:8" x14ac:dyDescent="0.25">
      <c r="A772" s="1">
        <v>45660.083333333336</v>
      </c>
      <c r="B772" t="s">
        <v>17</v>
      </c>
      <c r="C772">
        <v>477.77</v>
      </c>
      <c r="D772">
        <v>73.11</v>
      </c>
      <c r="E772" t="s">
        <v>9</v>
      </c>
      <c r="F772">
        <v>33.119999999999997</v>
      </c>
      <c r="G772" t="s">
        <v>10</v>
      </c>
      <c r="H772" t="s">
        <v>13</v>
      </c>
    </row>
    <row r="773" spans="1:8" x14ac:dyDescent="0.25">
      <c r="A773" s="1">
        <v>45660.125</v>
      </c>
      <c r="B773" t="s">
        <v>17</v>
      </c>
      <c r="C773">
        <v>438.2</v>
      </c>
      <c r="D773">
        <v>49.91</v>
      </c>
      <c r="E773" t="s">
        <v>9</v>
      </c>
      <c r="F773">
        <v>65.150000000000006</v>
      </c>
      <c r="G773" t="s">
        <v>10</v>
      </c>
      <c r="H773" t="s">
        <v>13</v>
      </c>
    </row>
    <row r="774" spans="1:8" x14ac:dyDescent="0.25">
      <c r="A774" s="1">
        <v>45660.166666666664</v>
      </c>
      <c r="B774" t="s">
        <v>17</v>
      </c>
      <c r="C774">
        <v>110.52</v>
      </c>
      <c r="D774">
        <v>39.94</v>
      </c>
      <c r="E774" t="s">
        <v>9</v>
      </c>
      <c r="F774">
        <v>84.81</v>
      </c>
      <c r="G774" t="s">
        <v>10</v>
      </c>
      <c r="H774" t="s">
        <v>13</v>
      </c>
    </row>
    <row r="775" spans="1:8" x14ac:dyDescent="0.25">
      <c r="A775" s="1">
        <v>45660.208333333336</v>
      </c>
      <c r="B775" t="s">
        <v>17</v>
      </c>
      <c r="C775">
        <v>135.97</v>
      </c>
      <c r="D775">
        <v>49.69</v>
      </c>
      <c r="E775" t="s">
        <v>9</v>
      </c>
      <c r="F775">
        <v>65.09</v>
      </c>
      <c r="G775" t="s">
        <v>10</v>
      </c>
      <c r="H775" t="s">
        <v>12</v>
      </c>
    </row>
    <row r="776" spans="1:8" x14ac:dyDescent="0.25">
      <c r="A776" s="1">
        <v>45660.25</v>
      </c>
      <c r="B776" t="s">
        <v>17</v>
      </c>
      <c r="C776">
        <v>413.31</v>
      </c>
      <c r="D776">
        <v>75.790000000000006</v>
      </c>
      <c r="E776" t="s">
        <v>9</v>
      </c>
      <c r="F776">
        <v>53.17</v>
      </c>
      <c r="G776" t="s">
        <v>10</v>
      </c>
      <c r="H776" t="s">
        <v>12</v>
      </c>
    </row>
    <row r="777" spans="1:8" x14ac:dyDescent="0.25">
      <c r="A777" s="1">
        <v>45660.291666666664</v>
      </c>
      <c r="B777" t="s">
        <v>17</v>
      </c>
      <c r="C777">
        <v>410.53</v>
      </c>
      <c r="D777">
        <v>62.96</v>
      </c>
      <c r="E777" t="s">
        <v>9</v>
      </c>
      <c r="F777">
        <v>41.91</v>
      </c>
      <c r="G777" t="s">
        <v>10</v>
      </c>
      <c r="H777" t="s">
        <v>13</v>
      </c>
    </row>
    <row r="778" spans="1:8" x14ac:dyDescent="0.25">
      <c r="A778" s="1">
        <v>45660.333333333336</v>
      </c>
      <c r="B778" t="s">
        <v>17</v>
      </c>
      <c r="C778">
        <v>138.86000000000001</v>
      </c>
      <c r="D778">
        <v>64.760000000000005</v>
      </c>
      <c r="E778" t="s">
        <v>9</v>
      </c>
      <c r="F778">
        <v>71.09</v>
      </c>
      <c r="G778" t="s">
        <v>10</v>
      </c>
      <c r="H778" t="s">
        <v>13</v>
      </c>
    </row>
    <row r="779" spans="1:8" x14ac:dyDescent="0.25">
      <c r="A779" s="1">
        <v>45660.375</v>
      </c>
      <c r="B779" t="s">
        <v>17</v>
      </c>
      <c r="C779">
        <v>187.35</v>
      </c>
      <c r="D779">
        <v>92.88</v>
      </c>
      <c r="E779" t="s">
        <v>14</v>
      </c>
      <c r="F779">
        <v>69.8</v>
      </c>
      <c r="G779" t="s">
        <v>10</v>
      </c>
      <c r="H779" t="s">
        <v>13</v>
      </c>
    </row>
    <row r="780" spans="1:8" x14ac:dyDescent="0.25">
      <c r="A780" s="1">
        <v>45660.416666666664</v>
      </c>
      <c r="B780" t="s">
        <v>17</v>
      </c>
      <c r="C780">
        <v>198.96</v>
      </c>
      <c r="D780">
        <v>73.959999999999994</v>
      </c>
      <c r="E780" t="s">
        <v>9</v>
      </c>
      <c r="F780">
        <v>48.77</v>
      </c>
      <c r="G780" t="s">
        <v>10</v>
      </c>
      <c r="H780" t="s">
        <v>12</v>
      </c>
    </row>
    <row r="781" spans="1:8" x14ac:dyDescent="0.25">
      <c r="A781" s="1">
        <v>45660.458333333336</v>
      </c>
      <c r="B781" t="s">
        <v>17</v>
      </c>
      <c r="C781">
        <v>127.27</v>
      </c>
      <c r="D781">
        <v>56.91</v>
      </c>
      <c r="E781" t="s">
        <v>9</v>
      </c>
      <c r="F781">
        <v>47.4</v>
      </c>
      <c r="G781" t="s">
        <v>10</v>
      </c>
      <c r="H781" t="s">
        <v>11</v>
      </c>
    </row>
    <row r="782" spans="1:8" x14ac:dyDescent="0.25">
      <c r="A782" s="1">
        <v>45660.5</v>
      </c>
      <c r="B782" t="s">
        <v>17</v>
      </c>
      <c r="C782">
        <v>355.62</v>
      </c>
      <c r="D782">
        <v>93.78</v>
      </c>
      <c r="E782" t="s">
        <v>14</v>
      </c>
      <c r="F782">
        <v>31.73</v>
      </c>
      <c r="G782" t="s">
        <v>10</v>
      </c>
      <c r="H782" t="s">
        <v>12</v>
      </c>
    </row>
    <row r="783" spans="1:8" x14ac:dyDescent="0.25">
      <c r="A783" s="1">
        <v>45660.541666666664</v>
      </c>
      <c r="B783" t="s">
        <v>17</v>
      </c>
      <c r="C783">
        <v>50.11</v>
      </c>
      <c r="D783">
        <v>24.28</v>
      </c>
      <c r="E783" t="s">
        <v>9</v>
      </c>
      <c r="F783">
        <v>86.02</v>
      </c>
      <c r="G783" t="s">
        <v>10</v>
      </c>
      <c r="H783" t="s">
        <v>11</v>
      </c>
    </row>
    <row r="784" spans="1:8" x14ac:dyDescent="0.25">
      <c r="A784" s="1">
        <v>45660.583333333336</v>
      </c>
      <c r="B784" t="s">
        <v>17</v>
      </c>
      <c r="C784">
        <v>64.55</v>
      </c>
      <c r="D784">
        <v>56.14</v>
      </c>
      <c r="E784" t="s">
        <v>9</v>
      </c>
      <c r="F784">
        <v>64.03</v>
      </c>
      <c r="G784" t="s">
        <v>10</v>
      </c>
      <c r="H784" t="s">
        <v>13</v>
      </c>
    </row>
    <row r="785" spans="1:8" x14ac:dyDescent="0.25">
      <c r="A785" s="1">
        <v>45660.625</v>
      </c>
      <c r="B785" t="s">
        <v>17</v>
      </c>
      <c r="C785">
        <v>486.91</v>
      </c>
      <c r="D785">
        <v>44.26</v>
      </c>
      <c r="E785" t="s">
        <v>9</v>
      </c>
      <c r="F785">
        <v>70.89</v>
      </c>
      <c r="G785" t="s">
        <v>10</v>
      </c>
      <c r="H785" t="s">
        <v>11</v>
      </c>
    </row>
    <row r="786" spans="1:8" x14ac:dyDescent="0.25">
      <c r="A786" s="1">
        <v>45660.666666666664</v>
      </c>
      <c r="B786" t="s">
        <v>17</v>
      </c>
      <c r="C786">
        <v>189.76</v>
      </c>
      <c r="D786">
        <v>63.88</v>
      </c>
      <c r="E786" t="s">
        <v>9</v>
      </c>
      <c r="F786">
        <v>71.459999999999994</v>
      </c>
      <c r="G786" t="s">
        <v>10</v>
      </c>
      <c r="H786" t="s">
        <v>12</v>
      </c>
    </row>
    <row r="787" spans="1:8" x14ac:dyDescent="0.25">
      <c r="A787" s="1">
        <v>45660.708333333336</v>
      </c>
      <c r="B787" t="s">
        <v>17</v>
      </c>
      <c r="C787">
        <v>179.55</v>
      </c>
      <c r="D787">
        <v>23.74</v>
      </c>
      <c r="E787" t="s">
        <v>9</v>
      </c>
      <c r="F787">
        <v>72.209999999999994</v>
      </c>
      <c r="G787" t="s">
        <v>10</v>
      </c>
      <c r="H787" t="s">
        <v>12</v>
      </c>
    </row>
    <row r="788" spans="1:8" x14ac:dyDescent="0.25">
      <c r="A788" s="1">
        <v>45660.75</v>
      </c>
      <c r="B788" t="s">
        <v>17</v>
      </c>
      <c r="C788">
        <v>66.290000000000006</v>
      </c>
      <c r="D788">
        <v>58.64</v>
      </c>
      <c r="E788" t="s">
        <v>9</v>
      </c>
      <c r="F788">
        <v>72.52</v>
      </c>
      <c r="G788" t="s">
        <v>10</v>
      </c>
      <c r="H788" t="s">
        <v>13</v>
      </c>
    </row>
    <row r="789" spans="1:8" x14ac:dyDescent="0.25">
      <c r="A789" s="1">
        <v>45660.791666666664</v>
      </c>
      <c r="B789" t="s">
        <v>17</v>
      </c>
      <c r="C789">
        <v>186.68</v>
      </c>
      <c r="D789">
        <v>88.61</v>
      </c>
      <c r="E789" t="s">
        <v>14</v>
      </c>
      <c r="F789">
        <v>49.26</v>
      </c>
      <c r="G789" t="s">
        <v>10</v>
      </c>
      <c r="H789" t="s">
        <v>11</v>
      </c>
    </row>
    <row r="790" spans="1:8" x14ac:dyDescent="0.25">
      <c r="A790" s="1">
        <v>45660.833333333336</v>
      </c>
      <c r="B790" t="s">
        <v>17</v>
      </c>
      <c r="C790">
        <v>158.72</v>
      </c>
      <c r="D790">
        <v>68.45</v>
      </c>
      <c r="E790" t="s">
        <v>9</v>
      </c>
      <c r="F790">
        <v>41.81</v>
      </c>
      <c r="G790" t="s">
        <v>10</v>
      </c>
      <c r="H790" t="s">
        <v>12</v>
      </c>
    </row>
    <row r="791" spans="1:8" x14ac:dyDescent="0.25">
      <c r="A791" s="1">
        <v>45660.875</v>
      </c>
      <c r="B791" t="s">
        <v>17</v>
      </c>
      <c r="C791">
        <v>474.36</v>
      </c>
      <c r="D791">
        <v>78.400000000000006</v>
      </c>
      <c r="E791" t="s">
        <v>9</v>
      </c>
      <c r="F791">
        <v>40.880000000000003</v>
      </c>
      <c r="G791" t="s">
        <v>10</v>
      </c>
      <c r="H791" t="s">
        <v>13</v>
      </c>
    </row>
    <row r="792" spans="1:8" x14ac:dyDescent="0.25">
      <c r="A792" s="1">
        <v>45660.916666666664</v>
      </c>
      <c r="B792" t="s">
        <v>17</v>
      </c>
      <c r="C792">
        <v>441.47</v>
      </c>
      <c r="D792">
        <v>24.22</v>
      </c>
      <c r="E792" t="s">
        <v>9</v>
      </c>
      <c r="F792">
        <v>70.67</v>
      </c>
      <c r="G792" t="s">
        <v>10</v>
      </c>
      <c r="H792" t="s">
        <v>12</v>
      </c>
    </row>
    <row r="793" spans="1:8" x14ac:dyDescent="0.25">
      <c r="A793" s="1">
        <v>45660.958333333336</v>
      </c>
      <c r="B793" t="s">
        <v>17</v>
      </c>
      <c r="C793">
        <v>483.25</v>
      </c>
      <c r="D793">
        <v>24.26</v>
      </c>
      <c r="E793" t="s">
        <v>9</v>
      </c>
      <c r="F793">
        <v>55.24</v>
      </c>
      <c r="G793" t="s">
        <v>10</v>
      </c>
      <c r="H793" t="s">
        <v>11</v>
      </c>
    </row>
    <row r="794" spans="1:8" x14ac:dyDescent="0.25">
      <c r="A794" s="1">
        <v>45661</v>
      </c>
      <c r="B794" t="s">
        <v>17</v>
      </c>
      <c r="C794">
        <v>471.98</v>
      </c>
      <c r="D794">
        <v>21.4</v>
      </c>
      <c r="E794" t="s">
        <v>9</v>
      </c>
      <c r="F794">
        <v>31.17</v>
      </c>
      <c r="G794" t="s">
        <v>10</v>
      </c>
      <c r="H794" t="s">
        <v>12</v>
      </c>
    </row>
    <row r="795" spans="1:8" x14ac:dyDescent="0.25">
      <c r="A795" s="1">
        <v>45661.041666666664</v>
      </c>
      <c r="B795" t="s">
        <v>17</v>
      </c>
      <c r="C795">
        <v>358.49</v>
      </c>
      <c r="D795">
        <v>49.33</v>
      </c>
      <c r="E795" t="s">
        <v>9</v>
      </c>
      <c r="F795">
        <v>41.69</v>
      </c>
      <c r="G795" t="s">
        <v>10</v>
      </c>
      <c r="H795" t="s">
        <v>13</v>
      </c>
    </row>
    <row r="796" spans="1:8" x14ac:dyDescent="0.25">
      <c r="A796" s="1">
        <v>45661.083333333336</v>
      </c>
      <c r="B796" t="s">
        <v>17</v>
      </c>
      <c r="C796">
        <v>139.5</v>
      </c>
      <c r="D796">
        <v>33.46</v>
      </c>
      <c r="E796" t="s">
        <v>9</v>
      </c>
      <c r="F796">
        <v>69.56</v>
      </c>
      <c r="G796" t="s">
        <v>10</v>
      </c>
      <c r="H796" t="s">
        <v>11</v>
      </c>
    </row>
    <row r="797" spans="1:8" x14ac:dyDescent="0.25">
      <c r="A797" s="1">
        <v>45661.125</v>
      </c>
      <c r="B797" t="s">
        <v>17</v>
      </c>
      <c r="C797">
        <v>179.67</v>
      </c>
      <c r="D797">
        <v>33.119999999999997</v>
      </c>
      <c r="E797" t="s">
        <v>9</v>
      </c>
      <c r="F797">
        <v>73.83</v>
      </c>
      <c r="G797" t="s">
        <v>10</v>
      </c>
      <c r="H797" t="s">
        <v>11</v>
      </c>
    </row>
    <row r="798" spans="1:8" x14ac:dyDescent="0.25">
      <c r="A798" s="1">
        <v>45661.166666666664</v>
      </c>
      <c r="B798" t="s">
        <v>17</v>
      </c>
      <c r="C798">
        <v>75.38</v>
      </c>
      <c r="D798">
        <v>84.33</v>
      </c>
      <c r="E798" t="s">
        <v>9</v>
      </c>
      <c r="F798">
        <v>47.68</v>
      </c>
      <c r="G798" t="s">
        <v>10</v>
      </c>
      <c r="H798" t="s">
        <v>12</v>
      </c>
    </row>
    <row r="799" spans="1:8" x14ac:dyDescent="0.25">
      <c r="A799" s="1">
        <v>45661.208333333336</v>
      </c>
      <c r="B799" t="s">
        <v>17</v>
      </c>
      <c r="C799">
        <v>81.05</v>
      </c>
      <c r="D799">
        <v>94.66</v>
      </c>
      <c r="E799" t="s">
        <v>14</v>
      </c>
      <c r="F799">
        <v>47.33</v>
      </c>
      <c r="G799" t="s">
        <v>10</v>
      </c>
      <c r="H799" t="s">
        <v>11</v>
      </c>
    </row>
    <row r="800" spans="1:8" x14ac:dyDescent="0.25">
      <c r="A800" s="1">
        <v>45661.25</v>
      </c>
      <c r="B800" t="s">
        <v>17</v>
      </c>
      <c r="C800">
        <v>285.58999999999997</v>
      </c>
      <c r="D800">
        <v>30.58</v>
      </c>
      <c r="E800" t="s">
        <v>9</v>
      </c>
      <c r="F800">
        <v>50.09</v>
      </c>
      <c r="G800" t="s">
        <v>10</v>
      </c>
      <c r="H800" t="s">
        <v>13</v>
      </c>
    </row>
    <row r="801" spans="1:8" x14ac:dyDescent="0.25">
      <c r="A801" s="1">
        <v>45661.291666666664</v>
      </c>
      <c r="B801" t="s">
        <v>17</v>
      </c>
      <c r="C801">
        <v>58.88</v>
      </c>
      <c r="D801">
        <v>24.94</v>
      </c>
      <c r="E801" t="s">
        <v>9</v>
      </c>
      <c r="F801">
        <v>71.709999999999994</v>
      </c>
      <c r="G801" t="s">
        <v>10</v>
      </c>
      <c r="H801" t="s">
        <v>13</v>
      </c>
    </row>
    <row r="802" spans="1:8" x14ac:dyDescent="0.25">
      <c r="A802" s="1">
        <v>45661.333333333336</v>
      </c>
      <c r="B802" t="s">
        <v>17</v>
      </c>
      <c r="C802">
        <v>143.28</v>
      </c>
      <c r="D802">
        <v>44.6</v>
      </c>
      <c r="E802" t="s">
        <v>9</v>
      </c>
      <c r="F802">
        <v>49</v>
      </c>
      <c r="G802" t="s">
        <v>10</v>
      </c>
      <c r="H802" t="s">
        <v>11</v>
      </c>
    </row>
    <row r="803" spans="1:8" x14ac:dyDescent="0.25">
      <c r="A803" s="1">
        <v>45661.375</v>
      </c>
      <c r="B803" t="s">
        <v>17</v>
      </c>
      <c r="C803">
        <v>180.31</v>
      </c>
      <c r="D803">
        <v>60.75</v>
      </c>
      <c r="E803" t="s">
        <v>9</v>
      </c>
      <c r="F803">
        <v>33.950000000000003</v>
      </c>
      <c r="G803" t="s">
        <v>10</v>
      </c>
      <c r="H803" t="s">
        <v>13</v>
      </c>
    </row>
    <row r="804" spans="1:8" x14ac:dyDescent="0.25">
      <c r="A804" s="1">
        <v>45661.416666666664</v>
      </c>
      <c r="B804" t="s">
        <v>17</v>
      </c>
      <c r="C804">
        <v>51.28</v>
      </c>
      <c r="D804">
        <v>89.4</v>
      </c>
      <c r="E804" t="s">
        <v>14</v>
      </c>
      <c r="F804">
        <v>36.659999999999997</v>
      </c>
      <c r="G804" t="s">
        <v>10</v>
      </c>
      <c r="H804" t="s">
        <v>13</v>
      </c>
    </row>
    <row r="805" spans="1:8" x14ac:dyDescent="0.25">
      <c r="A805" s="1">
        <v>45661.458333333336</v>
      </c>
      <c r="B805" t="s">
        <v>17</v>
      </c>
      <c r="C805">
        <v>348.83</v>
      </c>
      <c r="D805">
        <v>34.659999999999997</v>
      </c>
      <c r="E805" t="s">
        <v>9</v>
      </c>
      <c r="F805">
        <v>37.619999999999997</v>
      </c>
      <c r="G805" t="s">
        <v>10</v>
      </c>
      <c r="H805" t="s">
        <v>12</v>
      </c>
    </row>
    <row r="806" spans="1:8" x14ac:dyDescent="0.25">
      <c r="A806" s="1">
        <v>45661.5</v>
      </c>
      <c r="B806" t="s">
        <v>17</v>
      </c>
      <c r="C806">
        <v>260.42</v>
      </c>
      <c r="D806">
        <v>84.87</v>
      </c>
      <c r="E806" t="s">
        <v>9</v>
      </c>
      <c r="F806">
        <v>78.650000000000006</v>
      </c>
      <c r="G806" t="s">
        <v>10</v>
      </c>
      <c r="H806" t="s">
        <v>12</v>
      </c>
    </row>
    <row r="807" spans="1:8" x14ac:dyDescent="0.25">
      <c r="A807" s="1">
        <v>45661.541666666664</v>
      </c>
      <c r="B807" t="s">
        <v>17</v>
      </c>
      <c r="C807">
        <v>392.34</v>
      </c>
      <c r="D807">
        <v>15.28</v>
      </c>
      <c r="E807" t="s">
        <v>9</v>
      </c>
      <c r="F807">
        <v>63.47</v>
      </c>
      <c r="G807" t="s">
        <v>10</v>
      </c>
      <c r="H807" t="s">
        <v>11</v>
      </c>
    </row>
    <row r="808" spans="1:8" x14ac:dyDescent="0.25">
      <c r="A808" s="1">
        <v>45661.583333333336</v>
      </c>
      <c r="B808" t="s">
        <v>17</v>
      </c>
      <c r="C808">
        <v>215.15</v>
      </c>
      <c r="D808">
        <v>22.6</v>
      </c>
      <c r="E808" t="s">
        <v>9</v>
      </c>
      <c r="F808">
        <v>71.319999999999993</v>
      </c>
      <c r="G808" t="s">
        <v>10</v>
      </c>
      <c r="H808" t="s">
        <v>12</v>
      </c>
    </row>
    <row r="809" spans="1:8" x14ac:dyDescent="0.25">
      <c r="A809" s="1">
        <v>45661.625</v>
      </c>
      <c r="B809" t="s">
        <v>17</v>
      </c>
      <c r="C809">
        <v>182.8</v>
      </c>
      <c r="D809">
        <v>73.400000000000006</v>
      </c>
      <c r="E809" t="s">
        <v>9</v>
      </c>
      <c r="F809">
        <v>82.28</v>
      </c>
      <c r="G809" t="s">
        <v>10</v>
      </c>
      <c r="H809" t="s">
        <v>13</v>
      </c>
    </row>
    <row r="810" spans="1:8" x14ac:dyDescent="0.25">
      <c r="A810" s="1">
        <v>45661.666666666664</v>
      </c>
      <c r="B810" t="s">
        <v>17</v>
      </c>
      <c r="C810">
        <v>123.4</v>
      </c>
      <c r="D810">
        <v>34.18</v>
      </c>
      <c r="E810" t="s">
        <v>9</v>
      </c>
      <c r="F810">
        <v>50.51</v>
      </c>
      <c r="G810" t="s">
        <v>10</v>
      </c>
      <c r="H810" t="s">
        <v>13</v>
      </c>
    </row>
    <row r="811" spans="1:8" x14ac:dyDescent="0.25">
      <c r="A811" s="1">
        <v>45661.708333333336</v>
      </c>
      <c r="B811" t="s">
        <v>17</v>
      </c>
      <c r="C811">
        <v>298.08999999999997</v>
      </c>
      <c r="D811">
        <v>43.12</v>
      </c>
      <c r="E811" t="s">
        <v>9</v>
      </c>
      <c r="F811">
        <v>37.549999999999997</v>
      </c>
      <c r="G811" t="s">
        <v>10</v>
      </c>
      <c r="H811" t="s">
        <v>13</v>
      </c>
    </row>
    <row r="812" spans="1:8" x14ac:dyDescent="0.25">
      <c r="A812" s="1">
        <v>45661.75</v>
      </c>
      <c r="B812" t="s">
        <v>17</v>
      </c>
      <c r="C812">
        <v>240.52</v>
      </c>
      <c r="D812">
        <v>14.36</v>
      </c>
      <c r="E812" t="s">
        <v>9</v>
      </c>
      <c r="F812">
        <v>48.8</v>
      </c>
      <c r="G812" t="s">
        <v>10</v>
      </c>
      <c r="H812" t="s">
        <v>12</v>
      </c>
    </row>
    <row r="813" spans="1:8" x14ac:dyDescent="0.25">
      <c r="A813" s="1">
        <v>45661.791666666664</v>
      </c>
      <c r="B813" t="s">
        <v>17</v>
      </c>
      <c r="C813">
        <v>408.63</v>
      </c>
      <c r="D813">
        <v>61.83</v>
      </c>
      <c r="E813" t="s">
        <v>9</v>
      </c>
      <c r="F813">
        <v>35.82</v>
      </c>
      <c r="G813" t="s">
        <v>10</v>
      </c>
      <c r="H813" t="s">
        <v>11</v>
      </c>
    </row>
    <row r="814" spans="1:8" x14ac:dyDescent="0.25">
      <c r="A814" s="1">
        <v>45661.833333333336</v>
      </c>
      <c r="B814" t="s">
        <v>17</v>
      </c>
      <c r="C814">
        <v>366.23</v>
      </c>
      <c r="D814">
        <v>78.209999999999994</v>
      </c>
      <c r="E814" t="s">
        <v>9</v>
      </c>
      <c r="F814">
        <v>67.75</v>
      </c>
      <c r="G814" t="s">
        <v>10</v>
      </c>
      <c r="H814" t="s">
        <v>13</v>
      </c>
    </row>
    <row r="815" spans="1:8" x14ac:dyDescent="0.25">
      <c r="A815" s="1">
        <v>45661.875</v>
      </c>
      <c r="B815" t="s">
        <v>17</v>
      </c>
      <c r="C815">
        <v>52.39</v>
      </c>
      <c r="D815">
        <v>40.57</v>
      </c>
      <c r="E815" t="s">
        <v>9</v>
      </c>
      <c r="F815">
        <v>69.62</v>
      </c>
      <c r="G815" t="s">
        <v>10</v>
      </c>
      <c r="H815" t="s">
        <v>13</v>
      </c>
    </row>
    <row r="816" spans="1:8" x14ac:dyDescent="0.25">
      <c r="A816" s="1">
        <v>45661.916666666664</v>
      </c>
      <c r="B816" t="s">
        <v>17</v>
      </c>
      <c r="C816">
        <v>235.29</v>
      </c>
      <c r="D816">
        <v>40.96</v>
      </c>
      <c r="E816" t="s">
        <v>9</v>
      </c>
      <c r="F816">
        <v>70.16</v>
      </c>
      <c r="G816" t="s">
        <v>10</v>
      </c>
      <c r="H816" t="s">
        <v>11</v>
      </c>
    </row>
    <row r="817" spans="1:8" x14ac:dyDescent="0.25">
      <c r="A817" s="1">
        <v>45661.958333333336</v>
      </c>
      <c r="B817" t="s">
        <v>17</v>
      </c>
      <c r="C817">
        <v>350.51</v>
      </c>
      <c r="D817">
        <v>17.29</v>
      </c>
      <c r="E817" t="s">
        <v>9</v>
      </c>
      <c r="F817">
        <v>53.45</v>
      </c>
      <c r="G817" t="s">
        <v>10</v>
      </c>
      <c r="H817" t="s">
        <v>12</v>
      </c>
    </row>
    <row r="818" spans="1:8" x14ac:dyDescent="0.25">
      <c r="A818" s="1">
        <v>45662</v>
      </c>
      <c r="B818" t="s">
        <v>17</v>
      </c>
      <c r="C818">
        <v>464.66</v>
      </c>
      <c r="D818">
        <v>93.25</v>
      </c>
      <c r="E818" t="s">
        <v>14</v>
      </c>
      <c r="F818">
        <v>30.64</v>
      </c>
      <c r="G818" t="s">
        <v>10</v>
      </c>
      <c r="H818" t="s">
        <v>11</v>
      </c>
    </row>
    <row r="819" spans="1:8" x14ac:dyDescent="0.25">
      <c r="A819" s="1">
        <v>45662.041666666664</v>
      </c>
      <c r="B819" t="s">
        <v>17</v>
      </c>
      <c r="C819">
        <v>498.24</v>
      </c>
      <c r="D819">
        <v>22.37</v>
      </c>
      <c r="E819" t="s">
        <v>9</v>
      </c>
      <c r="F819">
        <v>40.840000000000003</v>
      </c>
      <c r="G819" t="s">
        <v>10</v>
      </c>
      <c r="H819" t="s">
        <v>12</v>
      </c>
    </row>
    <row r="820" spans="1:8" x14ac:dyDescent="0.25">
      <c r="A820" s="1">
        <v>45662.083333333336</v>
      </c>
      <c r="B820" t="s">
        <v>17</v>
      </c>
      <c r="C820">
        <v>326.17</v>
      </c>
      <c r="D820">
        <v>78.28</v>
      </c>
      <c r="E820" t="s">
        <v>9</v>
      </c>
      <c r="F820">
        <v>35.14</v>
      </c>
      <c r="G820" t="s">
        <v>10</v>
      </c>
      <c r="H820" t="s">
        <v>12</v>
      </c>
    </row>
    <row r="821" spans="1:8" x14ac:dyDescent="0.25">
      <c r="A821" s="1">
        <v>45662.125</v>
      </c>
      <c r="B821" t="s">
        <v>17</v>
      </c>
      <c r="C821">
        <v>264.20999999999998</v>
      </c>
      <c r="D821">
        <v>87.03</v>
      </c>
      <c r="E821" t="s">
        <v>14</v>
      </c>
      <c r="F821">
        <v>32.08</v>
      </c>
      <c r="G821" t="s">
        <v>10</v>
      </c>
      <c r="H821" t="s">
        <v>12</v>
      </c>
    </row>
    <row r="822" spans="1:8" x14ac:dyDescent="0.25">
      <c r="A822" s="1">
        <v>45662.166666666664</v>
      </c>
      <c r="B822" t="s">
        <v>17</v>
      </c>
      <c r="C822">
        <v>56.28</v>
      </c>
      <c r="D822">
        <v>67.23</v>
      </c>
      <c r="E822" t="s">
        <v>9</v>
      </c>
      <c r="F822">
        <v>51.91</v>
      </c>
      <c r="G822" t="s">
        <v>10</v>
      </c>
      <c r="H822" t="s">
        <v>11</v>
      </c>
    </row>
    <row r="823" spans="1:8" x14ac:dyDescent="0.25">
      <c r="A823" s="1">
        <v>45662.208333333336</v>
      </c>
      <c r="B823" t="s">
        <v>17</v>
      </c>
      <c r="C823">
        <v>363.21</v>
      </c>
      <c r="D823">
        <v>41.74</v>
      </c>
      <c r="E823" t="s">
        <v>9</v>
      </c>
      <c r="F823">
        <v>36.479999999999997</v>
      </c>
      <c r="G823" t="s">
        <v>10</v>
      </c>
      <c r="H823" t="s">
        <v>12</v>
      </c>
    </row>
    <row r="824" spans="1:8" x14ac:dyDescent="0.25">
      <c r="A824" s="1">
        <v>45662.25</v>
      </c>
      <c r="B824" t="s">
        <v>17</v>
      </c>
      <c r="C824">
        <v>110.19</v>
      </c>
      <c r="D824">
        <v>85.75</v>
      </c>
      <c r="E824" t="s">
        <v>14</v>
      </c>
      <c r="F824">
        <v>68.95</v>
      </c>
      <c r="G824" t="s">
        <v>10</v>
      </c>
      <c r="H824" t="s">
        <v>13</v>
      </c>
    </row>
    <row r="825" spans="1:8" x14ac:dyDescent="0.25">
      <c r="A825" s="1">
        <v>45662.291666666664</v>
      </c>
      <c r="B825" t="s">
        <v>17</v>
      </c>
      <c r="C825">
        <v>279.38</v>
      </c>
      <c r="D825">
        <v>48.22</v>
      </c>
      <c r="E825" t="s">
        <v>9</v>
      </c>
      <c r="F825">
        <v>53.89</v>
      </c>
      <c r="G825" t="s">
        <v>10</v>
      </c>
      <c r="H825" t="s">
        <v>11</v>
      </c>
    </row>
    <row r="826" spans="1:8" x14ac:dyDescent="0.25">
      <c r="A826" s="1">
        <v>45662.333333333336</v>
      </c>
      <c r="B826" t="s">
        <v>17</v>
      </c>
      <c r="C826">
        <v>130.68</v>
      </c>
      <c r="D826">
        <v>32.29</v>
      </c>
      <c r="E826" t="s">
        <v>9</v>
      </c>
      <c r="F826">
        <v>31.51</v>
      </c>
      <c r="G826" t="s">
        <v>10</v>
      </c>
      <c r="H826" t="s">
        <v>12</v>
      </c>
    </row>
    <row r="827" spans="1:8" x14ac:dyDescent="0.25">
      <c r="A827" s="1">
        <v>45662.375</v>
      </c>
      <c r="B827" t="s">
        <v>17</v>
      </c>
      <c r="C827">
        <v>198.22</v>
      </c>
      <c r="D827">
        <v>61.61</v>
      </c>
      <c r="E827" t="s">
        <v>9</v>
      </c>
      <c r="F827">
        <v>80.84</v>
      </c>
      <c r="G827" t="s">
        <v>10</v>
      </c>
      <c r="H827" t="s">
        <v>11</v>
      </c>
    </row>
    <row r="828" spans="1:8" x14ac:dyDescent="0.25">
      <c r="A828" s="1">
        <v>45662.416666666664</v>
      </c>
      <c r="B828" t="s">
        <v>17</v>
      </c>
      <c r="C828">
        <v>58.08</v>
      </c>
      <c r="D828">
        <v>20.03</v>
      </c>
      <c r="E828" t="s">
        <v>9</v>
      </c>
      <c r="F828">
        <v>60.62</v>
      </c>
      <c r="G828" t="s">
        <v>10</v>
      </c>
      <c r="H828" t="s">
        <v>13</v>
      </c>
    </row>
    <row r="829" spans="1:8" x14ac:dyDescent="0.25">
      <c r="A829" s="1">
        <v>45662.458333333336</v>
      </c>
      <c r="B829" t="s">
        <v>17</v>
      </c>
      <c r="C829">
        <v>246.63</v>
      </c>
      <c r="D829">
        <v>77.540000000000006</v>
      </c>
      <c r="E829" t="s">
        <v>9</v>
      </c>
      <c r="F829">
        <v>35.6</v>
      </c>
      <c r="G829" t="s">
        <v>10</v>
      </c>
      <c r="H829" t="s">
        <v>11</v>
      </c>
    </row>
    <row r="830" spans="1:8" x14ac:dyDescent="0.25">
      <c r="A830" s="1">
        <v>45662.5</v>
      </c>
      <c r="B830" t="s">
        <v>17</v>
      </c>
      <c r="C830">
        <v>397.1</v>
      </c>
      <c r="D830">
        <v>82.15</v>
      </c>
      <c r="E830" t="s">
        <v>9</v>
      </c>
      <c r="F830">
        <v>67.06</v>
      </c>
      <c r="G830" t="s">
        <v>10</v>
      </c>
      <c r="H830" t="s">
        <v>13</v>
      </c>
    </row>
    <row r="831" spans="1:8" x14ac:dyDescent="0.25">
      <c r="A831" s="1">
        <v>45662.541666666664</v>
      </c>
      <c r="B831" t="s">
        <v>17</v>
      </c>
      <c r="C831">
        <v>62.75</v>
      </c>
      <c r="D831">
        <v>81.099999999999994</v>
      </c>
      <c r="E831" t="s">
        <v>9</v>
      </c>
      <c r="F831">
        <v>77.3</v>
      </c>
      <c r="G831" t="s">
        <v>10</v>
      </c>
      <c r="H831" t="s">
        <v>11</v>
      </c>
    </row>
    <row r="832" spans="1:8" x14ac:dyDescent="0.25">
      <c r="A832" s="1">
        <v>45662.583333333336</v>
      </c>
      <c r="B832" t="s">
        <v>17</v>
      </c>
      <c r="C832">
        <v>281.17</v>
      </c>
      <c r="D832">
        <v>33.46</v>
      </c>
      <c r="E832" t="s">
        <v>9</v>
      </c>
      <c r="F832">
        <v>37.479999999999997</v>
      </c>
      <c r="G832" t="s">
        <v>10</v>
      </c>
      <c r="H832" t="s">
        <v>11</v>
      </c>
    </row>
    <row r="833" spans="1:8" x14ac:dyDescent="0.25">
      <c r="A833" s="1">
        <v>45662.625</v>
      </c>
      <c r="B833" t="s">
        <v>17</v>
      </c>
      <c r="C833">
        <v>140.51</v>
      </c>
      <c r="D833">
        <v>28.47</v>
      </c>
      <c r="E833" t="s">
        <v>9</v>
      </c>
      <c r="F833">
        <v>50.26</v>
      </c>
      <c r="G833" t="s">
        <v>10</v>
      </c>
      <c r="H833" t="s">
        <v>12</v>
      </c>
    </row>
    <row r="834" spans="1:8" x14ac:dyDescent="0.25">
      <c r="A834" s="1">
        <v>45662.666666666664</v>
      </c>
      <c r="B834" t="s">
        <v>17</v>
      </c>
      <c r="C834">
        <v>407.13</v>
      </c>
      <c r="D834">
        <v>63.93</v>
      </c>
      <c r="E834" t="s">
        <v>9</v>
      </c>
      <c r="F834">
        <v>89.16</v>
      </c>
      <c r="G834" t="s">
        <v>10</v>
      </c>
      <c r="H834" t="s">
        <v>13</v>
      </c>
    </row>
    <row r="835" spans="1:8" x14ac:dyDescent="0.25">
      <c r="A835" s="1">
        <v>45662.708333333336</v>
      </c>
      <c r="B835" t="s">
        <v>17</v>
      </c>
      <c r="C835">
        <v>63.13</v>
      </c>
      <c r="D835">
        <v>63.01</v>
      </c>
      <c r="E835" t="s">
        <v>9</v>
      </c>
      <c r="F835">
        <v>53.74</v>
      </c>
      <c r="G835" t="s">
        <v>10</v>
      </c>
      <c r="H835" t="s">
        <v>12</v>
      </c>
    </row>
    <row r="836" spans="1:8" x14ac:dyDescent="0.25">
      <c r="A836" s="1">
        <v>45662.75</v>
      </c>
      <c r="B836" t="s">
        <v>17</v>
      </c>
      <c r="C836">
        <v>221.64</v>
      </c>
      <c r="D836">
        <v>20.37</v>
      </c>
      <c r="E836" t="s">
        <v>9</v>
      </c>
      <c r="F836">
        <v>40.31</v>
      </c>
      <c r="G836" t="s">
        <v>10</v>
      </c>
      <c r="H836" t="s">
        <v>12</v>
      </c>
    </row>
    <row r="837" spans="1:8" x14ac:dyDescent="0.25">
      <c r="A837" s="1">
        <v>45662.791666666664</v>
      </c>
      <c r="B837" t="s">
        <v>17</v>
      </c>
      <c r="C837">
        <v>272.74</v>
      </c>
      <c r="D837">
        <v>24.6</v>
      </c>
      <c r="E837" t="s">
        <v>9</v>
      </c>
      <c r="F837">
        <v>71.77</v>
      </c>
      <c r="G837" t="s">
        <v>10</v>
      </c>
      <c r="H837" t="s">
        <v>11</v>
      </c>
    </row>
    <row r="838" spans="1:8" x14ac:dyDescent="0.25">
      <c r="A838" s="1">
        <v>45662.833333333336</v>
      </c>
      <c r="B838" t="s">
        <v>17</v>
      </c>
      <c r="C838">
        <v>248.55</v>
      </c>
      <c r="D838">
        <v>19.27</v>
      </c>
      <c r="E838" t="s">
        <v>9</v>
      </c>
      <c r="F838">
        <v>79.52</v>
      </c>
      <c r="G838" t="s">
        <v>10</v>
      </c>
      <c r="H838" t="s">
        <v>11</v>
      </c>
    </row>
    <row r="839" spans="1:8" x14ac:dyDescent="0.25">
      <c r="A839" s="1">
        <v>45662.875</v>
      </c>
      <c r="B839" t="s">
        <v>17</v>
      </c>
      <c r="C839">
        <v>438.9</v>
      </c>
      <c r="D839">
        <v>51.64</v>
      </c>
      <c r="E839" t="s">
        <v>9</v>
      </c>
      <c r="F839">
        <v>74.66</v>
      </c>
      <c r="G839" t="s">
        <v>10</v>
      </c>
      <c r="H839" t="s">
        <v>13</v>
      </c>
    </row>
    <row r="840" spans="1:8" x14ac:dyDescent="0.25">
      <c r="A840" s="1">
        <v>45662.916666666664</v>
      </c>
      <c r="B840" t="s">
        <v>17</v>
      </c>
      <c r="C840">
        <v>242.9</v>
      </c>
      <c r="D840">
        <v>24.26</v>
      </c>
      <c r="E840" t="s">
        <v>9</v>
      </c>
      <c r="F840">
        <v>63.98</v>
      </c>
      <c r="G840" t="s">
        <v>10</v>
      </c>
      <c r="H840" t="s">
        <v>11</v>
      </c>
    </row>
    <row r="841" spans="1:8" x14ac:dyDescent="0.25">
      <c r="A841" s="1">
        <v>45662.958333333336</v>
      </c>
      <c r="B841" t="s">
        <v>17</v>
      </c>
      <c r="C841">
        <v>258.11</v>
      </c>
      <c r="D841">
        <v>90.21</v>
      </c>
      <c r="E841" t="s">
        <v>14</v>
      </c>
      <c r="F841">
        <v>59.18</v>
      </c>
      <c r="G841" t="s">
        <v>10</v>
      </c>
      <c r="H841" t="s">
        <v>13</v>
      </c>
    </row>
    <row r="842" spans="1:8" x14ac:dyDescent="0.25">
      <c r="A842" s="1">
        <v>45663</v>
      </c>
      <c r="B842" t="s">
        <v>17</v>
      </c>
      <c r="C842">
        <v>323.58</v>
      </c>
      <c r="D842">
        <v>60.64</v>
      </c>
      <c r="E842" t="s">
        <v>9</v>
      </c>
      <c r="F842">
        <v>39.82</v>
      </c>
      <c r="G842" t="s">
        <v>10</v>
      </c>
      <c r="H842" t="s">
        <v>11</v>
      </c>
    </row>
    <row r="843" spans="1:8" x14ac:dyDescent="0.25">
      <c r="A843" s="1">
        <v>45663.041666666664</v>
      </c>
      <c r="B843" t="s">
        <v>17</v>
      </c>
      <c r="C843">
        <v>130.91</v>
      </c>
      <c r="D843">
        <v>51.89</v>
      </c>
      <c r="E843" t="s">
        <v>9</v>
      </c>
      <c r="F843">
        <v>88.08</v>
      </c>
      <c r="G843" t="s">
        <v>10</v>
      </c>
      <c r="H843" t="s">
        <v>12</v>
      </c>
    </row>
    <row r="844" spans="1:8" x14ac:dyDescent="0.25">
      <c r="A844" s="1">
        <v>45663.083333333336</v>
      </c>
      <c r="B844" t="s">
        <v>17</v>
      </c>
      <c r="C844">
        <v>70.290000000000006</v>
      </c>
      <c r="D844">
        <v>73.22</v>
      </c>
      <c r="E844" t="s">
        <v>9</v>
      </c>
      <c r="F844">
        <v>82.32</v>
      </c>
      <c r="G844" t="s">
        <v>10</v>
      </c>
      <c r="H844" t="s">
        <v>13</v>
      </c>
    </row>
    <row r="845" spans="1:8" x14ac:dyDescent="0.25">
      <c r="A845" s="1">
        <v>45663.125</v>
      </c>
      <c r="B845" t="s">
        <v>17</v>
      </c>
      <c r="C845">
        <v>340.98</v>
      </c>
      <c r="D845">
        <v>81.23</v>
      </c>
      <c r="E845" t="s">
        <v>9</v>
      </c>
      <c r="F845">
        <v>32.96</v>
      </c>
      <c r="G845" t="s">
        <v>10</v>
      </c>
      <c r="H845" t="s">
        <v>11</v>
      </c>
    </row>
    <row r="846" spans="1:8" x14ac:dyDescent="0.25">
      <c r="A846" s="1">
        <v>45663.166666666664</v>
      </c>
      <c r="B846" t="s">
        <v>17</v>
      </c>
      <c r="C846">
        <v>270.37</v>
      </c>
      <c r="D846">
        <v>75.78</v>
      </c>
      <c r="E846" t="s">
        <v>9</v>
      </c>
      <c r="F846">
        <v>80</v>
      </c>
      <c r="G846" t="s">
        <v>10</v>
      </c>
      <c r="H846" t="s">
        <v>12</v>
      </c>
    </row>
    <row r="847" spans="1:8" x14ac:dyDescent="0.25">
      <c r="A847" s="1">
        <v>45663.208333333336</v>
      </c>
      <c r="B847" t="s">
        <v>17</v>
      </c>
      <c r="C847">
        <v>176.87</v>
      </c>
      <c r="D847">
        <v>57</v>
      </c>
      <c r="E847" t="s">
        <v>9</v>
      </c>
      <c r="F847">
        <v>33.1</v>
      </c>
      <c r="G847" t="s">
        <v>10</v>
      </c>
      <c r="H847" t="s">
        <v>11</v>
      </c>
    </row>
    <row r="848" spans="1:8" x14ac:dyDescent="0.25">
      <c r="A848" s="1">
        <v>45663.25</v>
      </c>
      <c r="B848" t="s">
        <v>17</v>
      </c>
      <c r="C848">
        <v>499.87</v>
      </c>
      <c r="D848">
        <v>82.31</v>
      </c>
      <c r="E848" t="s">
        <v>9</v>
      </c>
      <c r="F848">
        <v>51.71</v>
      </c>
      <c r="G848" t="s">
        <v>10</v>
      </c>
      <c r="H848" t="s">
        <v>13</v>
      </c>
    </row>
    <row r="849" spans="1:8" x14ac:dyDescent="0.25">
      <c r="A849" s="1">
        <v>45663.291666666664</v>
      </c>
      <c r="B849" t="s">
        <v>17</v>
      </c>
      <c r="C849">
        <v>331.78</v>
      </c>
      <c r="D849">
        <v>71.02</v>
      </c>
      <c r="E849" t="s">
        <v>9</v>
      </c>
      <c r="F849">
        <v>69.05</v>
      </c>
      <c r="G849" t="s">
        <v>10</v>
      </c>
      <c r="H849" t="s">
        <v>11</v>
      </c>
    </row>
    <row r="850" spans="1:8" x14ac:dyDescent="0.25">
      <c r="A850" s="1">
        <v>45663.333333333336</v>
      </c>
      <c r="B850" t="s">
        <v>17</v>
      </c>
      <c r="C850">
        <v>405.44</v>
      </c>
      <c r="D850">
        <v>64.09</v>
      </c>
      <c r="E850" t="s">
        <v>9</v>
      </c>
      <c r="F850">
        <v>36.79</v>
      </c>
      <c r="G850" t="s">
        <v>10</v>
      </c>
      <c r="H850" t="s">
        <v>11</v>
      </c>
    </row>
    <row r="851" spans="1:8" x14ac:dyDescent="0.25">
      <c r="A851" s="1">
        <v>45663.375</v>
      </c>
      <c r="B851" t="s">
        <v>17</v>
      </c>
      <c r="C851">
        <v>264.23</v>
      </c>
      <c r="D851">
        <v>69.84</v>
      </c>
      <c r="E851" t="s">
        <v>9</v>
      </c>
      <c r="F851">
        <v>66.459999999999994</v>
      </c>
      <c r="G851" t="s">
        <v>10</v>
      </c>
      <c r="H851" t="s">
        <v>13</v>
      </c>
    </row>
    <row r="852" spans="1:8" x14ac:dyDescent="0.25">
      <c r="A852" s="1">
        <v>45663.416666666664</v>
      </c>
      <c r="B852" t="s">
        <v>17</v>
      </c>
      <c r="C852">
        <v>311.33</v>
      </c>
      <c r="D852">
        <v>45.45</v>
      </c>
      <c r="E852" t="s">
        <v>9</v>
      </c>
      <c r="F852">
        <v>40.25</v>
      </c>
      <c r="G852" t="s">
        <v>10</v>
      </c>
      <c r="H852" t="s">
        <v>12</v>
      </c>
    </row>
    <row r="853" spans="1:8" x14ac:dyDescent="0.25">
      <c r="A853" s="1">
        <v>45663.458333333336</v>
      </c>
      <c r="B853" t="s">
        <v>17</v>
      </c>
      <c r="C853">
        <v>275.10000000000002</v>
      </c>
      <c r="D853">
        <v>27.01</v>
      </c>
      <c r="E853" t="s">
        <v>9</v>
      </c>
      <c r="F853">
        <v>50.44</v>
      </c>
      <c r="G853" t="s">
        <v>10</v>
      </c>
      <c r="H853" t="s">
        <v>11</v>
      </c>
    </row>
    <row r="854" spans="1:8" x14ac:dyDescent="0.25">
      <c r="A854" s="1">
        <v>45663.5</v>
      </c>
      <c r="B854" t="s">
        <v>17</v>
      </c>
      <c r="C854">
        <v>126.8</v>
      </c>
      <c r="D854">
        <v>67.69</v>
      </c>
      <c r="E854" t="s">
        <v>9</v>
      </c>
      <c r="F854">
        <v>81.150000000000006</v>
      </c>
      <c r="G854" t="s">
        <v>10</v>
      </c>
      <c r="H854" t="s">
        <v>13</v>
      </c>
    </row>
    <row r="855" spans="1:8" x14ac:dyDescent="0.25">
      <c r="A855" s="1">
        <v>45663.541666666664</v>
      </c>
      <c r="B855" t="s">
        <v>17</v>
      </c>
      <c r="C855">
        <v>303.07</v>
      </c>
      <c r="D855">
        <v>68.34</v>
      </c>
      <c r="E855" t="s">
        <v>9</v>
      </c>
      <c r="F855">
        <v>72.19</v>
      </c>
      <c r="G855" t="s">
        <v>10</v>
      </c>
      <c r="H855" t="s">
        <v>11</v>
      </c>
    </row>
    <row r="856" spans="1:8" x14ac:dyDescent="0.25">
      <c r="A856" s="1">
        <v>45663.583333333336</v>
      </c>
      <c r="B856" t="s">
        <v>17</v>
      </c>
      <c r="C856">
        <v>317.77</v>
      </c>
      <c r="D856">
        <v>21.31</v>
      </c>
      <c r="E856" t="s">
        <v>9</v>
      </c>
      <c r="F856">
        <v>66.36</v>
      </c>
      <c r="G856" t="s">
        <v>10</v>
      </c>
      <c r="H856" t="s">
        <v>13</v>
      </c>
    </row>
    <row r="857" spans="1:8" x14ac:dyDescent="0.25">
      <c r="A857" s="1">
        <v>45663.625</v>
      </c>
      <c r="B857" t="s">
        <v>17</v>
      </c>
      <c r="C857">
        <v>486.3</v>
      </c>
      <c r="D857">
        <v>74.44</v>
      </c>
      <c r="E857" t="s">
        <v>9</v>
      </c>
      <c r="F857">
        <v>40.54</v>
      </c>
      <c r="G857" t="s">
        <v>10</v>
      </c>
      <c r="H857" t="s">
        <v>12</v>
      </c>
    </row>
    <row r="858" spans="1:8" x14ac:dyDescent="0.25">
      <c r="A858" s="1">
        <v>45663.666666666664</v>
      </c>
      <c r="B858" t="s">
        <v>17</v>
      </c>
      <c r="C858">
        <v>309.95</v>
      </c>
      <c r="D858">
        <v>42.98</v>
      </c>
      <c r="E858" t="s">
        <v>9</v>
      </c>
      <c r="F858">
        <v>46.53</v>
      </c>
      <c r="G858" t="s">
        <v>10</v>
      </c>
      <c r="H858" t="s">
        <v>12</v>
      </c>
    </row>
    <row r="859" spans="1:8" x14ac:dyDescent="0.25">
      <c r="A859" s="1">
        <v>45663.708333333336</v>
      </c>
      <c r="B859" t="s">
        <v>17</v>
      </c>
      <c r="C859">
        <v>215.15</v>
      </c>
      <c r="D859">
        <v>39.69</v>
      </c>
      <c r="E859" t="s">
        <v>9</v>
      </c>
      <c r="F859">
        <v>81</v>
      </c>
      <c r="G859" t="s">
        <v>10</v>
      </c>
      <c r="H859" t="s">
        <v>11</v>
      </c>
    </row>
    <row r="860" spans="1:8" x14ac:dyDescent="0.25">
      <c r="A860" s="1">
        <v>45663.75</v>
      </c>
      <c r="B860" t="s">
        <v>17</v>
      </c>
      <c r="C860">
        <v>292.27</v>
      </c>
      <c r="D860">
        <v>50.81</v>
      </c>
      <c r="E860" t="s">
        <v>9</v>
      </c>
      <c r="F860">
        <v>42.56</v>
      </c>
      <c r="G860" t="s">
        <v>10</v>
      </c>
      <c r="H860" t="s">
        <v>12</v>
      </c>
    </row>
    <row r="861" spans="1:8" x14ac:dyDescent="0.25">
      <c r="A861" s="1">
        <v>45663.791666666664</v>
      </c>
      <c r="B861" t="s">
        <v>17</v>
      </c>
      <c r="C861">
        <v>240.77</v>
      </c>
      <c r="D861">
        <v>19.38</v>
      </c>
      <c r="E861" t="s">
        <v>9</v>
      </c>
      <c r="F861">
        <v>30.1</v>
      </c>
      <c r="G861" t="s">
        <v>10</v>
      </c>
      <c r="H861" t="s">
        <v>12</v>
      </c>
    </row>
    <row r="862" spans="1:8" x14ac:dyDescent="0.25">
      <c r="A862" s="1">
        <v>45663.833333333336</v>
      </c>
      <c r="B862" t="s">
        <v>17</v>
      </c>
      <c r="C862">
        <v>251.82</v>
      </c>
      <c r="D862">
        <v>93.43</v>
      </c>
      <c r="E862" t="s">
        <v>14</v>
      </c>
      <c r="F862">
        <v>51.02</v>
      </c>
      <c r="G862" t="s">
        <v>10</v>
      </c>
      <c r="H862" t="s">
        <v>12</v>
      </c>
    </row>
    <row r="863" spans="1:8" x14ac:dyDescent="0.25">
      <c r="A863" s="1">
        <v>45663.875</v>
      </c>
      <c r="B863" t="s">
        <v>17</v>
      </c>
      <c r="C863">
        <v>392.57</v>
      </c>
      <c r="D863">
        <v>91.38</v>
      </c>
      <c r="E863" t="s">
        <v>14</v>
      </c>
      <c r="F863">
        <v>83.26</v>
      </c>
      <c r="G863" t="s">
        <v>10</v>
      </c>
      <c r="H863" t="s">
        <v>12</v>
      </c>
    </row>
    <row r="864" spans="1:8" x14ac:dyDescent="0.25">
      <c r="A864" s="1">
        <v>45663.916666666664</v>
      </c>
      <c r="B864" t="s">
        <v>17</v>
      </c>
      <c r="C864">
        <v>392.32</v>
      </c>
      <c r="D864">
        <v>26.13</v>
      </c>
      <c r="E864" t="s">
        <v>9</v>
      </c>
      <c r="F864">
        <v>64.31</v>
      </c>
      <c r="G864" t="s">
        <v>10</v>
      </c>
      <c r="H864" t="s">
        <v>13</v>
      </c>
    </row>
    <row r="865" spans="1:8" x14ac:dyDescent="0.25">
      <c r="A865" s="1">
        <v>45663.958333333336</v>
      </c>
      <c r="B865" t="s">
        <v>17</v>
      </c>
      <c r="C865">
        <v>333.68</v>
      </c>
      <c r="D865">
        <v>87.53</v>
      </c>
      <c r="E865" t="s">
        <v>14</v>
      </c>
      <c r="F865">
        <v>55.15</v>
      </c>
      <c r="G865" t="s">
        <v>10</v>
      </c>
      <c r="H865" t="s">
        <v>13</v>
      </c>
    </row>
    <row r="866" spans="1:8" x14ac:dyDescent="0.25">
      <c r="A866" s="1">
        <v>45664</v>
      </c>
      <c r="B866" t="s">
        <v>17</v>
      </c>
      <c r="C866">
        <v>189.17</v>
      </c>
      <c r="D866">
        <v>23.47</v>
      </c>
      <c r="E866" t="s">
        <v>9</v>
      </c>
      <c r="F866">
        <v>89.15</v>
      </c>
      <c r="G866" t="s">
        <v>10</v>
      </c>
      <c r="H866" t="s">
        <v>11</v>
      </c>
    </row>
    <row r="867" spans="1:8" x14ac:dyDescent="0.25">
      <c r="A867" s="1">
        <v>45664.041666666664</v>
      </c>
      <c r="B867" t="s">
        <v>17</v>
      </c>
      <c r="C867">
        <v>63.67</v>
      </c>
      <c r="D867">
        <v>71.73</v>
      </c>
      <c r="E867" t="s">
        <v>9</v>
      </c>
      <c r="F867">
        <v>32.78</v>
      </c>
      <c r="G867" t="s">
        <v>10</v>
      </c>
      <c r="H867" t="s">
        <v>11</v>
      </c>
    </row>
    <row r="868" spans="1:8" x14ac:dyDescent="0.25">
      <c r="A868" s="1">
        <v>45664.083333333336</v>
      </c>
      <c r="B868" t="s">
        <v>17</v>
      </c>
      <c r="C868">
        <v>438.1</v>
      </c>
      <c r="D868">
        <v>91.89</v>
      </c>
      <c r="E868" t="s">
        <v>14</v>
      </c>
      <c r="F868">
        <v>44.8</v>
      </c>
      <c r="G868" t="s">
        <v>10</v>
      </c>
      <c r="H868" t="s">
        <v>12</v>
      </c>
    </row>
    <row r="869" spans="1:8" x14ac:dyDescent="0.25">
      <c r="A869" s="1">
        <v>45664.125</v>
      </c>
      <c r="B869" t="s">
        <v>17</v>
      </c>
      <c r="C869">
        <v>200.22</v>
      </c>
      <c r="D869">
        <v>72.95</v>
      </c>
      <c r="E869" t="s">
        <v>9</v>
      </c>
      <c r="F869">
        <v>70.16</v>
      </c>
      <c r="G869" t="s">
        <v>10</v>
      </c>
      <c r="H869" t="s">
        <v>12</v>
      </c>
    </row>
    <row r="870" spans="1:8" x14ac:dyDescent="0.25">
      <c r="A870" s="1">
        <v>45664.166666666664</v>
      </c>
      <c r="B870" t="s">
        <v>17</v>
      </c>
      <c r="C870">
        <v>171.53</v>
      </c>
      <c r="D870">
        <v>30.76</v>
      </c>
      <c r="E870" t="s">
        <v>9</v>
      </c>
      <c r="F870">
        <v>69.239999999999995</v>
      </c>
      <c r="G870" t="s">
        <v>10</v>
      </c>
      <c r="H870" t="s">
        <v>11</v>
      </c>
    </row>
    <row r="871" spans="1:8" x14ac:dyDescent="0.25">
      <c r="A871" s="1">
        <v>45664.208333333336</v>
      </c>
      <c r="B871" t="s">
        <v>17</v>
      </c>
      <c r="C871">
        <v>167.03</v>
      </c>
      <c r="D871">
        <v>61.61</v>
      </c>
      <c r="E871" t="s">
        <v>9</v>
      </c>
      <c r="F871">
        <v>45.68</v>
      </c>
      <c r="G871" t="s">
        <v>10</v>
      </c>
      <c r="H871" t="s">
        <v>13</v>
      </c>
    </row>
    <row r="872" spans="1:8" x14ac:dyDescent="0.25">
      <c r="A872" s="1">
        <v>45664.25</v>
      </c>
      <c r="B872" t="s">
        <v>17</v>
      </c>
      <c r="C872">
        <v>436.4</v>
      </c>
      <c r="D872">
        <v>23.52</v>
      </c>
      <c r="E872" t="s">
        <v>9</v>
      </c>
      <c r="F872">
        <v>77.14</v>
      </c>
      <c r="G872" t="s">
        <v>10</v>
      </c>
      <c r="H872" t="s">
        <v>12</v>
      </c>
    </row>
    <row r="873" spans="1:8" x14ac:dyDescent="0.25">
      <c r="A873" s="1">
        <v>45664.291666666664</v>
      </c>
      <c r="B873" t="s">
        <v>17</v>
      </c>
      <c r="C873">
        <v>453.41</v>
      </c>
      <c r="D873">
        <v>65.53</v>
      </c>
      <c r="E873" t="s">
        <v>9</v>
      </c>
      <c r="F873">
        <v>73.84</v>
      </c>
      <c r="G873" t="s">
        <v>10</v>
      </c>
      <c r="H873" t="s">
        <v>11</v>
      </c>
    </row>
    <row r="874" spans="1:8" x14ac:dyDescent="0.25">
      <c r="A874" s="1">
        <v>45664.333333333336</v>
      </c>
      <c r="B874" t="s">
        <v>17</v>
      </c>
      <c r="C874">
        <v>475.24</v>
      </c>
      <c r="D874">
        <v>25.47</v>
      </c>
      <c r="E874" t="s">
        <v>9</v>
      </c>
      <c r="F874">
        <v>68.569999999999993</v>
      </c>
      <c r="G874" t="s">
        <v>10</v>
      </c>
      <c r="H874" t="s">
        <v>12</v>
      </c>
    </row>
    <row r="875" spans="1:8" x14ac:dyDescent="0.25">
      <c r="A875" s="1">
        <v>45664.375</v>
      </c>
      <c r="B875" t="s">
        <v>17</v>
      </c>
      <c r="C875">
        <v>429.52</v>
      </c>
      <c r="D875">
        <v>30.51</v>
      </c>
      <c r="E875" t="s">
        <v>9</v>
      </c>
      <c r="F875">
        <v>74.569999999999993</v>
      </c>
      <c r="G875" t="s">
        <v>10</v>
      </c>
      <c r="H875" t="s">
        <v>11</v>
      </c>
    </row>
    <row r="876" spans="1:8" x14ac:dyDescent="0.25">
      <c r="A876" s="1">
        <v>45664.416666666664</v>
      </c>
      <c r="B876" t="s">
        <v>17</v>
      </c>
      <c r="C876">
        <v>455.67</v>
      </c>
      <c r="D876">
        <v>35.909999999999997</v>
      </c>
      <c r="E876" t="s">
        <v>9</v>
      </c>
      <c r="F876">
        <v>78.209999999999994</v>
      </c>
      <c r="G876" t="s">
        <v>10</v>
      </c>
      <c r="H876" t="s">
        <v>12</v>
      </c>
    </row>
    <row r="877" spans="1:8" x14ac:dyDescent="0.25">
      <c r="A877" s="1">
        <v>45664.458333333336</v>
      </c>
      <c r="B877" t="s">
        <v>17</v>
      </c>
      <c r="C877">
        <v>478.99</v>
      </c>
      <c r="D877">
        <v>22.19</v>
      </c>
      <c r="E877" t="s">
        <v>9</v>
      </c>
      <c r="F877">
        <v>48.53</v>
      </c>
      <c r="G877" t="s">
        <v>10</v>
      </c>
      <c r="H877" t="s">
        <v>12</v>
      </c>
    </row>
    <row r="878" spans="1:8" x14ac:dyDescent="0.25">
      <c r="A878" s="1">
        <v>45664.5</v>
      </c>
      <c r="B878" t="s">
        <v>17</v>
      </c>
      <c r="C878">
        <v>182.72</v>
      </c>
      <c r="D878">
        <v>15.24</v>
      </c>
      <c r="E878" t="s">
        <v>9</v>
      </c>
      <c r="F878">
        <v>43.21</v>
      </c>
      <c r="G878" t="s">
        <v>10</v>
      </c>
      <c r="H878" t="s">
        <v>13</v>
      </c>
    </row>
    <row r="879" spans="1:8" x14ac:dyDescent="0.25">
      <c r="A879" s="1">
        <v>45664.541666666664</v>
      </c>
      <c r="B879" t="s">
        <v>17</v>
      </c>
      <c r="C879">
        <v>75.09</v>
      </c>
      <c r="D879">
        <v>18.25</v>
      </c>
      <c r="E879" t="s">
        <v>9</v>
      </c>
      <c r="F879">
        <v>84.47</v>
      </c>
      <c r="G879" t="s">
        <v>10</v>
      </c>
      <c r="H879" t="s">
        <v>12</v>
      </c>
    </row>
    <row r="880" spans="1:8" x14ac:dyDescent="0.25">
      <c r="A880" s="1">
        <v>45664.583333333336</v>
      </c>
      <c r="B880" t="s">
        <v>17</v>
      </c>
      <c r="C880">
        <v>367.21</v>
      </c>
      <c r="D880">
        <v>20.89</v>
      </c>
      <c r="E880" t="s">
        <v>9</v>
      </c>
      <c r="F880">
        <v>69.010000000000005</v>
      </c>
      <c r="G880" t="s">
        <v>10</v>
      </c>
      <c r="H880" t="s">
        <v>11</v>
      </c>
    </row>
    <row r="881" spans="1:8" x14ac:dyDescent="0.25">
      <c r="A881" s="1">
        <v>45664.625</v>
      </c>
      <c r="B881" t="s">
        <v>17</v>
      </c>
      <c r="C881">
        <v>120.04</v>
      </c>
      <c r="D881">
        <v>45.75</v>
      </c>
      <c r="E881" t="s">
        <v>9</v>
      </c>
      <c r="F881">
        <v>59.4</v>
      </c>
      <c r="G881" t="s">
        <v>10</v>
      </c>
      <c r="H881" t="s">
        <v>11</v>
      </c>
    </row>
    <row r="882" spans="1:8" x14ac:dyDescent="0.25">
      <c r="A882" s="1">
        <v>45664.666666666664</v>
      </c>
      <c r="B882" t="s">
        <v>17</v>
      </c>
      <c r="C882">
        <v>238.78</v>
      </c>
      <c r="D882">
        <v>39.630000000000003</v>
      </c>
      <c r="E882" t="s">
        <v>9</v>
      </c>
      <c r="F882">
        <v>32.130000000000003</v>
      </c>
      <c r="G882" t="s">
        <v>10</v>
      </c>
      <c r="H882" t="s">
        <v>11</v>
      </c>
    </row>
    <row r="883" spans="1:8" x14ac:dyDescent="0.25">
      <c r="A883" s="1">
        <v>45664.708333333336</v>
      </c>
      <c r="B883" t="s">
        <v>17</v>
      </c>
      <c r="C883">
        <v>91.17</v>
      </c>
      <c r="D883">
        <v>55.62</v>
      </c>
      <c r="E883" t="s">
        <v>9</v>
      </c>
      <c r="F883">
        <v>43.89</v>
      </c>
      <c r="G883" t="s">
        <v>10</v>
      </c>
      <c r="H883" t="s">
        <v>11</v>
      </c>
    </row>
    <row r="884" spans="1:8" x14ac:dyDescent="0.25">
      <c r="A884" s="1">
        <v>45664.75</v>
      </c>
      <c r="B884" t="s">
        <v>17</v>
      </c>
      <c r="C884">
        <v>110.77</v>
      </c>
      <c r="D884">
        <v>51.96</v>
      </c>
      <c r="E884" t="s">
        <v>9</v>
      </c>
      <c r="F884">
        <v>86.31</v>
      </c>
      <c r="G884" t="s">
        <v>10</v>
      </c>
      <c r="H884" t="s">
        <v>12</v>
      </c>
    </row>
    <row r="885" spans="1:8" x14ac:dyDescent="0.25">
      <c r="A885" s="1">
        <v>45664.791666666664</v>
      </c>
      <c r="B885" t="s">
        <v>17</v>
      </c>
      <c r="C885">
        <v>179.4</v>
      </c>
      <c r="D885">
        <v>40.98</v>
      </c>
      <c r="E885" t="s">
        <v>9</v>
      </c>
      <c r="F885">
        <v>55.59</v>
      </c>
      <c r="G885" t="s">
        <v>10</v>
      </c>
      <c r="H885" t="s">
        <v>11</v>
      </c>
    </row>
    <row r="886" spans="1:8" x14ac:dyDescent="0.25">
      <c r="A886" s="1">
        <v>45664.833333333336</v>
      </c>
      <c r="B886" t="s">
        <v>17</v>
      </c>
      <c r="C886">
        <v>126.56</v>
      </c>
      <c r="D886">
        <v>39.6</v>
      </c>
      <c r="E886" t="s">
        <v>9</v>
      </c>
      <c r="F886">
        <v>55.47</v>
      </c>
      <c r="G886" t="s">
        <v>10</v>
      </c>
      <c r="H886" t="s">
        <v>12</v>
      </c>
    </row>
    <row r="887" spans="1:8" x14ac:dyDescent="0.25">
      <c r="A887" s="1">
        <v>45664.875</v>
      </c>
      <c r="B887" t="s">
        <v>17</v>
      </c>
      <c r="C887">
        <v>323.93</v>
      </c>
      <c r="D887">
        <v>89.08</v>
      </c>
      <c r="E887" t="s">
        <v>14</v>
      </c>
      <c r="F887">
        <v>69.91</v>
      </c>
      <c r="G887" t="s">
        <v>10</v>
      </c>
      <c r="H887" t="s">
        <v>12</v>
      </c>
    </row>
    <row r="888" spans="1:8" x14ac:dyDescent="0.25">
      <c r="A888" s="1">
        <v>45664.916666666664</v>
      </c>
      <c r="B888" t="s">
        <v>17</v>
      </c>
      <c r="C888">
        <v>380</v>
      </c>
      <c r="D888">
        <v>14.04</v>
      </c>
      <c r="E888" t="s">
        <v>9</v>
      </c>
      <c r="F888">
        <v>65.77</v>
      </c>
      <c r="G888" t="s">
        <v>10</v>
      </c>
      <c r="H888" t="s">
        <v>13</v>
      </c>
    </row>
    <row r="889" spans="1:8" x14ac:dyDescent="0.25">
      <c r="A889" s="1">
        <v>45664.958333333336</v>
      </c>
      <c r="B889" t="s">
        <v>17</v>
      </c>
      <c r="C889">
        <v>485.69</v>
      </c>
      <c r="D889">
        <v>88.75</v>
      </c>
      <c r="E889" t="s">
        <v>14</v>
      </c>
      <c r="F889">
        <v>83.04</v>
      </c>
      <c r="G889" t="s">
        <v>10</v>
      </c>
      <c r="H889" t="s">
        <v>12</v>
      </c>
    </row>
    <row r="890" spans="1:8" x14ac:dyDescent="0.25">
      <c r="A890" s="1">
        <v>45665</v>
      </c>
      <c r="B890" t="s">
        <v>17</v>
      </c>
      <c r="C890">
        <v>370.67</v>
      </c>
      <c r="D890">
        <v>69.73</v>
      </c>
      <c r="E890" t="s">
        <v>9</v>
      </c>
      <c r="F890">
        <v>49.16</v>
      </c>
      <c r="G890" t="s">
        <v>10</v>
      </c>
      <c r="H890" t="s">
        <v>11</v>
      </c>
    </row>
    <row r="891" spans="1:8" x14ac:dyDescent="0.25">
      <c r="A891" s="1">
        <v>45665.041666666664</v>
      </c>
      <c r="B891" t="s">
        <v>17</v>
      </c>
      <c r="C891">
        <v>480.16</v>
      </c>
      <c r="D891">
        <v>88.79</v>
      </c>
      <c r="E891" t="s">
        <v>14</v>
      </c>
      <c r="F891">
        <v>57.44</v>
      </c>
      <c r="G891" t="s">
        <v>10</v>
      </c>
      <c r="H891" t="s">
        <v>11</v>
      </c>
    </row>
    <row r="892" spans="1:8" x14ac:dyDescent="0.25">
      <c r="A892" s="1">
        <v>45665.083333333336</v>
      </c>
      <c r="B892" t="s">
        <v>17</v>
      </c>
      <c r="C892">
        <v>123.25</v>
      </c>
      <c r="D892">
        <v>53.62</v>
      </c>
      <c r="E892" t="s">
        <v>9</v>
      </c>
      <c r="F892">
        <v>77.63</v>
      </c>
      <c r="G892" t="s">
        <v>10</v>
      </c>
      <c r="H892" t="s">
        <v>11</v>
      </c>
    </row>
    <row r="893" spans="1:8" x14ac:dyDescent="0.25">
      <c r="A893" s="1">
        <v>45665.125</v>
      </c>
      <c r="B893" t="s">
        <v>17</v>
      </c>
      <c r="C893">
        <v>241.88</v>
      </c>
      <c r="D893">
        <v>57.52</v>
      </c>
      <c r="E893" t="s">
        <v>9</v>
      </c>
      <c r="F893">
        <v>31.35</v>
      </c>
      <c r="G893" t="s">
        <v>10</v>
      </c>
      <c r="H893" t="s">
        <v>11</v>
      </c>
    </row>
    <row r="894" spans="1:8" x14ac:dyDescent="0.25">
      <c r="A894" s="1">
        <v>45665.166666666664</v>
      </c>
      <c r="B894" t="s">
        <v>17</v>
      </c>
      <c r="C894">
        <v>288.45</v>
      </c>
      <c r="D894">
        <v>45.73</v>
      </c>
      <c r="E894" t="s">
        <v>9</v>
      </c>
      <c r="F894">
        <v>67.31</v>
      </c>
      <c r="G894" t="s">
        <v>10</v>
      </c>
      <c r="H894" t="s">
        <v>11</v>
      </c>
    </row>
    <row r="895" spans="1:8" x14ac:dyDescent="0.25">
      <c r="A895" s="1">
        <v>45665.208333333336</v>
      </c>
      <c r="B895" t="s">
        <v>17</v>
      </c>
      <c r="C895">
        <v>459.3</v>
      </c>
      <c r="D895">
        <v>15.46</v>
      </c>
      <c r="E895" t="s">
        <v>9</v>
      </c>
      <c r="F895">
        <v>63.42</v>
      </c>
      <c r="G895" t="s">
        <v>10</v>
      </c>
      <c r="H895" t="s">
        <v>11</v>
      </c>
    </row>
    <row r="896" spans="1:8" x14ac:dyDescent="0.25">
      <c r="A896" s="1">
        <v>45665.25</v>
      </c>
      <c r="B896" t="s">
        <v>17</v>
      </c>
      <c r="C896">
        <v>309.64</v>
      </c>
      <c r="D896">
        <v>26.33</v>
      </c>
      <c r="E896" t="s">
        <v>9</v>
      </c>
      <c r="F896">
        <v>40.6</v>
      </c>
      <c r="G896" t="s">
        <v>10</v>
      </c>
      <c r="H896" t="s">
        <v>13</v>
      </c>
    </row>
    <row r="897" spans="1:8" x14ac:dyDescent="0.25">
      <c r="A897" s="1">
        <v>45665.291666666664</v>
      </c>
      <c r="B897" t="s">
        <v>17</v>
      </c>
      <c r="C897">
        <v>449.4</v>
      </c>
      <c r="D897">
        <v>52.12</v>
      </c>
      <c r="E897" t="s">
        <v>9</v>
      </c>
      <c r="F897">
        <v>82.69</v>
      </c>
      <c r="G897" t="s">
        <v>10</v>
      </c>
      <c r="H897" t="s">
        <v>11</v>
      </c>
    </row>
    <row r="898" spans="1:8" x14ac:dyDescent="0.25">
      <c r="A898" s="1">
        <v>45665.333333333336</v>
      </c>
      <c r="B898" t="s">
        <v>17</v>
      </c>
      <c r="C898">
        <v>107.41</v>
      </c>
      <c r="D898">
        <v>83.61</v>
      </c>
      <c r="E898" t="s">
        <v>9</v>
      </c>
      <c r="F898">
        <v>65.69</v>
      </c>
      <c r="G898" t="s">
        <v>10</v>
      </c>
      <c r="H898" t="s">
        <v>13</v>
      </c>
    </row>
    <row r="899" spans="1:8" x14ac:dyDescent="0.25">
      <c r="A899" s="1">
        <v>45665.375</v>
      </c>
      <c r="B899" t="s">
        <v>17</v>
      </c>
      <c r="C899">
        <v>417.13</v>
      </c>
      <c r="D899">
        <v>79.02</v>
      </c>
      <c r="E899" t="s">
        <v>9</v>
      </c>
      <c r="F899">
        <v>80.739999999999995</v>
      </c>
      <c r="G899" t="s">
        <v>10</v>
      </c>
      <c r="H899" t="s">
        <v>11</v>
      </c>
    </row>
    <row r="900" spans="1:8" x14ac:dyDescent="0.25">
      <c r="A900" s="1">
        <v>45665.416666666664</v>
      </c>
      <c r="B900" t="s">
        <v>17</v>
      </c>
      <c r="C900">
        <v>93.06</v>
      </c>
      <c r="D900">
        <v>88.09</v>
      </c>
      <c r="E900" t="s">
        <v>14</v>
      </c>
      <c r="F900">
        <v>35.46</v>
      </c>
      <c r="G900" t="s">
        <v>10</v>
      </c>
      <c r="H900" t="s">
        <v>13</v>
      </c>
    </row>
    <row r="901" spans="1:8" x14ac:dyDescent="0.25">
      <c r="A901" s="1">
        <v>45665.458333333336</v>
      </c>
      <c r="B901" t="s">
        <v>17</v>
      </c>
      <c r="C901">
        <v>79.650000000000006</v>
      </c>
      <c r="D901">
        <v>27.54</v>
      </c>
      <c r="E901" t="s">
        <v>9</v>
      </c>
      <c r="F901">
        <v>89.57</v>
      </c>
      <c r="G901" t="s">
        <v>10</v>
      </c>
      <c r="H901" t="s">
        <v>12</v>
      </c>
    </row>
    <row r="902" spans="1:8" x14ac:dyDescent="0.25">
      <c r="A902" s="1">
        <v>45665.5</v>
      </c>
      <c r="B902" t="s">
        <v>17</v>
      </c>
      <c r="C902">
        <v>210.48</v>
      </c>
      <c r="D902">
        <v>37.35</v>
      </c>
      <c r="E902" t="s">
        <v>9</v>
      </c>
      <c r="F902">
        <v>45.42</v>
      </c>
      <c r="G902" t="s">
        <v>10</v>
      </c>
      <c r="H902" t="s">
        <v>11</v>
      </c>
    </row>
    <row r="903" spans="1:8" x14ac:dyDescent="0.25">
      <c r="A903" s="1">
        <v>45665.541666666664</v>
      </c>
      <c r="B903" t="s">
        <v>17</v>
      </c>
      <c r="C903">
        <v>126.74</v>
      </c>
      <c r="D903">
        <v>86.68</v>
      </c>
      <c r="E903" t="s">
        <v>14</v>
      </c>
      <c r="F903">
        <v>69.37</v>
      </c>
      <c r="G903" t="s">
        <v>10</v>
      </c>
      <c r="H903" t="s">
        <v>12</v>
      </c>
    </row>
    <row r="904" spans="1:8" x14ac:dyDescent="0.25">
      <c r="A904" s="1">
        <v>45665.583333333336</v>
      </c>
      <c r="B904" t="s">
        <v>17</v>
      </c>
      <c r="C904">
        <v>181.73</v>
      </c>
      <c r="D904">
        <v>20.41</v>
      </c>
      <c r="E904" t="s">
        <v>9</v>
      </c>
      <c r="F904">
        <v>59.27</v>
      </c>
      <c r="G904" t="s">
        <v>10</v>
      </c>
      <c r="H904" t="s">
        <v>11</v>
      </c>
    </row>
    <row r="905" spans="1:8" x14ac:dyDescent="0.25">
      <c r="A905" s="1">
        <v>45665.625</v>
      </c>
      <c r="B905" t="s">
        <v>17</v>
      </c>
      <c r="C905">
        <v>251.67</v>
      </c>
      <c r="D905">
        <v>36.229999999999997</v>
      </c>
      <c r="E905" t="s">
        <v>9</v>
      </c>
      <c r="F905">
        <v>53.59</v>
      </c>
      <c r="G905" t="s">
        <v>10</v>
      </c>
      <c r="H905" t="s">
        <v>13</v>
      </c>
    </row>
    <row r="906" spans="1:8" x14ac:dyDescent="0.25">
      <c r="A906" s="1">
        <v>45665.666666666664</v>
      </c>
      <c r="B906" t="s">
        <v>17</v>
      </c>
      <c r="C906">
        <v>128.62</v>
      </c>
      <c r="D906">
        <v>30.09</v>
      </c>
      <c r="E906" t="s">
        <v>9</v>
      </c>
      <c r="F906">
        <v>46.84</v>
      </c>
      <c r="G906" t="s">
        <v>10</v>
      </c>
      <c r="H906" t="s">
        <v>13</v>
      </c>
    </row>
    <row r="907" spans="1:8" x14ac:dyDescent="0.25">
      <c r="A907" s="1">
        <v>45665.708333333336</v>
      </c>
      <c r="B907" t="s">
        <v>17</v>
      </c>
      <c r="C907">
        <v>81.44</v>
      </c>
      <c r="D907">
        <v>68.88</v>
      </c>
      <c r="E907" t="s">
        <v>9</v>
      </c>
      <c r="F907">
        <v>40.369999999999997</v>
      </c>
      <c r="G907" t="s">
        <v>10</v>
      </c>
      <c r="H907" t="s">
        <v>11</v>
      </c>
    </row>
    <row r="908" spans="1:8" x14ac:dyDescent="0.25">
      <c r="A908" s="1">
        <v>45665.75</v>
      </c>
      <c r="B908" t="s">
        <v>17</v>
      </c>
      <c r="C908">
        <v>182.28</v>
      </c>
      <c r="D908">
        <v>31.48</v>
      </c>
      <c r="E908" t="s">
        <v>9</v>
      </c>
      <c r="F908">
        <v>39.520000000000003</v>
      </c>
      <c r="G908" t="s">
        <v>10</v>
      </c>
      <c r="H908" t="s">
        <v>12</v>
      </c>
    </row>
    <row r="909" spans="1:8" x14ac:dyDescent="0.25">
      <c r="A909" s="1">
        <v>45665.791666666664</v>
      </c>
      <c r="B909" t="s">
        <v>17</v>
      </c>
      <c r="C909">
        <v>448.26</v>
      </c>
      <c r="D909">
        <v>31.95</v>
      </c>
      <c r="E909" t="s">
        <v>9</v>
      </c>
      <c r="F909">
        <v>57.81</v>
      </c>
      <c r="G909" t="s">
        <v>10</v>
      </c>
      <c r="H909" t="s">
        <v>12</v>
      </c>
    </row>
    <row r="910" spans="1:8" x14ac:dyDescent="0.25">
      <c r="A910" s="1">
        <v>45665.833333333336</v>
      </c>
      <c r="B910" t="s">
        <v>17</v>
      </c>
      <c r="C910">
        <v>112.05</v>
      </c>
      <c r="D910">
        <v>76.86</v>
      </c>
      <c r="E910" t="s">
        <v>9</v>
      </c>
      <c r="F910">
        <v>77.849999999999994</v>
      </c>
      <c r="G910" t="s">
        <v>10</v>
      </c>
      <c r="H910" t="s">
        <v>12</v>
      </c>
    </row>
    <row r="911" spans="1:8" x14ac:dyDescent="0.25">
      <c r="A911" s="1">
        <v>45665.875</v>
      </c>
      <c r="B911" t="s">
        <v>17</v>
      </c>
      <c r="C911">
        <v>351.84</v>
      </c>
      <c r="D911">
        <v>82.63</v>
      </c>
      <c r="E911" t="s">
        <v>9</v>
      </c>
      <c r="F911">
        <v>30.57</v>
      </c>
      <c r="G911" t="s">
        <v>10</v>
      </c>
      <c r="H911" t="s">
        <v>12</v>
      </c>
    </row>
    <row r="912" spans="1:8" x14ac:dyDescent="0.25">
      <c r="A912" s="1">
        <v>45665.916666666664</v>
      </c>
      <c r="B912" t="s">
        <v>17</v>
      </c>
      <c r="C912">
        <v>344.95</v>
      </c>
      <c r="D912">
        <v>14.7</v>
      </c>
      <c r="E912" t="s">
        <v>9</v>
      </c>
      <c r="F912">
        <v>85.65</v>
      </c>
      <c r="G912" t="s">
        <v>10</v>
      </c>
      <c r="H912" t="s">
        <v>11</v>
      </c>
    </row>
    <row r="913" spans="1:8" x14ac:dyDescent="0.25">
      <c r="A913" s="1">
        <v>45665.958333333336</v>
      </c>
      <c r="B913" t="s">
        <v>17</v>
      </c>
      <c r="C913">
        <v>206.5</v>
      </c>
      <c r="D913">
        <v>56.16</v>
      </c>
      <c r="E913" t="s">
        <v>9</v>
      </c>
      <c r="F913">
        <v>69.319999999999993</v>
      </c>
      <c r="G913" t="s">
        <v>10</v>
      </c>
      <c r="H913" t="s">
        <v>13</v>
      </c>
    </row>
    <row r="914" spans="1:8" x14ac:dyDescent="0.25">
      <c r="A914" s="1">
        <v>45666</v>
      </c>
      <c r="B914" t="s">
        <v>17</v>
      </c>
      <c r="C914">
        <v>273.69</v>
      </c>
      <c r="D914">
        <v>74.98</v>
      </c>
      <c r="E914" t="s">
        <v>9</v>
      </c>
      <c r="F914">
        <v>79.400000000000006</v>
      </c>
      <c r="G914" t="s">
        <v>10</v>
      </c>
      <c r="H914" t="s">
        <v>11</v>
      </c>
    </row>
    <row r="915" spans="1:8" x14ac:dyDescent="0.25">
      <c r="A915" s="1">
        <v>45666.041666666664</v>
      </c>
      <c r="B915" t="s">
        <v>17</v>
      </c>
      <c r="C915">
        <v>233.61</v>
      </c>
      <c r="D915">
        <v>69.69</v>
      </c>
      <c r="E915" t="s">
        <v>9</v>
      </c>
      <c r="F915">
        <v>44.99</v>
      </c>
      <c r="G915" t="s">
        <v>10</v>
      </c>
      <c r="H915" t="s">
        <v>11</v>
      </c>
    </row>
    <row r="916" spans="1:8" x14ac:dyDescent="0.25">
      <c r="A916" s="1">
        <v>45666.083333333336</v>
      </c>
      <c r="B916" t="s">
        <v>17</v>
      </c>
      <c r="C916">
        <v>119.67</v>
      </c>
      <c r="D916">
        <v>43.93</v>
      </c>
      <c r="E916" t="s">
        <v>9</v>
      </c>
      <c r="F916">
        <v>49.76</v>
      </c>
      <c r="G916" t="s">
        <v>10</v>
      </c>
      <c r="H916" t="s">
        <v>11</v>
      </c>
    </row>
    <row r="917" spans="1:8" x14ac:dyDescent="0.25">
      <c r="A917" s="1">
        <v>45666.125</v>
      </c>
      <c r="B917" t="s">
        <v>17</v>
      </c>
      <c r="C917">
        <v>496.92</v>
      </c>
      <c r="D917">
        <v>22.59</v>
      </c>
      <c r="E917" t="s">
        <v>9</v>
      </c>
      <c r="F917">
        <v>43.98</v>
      </c>
      <c r="G917" t="s">
        <v>10</v>
      </c>
      <c r="H917" t="s">
        <v>13</v>
      </c>
    </row>
    <row r="918" spans="1:8" x14ac:dyDescent="0.25">
      <c r="A918" s="1">
        <v>45666.166666666664</v>
      </c>
      <c r="B918" t="s">
        <v>17</v>
      </c>
      <c r="C918">
        <v>481.25</v>
      </c>
      <c r="D918">
        <v>21.92</v>
      </c>
      <c r="E918" t="s">
        <v>9</v>
      </c>
      <c r="F918">
        <v>30.9</v>
      </c>
      <c r="G918" t="s">
        <v>10</v>
      </c>
      <c r="H918" t="s">
        <v>11</v>
      </c>
    </row>
    <row r="919" spans="1:8" x14ac:dyDescent="0.25">
      <c r="A919" s="1">
        <v>45666.208333333336</v>
      </c>
      <c r="B919" t="s">
        <v>17</v>
      </c>
      <c r="C919">
        <v>96</v>
      </c>
      <c r="D919">
        <v>82.4</v>
      </c>
      <c r="E919" t="s">
        <v>9</v>
      </c>
      <c r="F919">
        <v>64.94</v>
      </c>
      <c r="G919" t="s">
        <v>10</v>
      </c>
      <c r="H919" t="s">
        <v>12</v>
      </c>
    </row>
    <row r="920" spans="1:8" x14ac:dyDescent="0.25">
      <c r="A920" s="1">
        <v>45666.25</v>
      </c>
      <c r="B920" t="s">
        <v>17</v>
      </c>
      <c r="C920">
        <v>431.79</v>
      </c>
      <c r="D920">
        <v>15.66</v>
      </c>
      <c r="E920" t="s">
        <v>9</v>
      </c>
      <c r="F920">
        <v>66.27</v>
      </c>
      <c r="G920" t="s">
        <v>10</v>
      </c>
      <c r="H920" t="s">
        <v>11</v>
      </c>
    </row>
    <row r="921" spans="1:8" x14ac:dyDescent="0.25">
      <c r="A921" s="1">
        <v>45666.291666666664</v>
      </c>
      <c r="B921" t="s">
        <v>17</v>
      </c>
      <c r="C921">
        <v>205.46</v>
      </c>
      <c r="D921">
        <v>35.020000000000003</v>
      </c>
      <c r="E921" t="s">
        <v>9</v>
      </c>
      <c r="F921">
        <v>55.83</v>
      </c>
      <c r="G921" t="s">
        <v>10</v>
      </c>
      <c r="H921" t="s">
        <v>13</v>
      </c>
    </row>
    <row r="922" spans="1:8" x14ac:dyDescent="0.25">
      <c r="A922" s="1">
        <v>45666.333333333336</v>
      </c>
      <c r="B922" t="s">
        <v>17</v>
      </c>
      <c r="C922">
        <v>353.4</v>
      </c>
      <c r="D922">
        <v>31.95</v>
      </c>
      <c r="E922" t="s">
        <v>9</v>
      </c>
      <c r="F922">
        <v>32.090000000000003</v>
      </c>
      <c r="G922" t="s">
        <v>10</v>
      </c>
      <c r="H922" t="s">
        <v>11</v>
      </c>
    </row>
    <row r="923" spans="1:8" x14ac:dyDescent="0.25">
      <c r="A923" s="1">
        <v>45666.375</v>
      </c>
      <c r="B923" t="s">
        <v>17</v>
      </c>
      <c r="C923">
        <v>180.14</v>
      </c>
      <c r="D923">
        <v>79.52</v>
      </c>
      <c r="E923" t="s">
        <v>9</v>
      </c>
      <c r="F923">
        <v>78.02</v>
      </c>
      <c r="G923" t="s">
        <v>10</v>
      </c>
      <c r="H923" t="s">
        <v>13</v>
      </c>
    </row>
    <row r="924" spans="1:8" x14ac:dyDescent="0.25">
      <c r="A924" s="1">
        <v>45666.416666666664</v>
      </c>
      <c r="B924" t="s">
        <v>17</v>
      </c>
      <c r="C924">
        <v>277.19</v>
      </c>
      <c r="D924">
        <v>85.86</v>
      </c>
      <c r="E924" t="s">
        <v>14</v>
      </c>
      <c r="F924">
        <v>51.49</v>
      </c>
      <c r="G924" t="s">
        <v>10</v>
      </c>
      <c r="H924" t="s">
        <v>11</v>
      </c>
    </row>
    <row r="925" spans="1:8" x14ac:dyDescent="0.25">
      <c r="A925" s="1">
        <v>45666.458333333336</v>
      </c>
      <c r="B925" t="s">
        <v>17</v>
      </c>
      <c r="C925">
        <v>238.16</v>
      </c>
      <c r="D925">
        <v>58.28</v>
      </c>
      <c r="E925" t="s">
        <v>9</v>
      </c>
      <c r="F925">
        <v>63.21</v>
      </c>
      <c r="G925" t="s">
        <v>10</v>
      </c>
      <c r="H925" t="s">
        <v>11</v>
      </c>
    </row>
    <row r="926" spans="1:8" x14ac:dyDescent="0.25">
      <c r="A926" s="1">
        <v>45666.5</v>
      </c>
      <c r="B926" t="s">
        <v>17</v>
      </c>
      <c r="C926">
        <v>252.12</v>
      </c>
      <c r="D926">
        <v>49.66</v>
      </c>
      <c r="E926" t="s">
        <v>9</v>
      </c>
      <c r="F926">
        <v>35.47</v>
      </c>
      <c r="G926" t="s">
        <v>10</v>
      </c>
      <c r="H926" t="s">
        <v>13</v>
      </c>
    </row>
    <row r="927" spans="1:8" x14ac:dyDescent="0.25">
      <c r="A927" s="1">
        <v>45666.541666666664</v>
      </c>
      <c r="B927" t="s">
        <v>17</v>
      </c>
      <c r="C927">
        <v>146.18</v>
      </c>
      <c r="D927">
        <v>29.95</v>
      </c>
      <c r="E927" t="s">
        <v>9</v>
      </c>
      <c r="F927">
        <v>54.77</v>
      </c>
      <c r="G927" t="s">
        <v>10</v>
      </c>
      <c r="H927" t="s">
        <v>13</v>
      </c>
    </row>
    <row r="928" spans="1:8" x14ac:dyDescent="0.25">
      <c r="A928" s="1">
        <v>45666.583333333336</v>
      </c>
      <c r="B928" t="s">
        <v>17</v>
      </c>
      <c r="C928">
        <v>100.44</v>
      </c>
      <c r="D928">
        <v>49.69</v>
      </c>
      <c r="E928" t="s">
        <v>9</v>
      </c>
      <c r="F928">
        <v>58.74</v>
      </c>
      <c r="G928" t="s">
        <v>10</v>
      </c>
      <c r="H928" t="s">
        <v>12</v>
      </c>
    </row>
    <row r="929" spans="1:8" x14ac:dyDescent="0.25">
      <c r="A929" s="1">
        <v>45666.625</v>
      </c>
      <c r="B929" t="s">
        <v>17</v>
      </c>
      <c r="C929">
        <v>227.66</v>
      </c>
      <c r="D929">
        <v>91.22</v>
      </c>
      <c r="E929" t="s">
        <v>14</v>
      </c>
      <c r="F929">
        <v>59.11</v>
      </c>
      <c r="G929" t="s">
        <v>10</v>
      </c>
      <c r="H929" t="s">
        <v>12</v>
      </c>
    </row>
    <row r="930" spans="1:8" x14ac:dyDescent="0.25">
      <c r="A930" s="1">
        <v>45666.666666666664</v>
      </c>
      <c r="B930" t="s">
        <v>17</v>
      </c>
      <c r="C930">
        <v>235.44</v>
      </c>
      <c r="D930">
        <v>16.88</v>
      </c>
      <c r="E930" t="s">
        <v>9</v>
      </c>
      <c r="F930">
        <v>59.88</v>
      </c>
      <c r="G930" t="s">
        <v>10</v>
      </c>
      <c r="H930" t="s">
        <v>13</v>
      </c>
    </row>
    <row r="931" spans="1:8" x14ac:dyDescent="0.25">
      <c r="A931" s="1">
        <v>45666.708333333336</v>
      </c>
      <c r="B931" t="s">
        <v>17</v>
      </c>
      <c r="C931">
        <v>301.48</v>
      </c>
      <c r="D931">
        <v>71.28</v>
      </c>
      <c r="E931" t="s">
        <v>9</v>
      </c>
      <c r="F931">
        <v>40.65</v>
      </c>
      <c r="G931" t="s">
        <v>10</v>
      </c>
      <c r="H931" t="s">
        <v>12</v>
      </c>
    </row>
    <row r="932" spans="1:8" x14ac:dyDescent="0.25">
      <c r="A932" s="1">
        <v>45666.75</v>
      </c>
      <c r="B932" t="s">
        <v>17</v>
      </c>
      <c r="C932">
        <v>61.46</v>
      </c>
      <c r="D932">
        <v>19.149999999999999</v>
      </c>
      <c r="E932" t="s">
        <v>9</v>
      </c>
      <c r="F932">
        <v>43.26</v>
      </c>
      <c r="G932" t="s">
        <v>10</v>
      </c>
      <c r="H932" t="s">
        <v>12</v>
      </c>
    </row>
    <row r="933" spans="1:8" x14ac:dyDescent="0.25">
      <c r="A933" s="1">
        <v>45666.791666666664</v>
      </c>
      <c r="B933" t="s">
        <v>17</v>
      </c>
      <c r="C933">
        <v>273.94</v>
      </c>
      <c r="D933">
        <v>31.35</v>
      </c>
      <c r="E933" t="s">
        <v>9</v>
      </c>
      <c r="F933">
        <v>33.6</v>
      </c>
      <c r="G933" t="s">
        <v>10</v>
      </c>
      <c r="H933" t="s">
        <v>12</v>
      </c>
    </row>
    <row r="934" spans="1:8" x14ac:dyDescent="0.25">
      <c r="A934" s="1">
        <v>45666.833333333336</v>
      </c>
      <c r="B934" t="s">
        <v>17</v>
      </c>
      <c r="C934">
        <v>114.66</v>
      </c>
      <c r="D934">
        <v>71.510000000000005</v>
      </c>
      <c r="E934" t="s">
        <v>9</v>
      </c>
      <c r="F934">
        <v>62.02</v>
      </c>
      <c r="G934" t="s">
        <v>10</v>
      </c>
      <c r="H934" t="s">
        <v>11</v>
      </c>
    </row>
    <row r="935" spans="1:8" x14ac:dyDescent="0.25">
      <c r="A935" s="1">
        <v>45666.875</v>
      </c>
      <c r="B935" t="s">
        <v>17</v>
      </c>
      <c r="C935">
        <v>456.98</v>
      </c>
      <c r="D935">
        <v>94.91</v>
      </c>
      <c r="E935" t="s">
        <v>14</v>
      </c>
      <c r="F935">
        <v>89.23</v>
      </c>
      <c r="G935" t="s">
        <v>10</v>
      </c>
      <c r="H935" t="s">
        <v>12</v>
      </c>
    </row>
    <row r="936" spans="1:8" x14ac:dyDescent="0.25">
      <c r="A936" s="1">
        <v>45666.916666666664</v>
      </c>
      <c r="B936" t="s">
        <v>17</v>
      </c>
      <c r="C936">
        <v>227.6</v>
      </c>
      <c r="D936">
        <v>69.62</v>
      </c>
      <c r="E936" t="s">
        <v>9</v>
      </c>
      <c r="F936">
        <v>55</v>
      </c>
      <c r="G936" t="s">
        <v>10</v>
      </c>
      <c r="H936" t="s">
        <v>13</v>
      </c>
    </row>
    <row r="937" spans="1:8" x14ac:dyDescent="0.25">
      <c r="A937" s="1">
        <v>45666.958333333336</v>
      </c>
      <c r="B937" t="s">
        <v>17</v>
      </c>
      <c r="C937">
        <v>89.12</v>
      </c>
      <c r="D937">
        <v>32.049999999999997</v>
      </c>
      <c r="E937" t="s">
        <v>9</v>
      </c>
      <c r="F937">
        <v>41.28</v>
      </c>
      <c r="G937" t="s">
        <v>10</v>
      </c>
      <c r="H937" t="s">
        <v>13</v>
      </c>
    </row>
    <row r="938" spans="1:8" x14ac:dyDescent="0.25">
      <c r="A938" s="1">
        <v>45667</v>
      </c>
      <c r="B938" t="s">
        <v>17</v>
      </c>
      <c r="C938">
        <v>346.23</v>
      </c>
      <c r="D938">
        <v>35.369999999999997</v>
      </c>
      <c r="E938" t="s">
        <v>9</v>
      </c>
      <c r="F938">
        <v>30.72</v>
      </c>
      <c r="G938" t="s">
        <v>10</v>
      </c>
      <c r="H938" t="s">
        <v>13</v>
      </c>
    </row>
    <row r="939" spans="1:8" x14ac:dyDescent="0.25">
      <c r="A939" s="1">
        <v>45667.041666666664</v>
      </c>
      <c r="B939" t="s">
        <v>17</v>
      </c>
      <c r="C939">
        <v>52.67</v>
      </c>
      <c r="D939">
        <v>44.47</v>
      </c>
      <c r="E939" t="s">
        <v>9</v>
      </c>
      <c r="F939">
        <v>33.79</v>
      </c>
      <c r="G939" t="s">
        <v>10</v>
      </c>
      <c r="H939" t="s">
        <v>12</v>
      </c>
    </row>
    <row r="940" spans="1:8" x14ac:dyDescent="0.25">
      <c r="A940" s="1">
        <v>45667.083333333336</v>
      </c>
      <c r="B940" t="s">
        <v>17</v>
      </c>
      <c r="C940">
        <v>256.77</v>
      </c>
      <c r="D940">
        <v>42.33</v>
      </c>
      <c r="E940" t="s">
        <v>9</v>
      </c>
      <c r="F940">
        <v>67.650000000000006</v>
      </c>
      <c r="G940" t="s">
        <v>10</v>
      </c>
      <c r="H940" t="s">
        <v>13</v>
      </c>
    </row>
    <row r="941" spans="1:8" x14ac:dyDescent="0.25">
      <c r="A941" s="1">
        <v>45667.125</v>
      </c>
      <c r="B941" t="s">
        <v>17</v>
      </c>
      <c r="C941">
        <v>156.76</v>
      </c>
      <c r="D941">
        <v>35.28</v>
      </c>
      <c r="E941" t="s">
        <v>9</v>
      </c>
      <c r="F941">
        <v>60.27</v>
      </c>
      <c r="G941" t="s">
        <v>10</v>
      </c>
      <c r="H941" t="s">
        <v>12</v>
      </c>
    </row>
    <row r="942" spans="1:8" x14ac:dyDescent="0.25">
      <c r="A942" s="1">
        <v>45667.166666666664</v>
      </c>
      <c r="B942" t="s">
        <v>17</v>
      </c>
      <c r="C942">
        <v>438.6</v>
      </c>
      <c r="D942">
        <v>68.59</v>
      </c>
      <c r="E942" t="s">
        <v>9</v>
      </c>
      <c r="F942">
        <v>42.88</v>
      </c>
      <c r="G942" t="s">
        <v>10</v>
      </c>
      <c r="H942" t="s">
        <v>11</v>
      </c>
    </row>
    <row r="943" spans="1:8" x14ac:dyDescent="0.25">
      <c r="A943" s="1">
        <v>45667.208333333336</v>
      </c>
      <c r="B943" t="s">
        <v>17</v>
      </c>
      <c r="C943">
        <v>412.69</v>
      </c>
      <c r="D943">
        <v>37.450000000000003</v>
      </c>
      <c r="E943" t="s">
        <v>9</v>
      </c>
      <c r="F943">
        <v>69.849999999999994</v>
      </c>
      <c r="G943" t="s">
        <v>10</v>
      </c>
      <c r="H943" t="s">
        <v>11</v>
      </c>
    </row>
    <row r="944" spans="1:8" x14ac:dyDescent="0.25">
      <c r="A944" s="1">
        <v>45667.25</v>
      </c>
      <c r="B944" t="s">
        <v>17</v>
      </c>
      <c r="C944">
        <v>384.22</v>
      </c>
      <c r="D944">
        <v>82.58</v>
      </c>
      <c r="E944" t="s">
        <v>9</v>
      </c>
      <c r="F944">
        <v>33.83</v>
      </c>
      <c r="G944" t="s">
        <v>10</v>
      </c>
      <c r="H944" t="s">
        <v>11</v>
      </c>
    </row>
    <row r="945" spans="1:8" x14ac:dyDescent="0.25">
      <c r="A945" s="1">
        <v>45667.291666666664</v>
      </c>
      <c r="B945" t="s">
        <v>17</v>
      </c>
      <c r="C945">
        <v>166.33</v>
      </c>
      <c r="D945">
        <v>86.95</v>
      </c>
      <c r="E945" t="s">
        <v>14</v>
      </c>
      <c r="F945">
        <v>79.42</v>
      </c>
      <c r="G945" t="s">
        <v>10</v>
      </c>
      <c r="H945" t="s">
        <v>11</v>
      </c>
    </row>
    <row r="946" spans="1:8" x14ac:dyDescent="0.25">
      <c r="A946" s="1">
        <v>45667.333333333336</v>
      </c>
      <c r="B946" t="s">
        <v>17</v>
      </c>
      <c r="C946">
        <v>365.34</v>
      </c>
      <c r="D946">
        <v>72.86</v>
      </c>
      <c r="E946" t="s">
        <v>9</v>
      </c>
      <c r="F946">
        <v>86.56</v>
      </c>
      <c r="G946" t="s">
        <v>10</v>
      </c>
      <c r="H946" t="s">
        <v>12</v>
      </c>
    </row>
    <row r="947" spans="1:8" x14ac:dyDescent="0.25">
      <c r="A947" s="1">
        <v>45667.375</v>
      </c>
      <c r="B947" t="s">
        <v>17</v>
      </c>
      <c r="C947">
        <v>231.71</v>
      </c>
      <c r="D947">
        <v>31.39</v>
      </c>
      <c r="E947" t="s">
        <v>9</v>
      </c>
      <c r="F947">
        <v>51.36</v>
      </c>
      <c r="G947" t="s">
        <v>10</v>
      </c>
      <c r="H947" t="s">
        <v>12</v>
      </c>
    </row>
    <row r="948" spans="1:8" x14ac:dyDescent="0.25">
      <c r="A948" s="1">
        <v>45667.416666666664</v>
      </c>
      <c r="B948" t="s">
        <v>17</v>
      </c>
      <c r="C948">
        <v>129.24</v>
      </c>
      <c r="D948">
        <v>74.209999999999994</v>
      </c>
      <c r="E948" t="s">
        <v>9</v>
      </c>
      <c r="F948">
        <v>45.12</v>
      </c>
      <c r="G948" t="s">
        <v>10</v>
      </c>
      <c r="H948" t="s">
        <v>11</v>
      </c>
    </row>
    <row r="949" spans="1:8" x14ac:dyDescent="0.25">
      <c r="A949" s="1">
        <v>45667.458333333336</v>
      </c>
      <c r="B949" t="s">
        <v>17</v>
      </c>
      <c r="C949">
        <v>491.93</v>
      </c>
      <c r="D949">
        <v>45.68</v>
      </c>
      <c r="E949" t="s">
        <v>9</v>
      </c>
      <c r="F949">
        <v>34.799999999999997</v>
      </c>
      <c r="G949" t="s">
        <v>10</v>
      </c>
      <c r="H949" t="s">
        <v>11</v>
      </c>
    </row>
    <row r="950" spans="1:8" x14ac:dyDescent="0.25">
      <c r="A950" s="1">
        <v>45667.5</v>
      </c>
      <c r="B950" t="s">
        <v>17</v>
      </c>
      <c r="C950">
        <v>315.83999999999997</v>
      </c>
      <c r="D950">
        <v>62.55</v>
      </c>
      <c r="E950" t="s">
        <v>9</v>
      </c>
      <c r="F950">
        <v>55.13</v>
      </c>
      <c r="G950" t="s">
        <v>10</v>
      </c>
      <c r="H950" t="s">
        <v>13</v>
      </c>
    </row>
    <row r="951" spans="1:8" x14ac:dyDescent="0.25">
      <c r="A951" s="1">
        <v>45667.541666666664</v>
      </c>
      <c r="B951" t="s">
        <v>17</v>
      </c>
      <c r="C951">
        <v>154.96</v>
      </c>
      <c r="D951">
        <v>73.45</v>
      </c>
      <c r="E951" t="s">
        <v>9</v>
      </c>
      <c r="F951">
        <v>31.85</v>
      </c>
      <c r="G951" t="s">
        <v>10</v>
      </c>
      <c r="H951" t="s">
        <v>11</v>
      </c>
    </row>
    <row r="952" spans="1:8" x14ac:dyDescent="0.25">
      <c r="A952" s="1">
        <v>45667.583333333336</v>
      </c>
      <c r="B952" t="s">
        <v>17</v>
      </c>
      <c r="C952">
        <v>117.3</v>
      </c>
      <c r="D952">
        <v>22.41</v>
      </c>
      <c r="E952" t="s">
        <v>9</v>
      </c>
      <c r="F952">
        <v>37.409999999999997</v>
      </c>
      <c r="G952" t="s">
        <v>10</v>
      </c>
      <c r="H952" t="s">
        <v>12</v>
      </c>
    </row>
    <row r="953" spans="1:8" x14ac:dyDescent="0.25">
      <c r="A953" s="1">
        <v>45667.625</v>
      </c>
      <c r="B953" t="s">
        <v>17</v>
      </c>
      <c r="C953">
        <v>368.55</v>
      </c>
      <c r="D953">
        <v>74.59</v>
      </c>
      <c r="E953" t="s">
        <v>9</v>
      </c>
      <c r="F953">
        <v>41.82</v>
      </c>
      <c r="G953" t="s">
        <v>10</v>
      </c>
      <c r="H953" t="s">
        <v>11</v>
      </c>
    </row>
    <row r="954" spans="1:8" x14ac:dyDescent="0.25">
      <c r="A954" s="1">
        <v>45667.666666666664</v>
      </c>
      <c r="B954" t="s">
        <v>17</v>
      </c>
      <c r="C954">
        <v>128.11000000000001</v>
      </c>
      <c r="D954">
        <v>91.58</v>
      </c>
      <c r="E954" t="s">
        <v>14</v>
      </c>
      <c r="F954">
        <v>81.28</v>
      </c>
      <c r="G954" t="s">
        <v>10</v>
      </c>
      <c r="H954" t="s">
        <v>13</v>
      </c>
    </row>
    <row r="955" spans="1:8" x14ac:dyDescent="0.25">
      <c r="A955" s="1">
        <v>45667.708333333336</v>
      </c>
      <c r="B955" t="s">
        <v>17</v>
      </c>
      <c r="C955">
        <v>197.4</v>
      </c>
      <c r="D955">
        <v>31.01</v>
      </c>
      <c r="E955" t="s">
        <v>9</v>
      </c>
      <c r="F955">
        <v>59.51</v>
      </c>
      <c r="G955" t="s">
        <v>10</v>
      </c>
      <c r="H955" t="s">
        <v>12</v>
      </c>
    </row>
    <row r="956" spans="1:8" x14ac:dyDescent="0.25">
      <c r="A956" s="1">
        <v>45667.75</v>
      </c>
      <c r="B956" t="s">
        <v>17</v>
      </c>
      <c r="C956">
        <v>101.1</v>
      </c>
      <c r="D956">
        <v>79.290000000000006</v>
      </c>
      <c r="E956" t="s">
        <v>9</v>
      </c>
      <c r="F956">
        <v>45.19</v>
      </c>
      <c r="G956" t="s">
        <v>10</v>
      </c>
      <c r="H956" t="s">
        <v>13</v>
      </c>
    </row>
    <row r="957" spans="1:8" x14ac:dyDescent="0.25">
      <c r="A957" s="1">
        <v>45667.791666666664</v>
      </c>
      <c r="B957" t="s">
        <v>17</v>
      </c>
      <c r="C957">
        <v>315.67</v>
      </c>
      <c r="D957">
        <v>19.690000000000001</v>
      </c>
      <c r="E957" t="s">
        <v>9</v>
      </c>
      <c r="F957">
        <v>31.58</v>
      </c>
      <c r="G957" t="s">
        <v>10</v>
      </c>
      <c r="H957" t="s">
        <v>11</v>
      </c>
    </row>
    <row r="958" spans="1:8" x14ac:dyDescent="0.25">
      <c r="A958" s="1">
        <v>45667.833333333336</v>
      </c>
      <c r="B958" t="s">
        <v>17</v>
      </c>
      <c r="C958">
        <v>229.35</v>
      </c>
      <c r="D958">
        <v>27.79</v>
      </c>
      <c r="E958" t="s">
        <v>9</v>
      </c>
      <c r="F958">
        <v>45.28</v>
      </c>
      <c r="G958" t="s">
        <v>10</v>
      </c>
      <c r="H958" t="s">
        <v>12</v>
      </c>
    </row>
    <row r="959" spans="1:8" x14ac:dyDescent="0.25">
      <c r="A959" s="1">
        <v>45667.875</v>
      </c>
      <c r="B959" t="s">
        <v>17</v>
      </c>
      <c r="C959">
        <v>270.7</v>
      </c>
      <c r="D959">
        <v>17.010000000000002</v>
      </c>
      <c r="E959" t="s">
        <v>9</v>
      </c>
      <c r="F959">
        <v>62.12</v>
      </c>
      <c r="G959" t="s">
        <v>10</v>
      </c>
      <c r="H959" t="s">
        <v>13</v>
      </c>
    </row>
    <row r="960" spans="1:8" x14ac:dyDescent="0.25">
      <c r="A960" s="1">
        <v>45667.916666666664</v>
      </c>
      <c r="B960" t="s">
        <v>17</v>
      </c>
      <c r="C960">
        <v>106.87</v>
      </c>
      <c r="D960">
        <v>92.88</v>
      </c>
      <c r="E960" t="s">
        <v>14</v>
      </c>
      <c r="F960">
        <v>43.84</v>
      </c>
      <c r="G960" t="s">
        <v>10</v>
      </c>
      <c r="H960" t="s">
        <v>13</v>
      </c>
    </row>
    <row r="961" spans="1:8" x14ac:dyDescent="0.25">
      <c r="A961" s="1">
        <v>45667.958333333336</v>
      </c>
      <c r="B961" t="s">
        <v>17</v>
      </c>
      <c r="C961">
        <v>202.54</v>
      </c>
      <c r="D961">
        <v>25.59</v>
      </c>
      <c r="E961" t="s">
        <v>9</v>
      </c>
      <c r="F961">
        <v>81.47</v>
      </c>
      <c r="G961" t="s">
        <v>10</v>
      </c>
      <c r="H961" t="s">
        <v>13</v>
      </c>
    </row>
    <row r="962" spans="1:8" x14ac:dyDescent="0.25">
      <c r="A962" s="1">
        <v>45668</v>
      </c>
      <c r="B962" t="s">
        <v>17</v>
      </c>
      <c r="C962">
        <v>123.6</v>
      </c>
      <c r="D962">
        <v>49.3</v>
      </c>
      <c r="E962" t="s">
        <v>9</v>
      </c>
      <c r="F962">
        <v>57.14</v>
      </c>
      <c r="G962" t="s">
        <v>10</v>
      </c>
      <c r="H962" t="s">
        <v>12</v>
      </c>
    </row>
    <row r="963" spans="1:8" x14ac:dyDescent="0.25">
      <c r="A963" s="1">
        <v>45668.041666666664</v>
      </c>
      <c r="B963" t="s">
        <v>17</v>
      </c>
      <c r="C963">
        <v>273.12</v>
      </c>
      <c r="D963">
        <v>73.31</v>
      </c>
      <c r="E963" t="s">
        <v>9</v>
      </c>
      <c r="F963">
        <v>35.270000000000003</v>
      </c>
      <c r="G963" t="s">
        <v>10</v>
      </c>
      <c r="H963" t="s">
        <v>13</v>
      </c>
    </row>
    <row r="964" spans="1:8" x14ac:dyDescent="0.25">
      <c r="A964" s="1">
        <v>45668.083333333336</v>
      </c>
      <c r="B964" t="s">
        <v>17</v>
      </c>
      <c r="C964">
        <v>453.12</v>
      </c>
      <c r="D964">
        <v>18.68</v>
      </c>
      <c r="E964" t="s">
        <v>9</v>
      </c>
      <c r="F964">
        <v>38.44</v>
      </c>
      <c r="G964" t="s">
        <v>10</v>
      </c>
      <c r="H964" t="s">
        <v>13</v>
      </c>
    </row>
    <row r="965" spans="1:8" x14ac:dyDescent="0.25">
      <c r="A965" s="1">
        <v>45668.125</v>
      </c>
      <c r="B965" t="s">
        <v>17</v>
      </c>
      <c r="C965">
        <v>275.14999999999998</v>
      </c>
      <c r="D965">
        <v>53.17</v>
      </c>
      <c r="E965" t="s">
        <v>9</v>
      </c>
      <c r="F965">
        <v>39.47</v>
      </c>
      <c r="G965" t="s">
        <v>10</v>
      </c>
      <c r="H965" t="s">
        <v>11</v>
      </c>
    </row>
    <row r="966" spans="1:8" x14ac:dyDescent="0.25">
      <c r="A966" s="1">
        <v>45668.166666666664</v>
      </c>
      <c r="B966" t="s">
        <v>17</v>
      </c>
      <c r="C966">
        <v>393.63</v>
      </c>
      <c r="D966">
        <v>34.92</v>
      </c>
      <c r="E966" t="s">
        <v>9</v>
      </c>
      <c r="F966">
        <v>58.85</v>
      </c>
      <c r="G966" t="s">
        <v>10</v>
      </c>
      <c r="H966" t="s">
        <v>13</v>
      </c>
    </row>
    <row r="967" spans="1:8" x14ac:dyDescent="0.25">
      <c r="A967" s="1">
        <v>45668.208333333336</v>
      </c>
      <c r="B967" t="s">
        <v>17</v>
      </c>
      <c r="C967">
        <v>298.47000000000003</v>
      </c>
      <c r="D967">
        <v>74.98</v>
      </c>
      <c r="E967" t="s">
        <v>9</v>
      </c>
      <c r="F967">
        <v>46.92</v>
      </c>
      <c r="G967" t="s">
        <v>10</v>
      </c>
      <c r="H967" t="s">
        <v>13</v>
      </c>
    </row>
    <row r="968" spans="1:8" x14ac:dyDescent="0.25">
      <c r="A968" s="1">
        <v>45668.25</v>
      </c>
      <c r="B968" t="s">
        <v>17</v>
      </c>
      <c r="C968">
        <v>395.54</v>
      </c>
      <c r="D968">
        <v>17.28</v>
      </c>
      <c r="E968" t="s">
        <v>9</v>
      </c>
      <c r="F968">
        <v>37.369999999999997</v>
      </c>
      <c r="G968" t="s">
        <v>10</v>
      </c>
      <c r="H968" t="s">
        <v>11</v>
      </c>
    </row>
    <row r="969" spans="1:8" x14ac:dyDescent="0.25">
      <c r="A969" s="1">
        <v>45668.291666666664</v>
      </c>
      <c r="B969" t="s">
        <v>17</v>
      </c>
      <c r="C969">
        <v>322.39999999999998</v>
      </c>
      <c r="D969">
        <v>21.06</v>
      </c>
      <c r="E969" t="s">
        <v>9</v>
      </c>
      <c r="F969">
        <v>32.19</v>
      </c>
      <c r="G969" t="s">
        <v>10</v>
      </c>
      <c r="H969" t="s">
        <v>11</v>
      </c>
    </row>
    <row r="970" spans="1:8" x14ac:dyDescent="0.25">
      <c r="A970" s="1">
        <v>45668.333333333336</v>
      </c>
      <c r="B970" t="s">
        <v>17</v>
      </c>
      <c r="C970">
        <v>182.43</v>
      </c>
      <c r="D970">
        <v>21</v>
      </c>
      <c r="E970" t="s">
        <v>9</v>
      </c>
      <c r="F970">
        <v>75.569999999999993</v>
      </c>
      <c r="G970" t="s">
        <v>10</v>
      </c>
      <c r="H970" t="s">
        <v>12</v>
      </c>
    </row>
    <row r="971" spans="1:8" x14ac:dyDescent="0.25">
      <c r="A971" s="1">
        <v>45668.375</v>
      </c>
      <c r="B971" t="s">
        <v>17</v>
      </c>
      <c r="C971">
        <v>309.67</v>
      </c>
      <c r="D971">
        <v>41.72</v>
      </c>
      <c r="E971" t="s">
        <v>9</v>
      </c>
      <c r="F971">
        <v>35.03</v>
      </c>
      <c r="G971" t="s">
        <v>10</v>
      </c>
      <c r="H971" t="s">
        <v>13</v>
      </c>
    </row>
    <row r="972" spans="1:8" x14ac:dyDescent="0.25">
      <c r="A972" s="1">
        <v>45668.416666666664</v>
      </c>
      <c r="B972" t="s">
        <v>17</v>
      </c>
      <c r="C972">
        <v>185.67</v>
      </c>
      <c r="D972">
        <v>92.41</v>
      </c>
      <c r="E972" t="s">
        <v>14</v>
      </c>
      <c r="F972">
        <v>72.180000000000007</v>
      </c>
      <c r="G972" t="s">
        <v>10</v>
      </c>
      <c r="H972" t="s">
        <v>13</v>
      </c>
    </row>
    <row r="973" spans="1:8" x14ac:dyDescent="0.25">
      <c r="A973" s="1">
        <v>45668.458333333336</v>
      </c>
      <c r="B973" t="s">
        <v>17</v>
      </c>
      <c r="C973">
        <v>185.83</v>
      </c>
      <c r="D973">
        <v>66.67</v>
      </c>
      <c r="E973" t="s">
        <v>9</v>
      </c>
      <c r="F973">
        <v>49.74</v>
      </c>
      <c r="G973" t="s">
        <v>10</v>
      </c>
      <c r="H973" t="s">
        <v>13</v>
      </c>
    </row>
    <row r="974" spans="1:8" x14ac:dyDescent="0.25">
      <c r="A974" s="1">
        <v>45668.5</v>
      </c>
      <c r="B974" t="s">
        <v>17</v>
      </c>
      <c r="C974">
        <v>428.87</v>
      </c>
      <c r="D974">
        <v>61.25</v>
      </c>
      <c r="E974" t="s">
        <v>9</v>
      </c>
      <c r="F974">
        <v>33.69</v>
      </c>
      <c r="G974" t="s">
        <v>10</v>
      </c>
      <c r="H974" t="s">
        <v>12</v>
      </c>
    </row>
    <row r="975" spans="1:8" x14ac:dyDescent="0.25">
      <c r="A975" s="1">
        <v>45668.541666666664</v>
      </c>
      <c r="B975" t="s">
        <v>17</v>
      </c>
      <c r="C975">
        <v>53.72</v>
      </c>
      <c r="D975">
        <v>77.180000000000007</v>
      </c>
      <c r="E975" t="s">
        <v>9</v>
      </c>
      <c r="F975">
        <v>70</v>
      </c>
      <c r="G975" t="s">
        <v>10</v>
      </c>
      <c r="H975" t="s">
        <v>12</v>
      </c>
    </row>
    <row r="976" spans="1:8" x14ac:dyDescent="0.25">
      <c r="A976" s="1">
        <v>45668.583333333336</v>
      </c>
      <c r="B976" t="s">
        <v>17</v>
      </c>
      <c r="C976">
        <v>181.6</v>
      </c>
      <c r="D976">
        <v>78.66</v>
      </c>
      <c r="E976" t="s">
        <v>9</v>
      </c>
      <c r="F976">
        <v>77</v>
      </c>
      <c r="G976" t="s">
        <v>10</v>
      </c>
      <c r="H976" t="s">
        <v>11</v>
      </c>
    </row>
    <row r="977" spans="1:8" x14ac:dyDescent="0.25">
      <c r="A977" s="1">
        <v>45668.625</v>
      </c>
      <c r="B977" t="s">
        <v>17</v>
      </c>
      <c r="C977">
        <v>308.07</v>
      </c>
      <c r="D977">
        <v>83.14</v>
      </c>
      <c r="E977" t="s">
        <v>9</v>
      </c>
      <c r="F977">
        <v>44.52</v>
      </c>
      <c r="G977" t="s">
        <v>10</v>
      </c>
      <c r="H977" t="s">
        <v>11</v>
      </c>
    </row>
    <row r="978" spans="1:8" x14ac:dyDescent="0.25">
      <c r="A978" s="1">
        <v>45668.666666666664</v>
      </c>
      <c r="B978" t="s">
        <v>17</v>
      </c>
      <c r="C978">
        <v>87.2</v>
      </c>
      <c r="D978">
        <v>24.22</v>
      </c>
      <c r="E978" t="s">
        <v>9</v>
      </c>
      <c r="F978">
        <v>41.12</v>
      </c>
      <c r="G978" t="s">
        <v>10</v>
      </c>
      <c r="H978" t="s">
        <v>13</v>
      </c>
    </row>
    <row r="979" spans="1:8" x14ac:dyDescent="0.25">
      <c r="A979" s="1">
        <v>45668.708333333336</v>
      </c>
      <c r="B979" t="s">
        <v>17</v>
      </c>
      <c r="C979">
        <v>345.74</v>
      </c>
      <c r="D979">
        <v>49.57</v>
      </c>
      <c r="E979" t="s">
        <v>9</v>
      </c>
      <c r="F979">
        <v>32.69</v>
      </c>
      <c r="G979" t="s">
        <v>10</v>
      </c>
      <c r="H979" t="s">
        <v>11</v>
      </c>
    </row>
    <row r="980" spans="1:8" x14ac:dyDescent="0.25">
      <c r="A980" s="1">
        <v>45668.75</v>
      </c>
      <c r="B980" t="s">
        <v>17</v>
      </c>
      <c r="C980">
        <v>286.51</v>
      </c>
      <c r="D980">
        <v>54.23</v>
      </c>
      <c r="E980" t="s">
        <v>9</v>
      </c>
      <c r="F980">
        <v>38.65</v>
      </c>
      <c r="G980" t="s">
        <v>10</v>
      </c>
      <c r="H980" t="s">
        <v>13</v>
      </c>
    </row>
    <row r="981" spans="1:8" x14ac:dyDescent="0.25">
      <c r="A981" s="1">
        <v>45668.791666666664</v>
      </c>
      <c r="B981" t="s">
        <v>17</v>
      </c>
      <c r="C981">
        <v>105.96</v>
      </c>
      <c r="D981">
        <v>31.35</v>
      </c>
      <c r="E981" t="s">
        <v>9</v>
      </c>
      <c r="F981">
        <v>33.869999999999997</v>
      </c>
      <c r="G981" t="s">
        <v>10</v>
      </c>
      <c r="H981" t="s">
        <v>13</v>
      </c>
    </row>
    <row r="982" spans="1:8" x14ac:dyDescent="0.25">
      <c r="A982" s="1">
        <v>45668.833333333336</v>
      </c>
      <c r="B982" t="s">
        <v>17</v>
      </c>
      <c r="C982">
        <v>329.91</v>
      </c>
      <c r="D982">
        <v>54.97</v>
      </c>
      <c r="E982" t="s">
        <v>9</v>
      </c>
      <c r="F982">
        <v>79.03</v>
      </c>
      <c r="G982" t="s">
        <v>10</v>
      </c>
      <c r="H982" t="s">
        <v>13</v>
      </c>
    </row>
    <row r="983" spans="1:8" x14ac:dyDescent="0.25">
      <c r="A983" s="1">
        <v>45668.875</v>
      </c>
      <c r="B983" t="s">
        <v>17</v>
      </c>
      <c r="C983">
        <v>327.02999999999997</v>
      </c>
      <c r="D983">
        <v>15.03</v>
      </c>
      <c r="E983" t="s">
        <v>9</v>
      </c>
      <c r="F983">
        <v>71.709999999999994</v>
      </c>
      <c r="G983" t="s">
        <v>10</v>
      </c>
      <c r="H983" t="s">
        <v>12</v>
      </c>
    </row>
    <row r="984" spans="1:8" x14ac:dyDescent="0.25">
      <c r="A984" s="1">
        <v>45668.916666666664</v>
      </c>
      <c r="B984" t="s">
        <v>17</v>
      </c>
      <c r="C984">
        <v>140.37</v>
      </c>
      <c r="D984">
        <v>50.61</v>
      </c>
      <c r="E984" t="s">
        <v>9</v>
      </c>
      <c r="F984">
        <v>71.510000000000005</v>
      </c>
      <c r="G984" t="s">
        <v>10</v>
      </c>
      <c r="H984" t="s">
        <v>13</v>
      </c>
    </row>
    <row r="985" spans="1:8" x14ac:dyDescent="0.25">
      <c r="A985" s="1">
        <v>45668.958333333336</v>
      </c>
      <c r="B985" t="s">
        <v>17</v>
      </c>
      <c r="C985">
        <v>462.69</v>
      </c>
      <c r="D985">
        <v>24.85</v>
      </c>
      <c r="E985" t="s">
        <v>9</v>
      </c>
      <c r="F985">
        <v>70.290000000000006</v>
      </c>
      <c r="G985" t="s">
        <v>10</v>
      </c>
      <c r="H985" t="s">
        <v>11</v>
      </c>
    </row>
    <row r="986" spans="1:8" x14ac:dyDescent="0.25">
      <c r="A986" s="1">
        <v>45669</v>
      </c>
      <c r="B986" t="s">
        <v>17</v>
      </c>
      <c r="C986">
        <v>462.56</v>
      </c>
      <c r="D986">
        <v>59.38</v>
      </c>
      <c r="E986" t="s">
        <v>9</v>
      </c>
      <c r="F986">
        <v>39.229999999999997</v>
      </c>
      <c r="G986" t="s">
        <v>10</v>
      </c>
      <c r="H986" t="s">
        <v>12</v>
      </c>
    </row>
    <row r="987" spans="1:8" x14ac:dyDescent="0.25">
      <c r="A987" s="1">
        <v>45669.041666666664</v>
      </c>
      <c r="B987" t="s">
        <v>17</v>
      </c>
      <c r="C987">
        <v>199.85</v>
      </c>
      <c r="D987">
        <v>44.26</v>
      </c>
      <c r="E987" t="s">
        <v>9</v>
      </c>
      <c r="F987">
        <v>42.86</v>
      </c>
      <c r="G987" t="s">
        <v>10</v>
      </c>
      <c r="H987" t="s">
        <v>11</v>
      </c>
    </row>
    <row r="988" spans="1:8" x14ac:dyDescent="0.25">
      <c r="A988" s="1">
        <v>45669.083333333336</v>
      </c>
      <c r="B988" t="s">
        <v>17</v>
      </c>
      <c r="C988">
        <v>469.95</v>
      </c>
      <c r="D988">
        <v>90.01</v>
      </c>
      <c r="E988" t="s">
        <v>14</v>
      </c>
      <c r="F988">
        <v>84.85</v>
      </c>
      <c r="G988" t="s">
        <v>10</v>
      </c>
      <c r="H988" t="s">
        <v>12</v>
      </c>
    </row>
    <row r="989" spans="1:8" x14ac:dyDescent="0.25">
      <c r="A989" s="1">
        <v>45669.125</v>
      </c>
      <c r="B989" t="s">
        <v>17</v>
      </c>
      <c r="C989">
        <v>414.69</v>
      </c>
      <c r="D989">
        <v>69.87</v>
      </c>
      <c r="E989" t="s">
        <v>9</v>
      </c>
      <c r="F989">
        <v>73.489999999999995</v>
      </c>
      <c r="G989" t="s">
        <v>10</v>
      </c>
      <c r="H989" t="s">
        <v>11</v>
      </c>
    </row>
    <row r="990" spans="1:8" x14ac:dyDescent="0.25">
      <c r="A990" s="1">
        <v>45669.166666666664</v>
      </c>
      <c r="B990" t="s">
        <v>17</v>
      </c>
      <c r="C990">
        <v>189.94</v>
      </c>
      <c r="D990">
        <v>22.06</v>
      </c>
      <c r="E990" t="s">
        <v>9</v>
      </c>
      <c r="F990">
        <v>46.35</v>
      </c>
      <c r="G990" t="s">
        <v>10</v>
      </c>
      <c r="H990" t="s">
        <v>13</v>
      </c>
    </row>
    <row r="991" spans="1:8" x14ac:dyDescent="0.25">
      <c r="A991" s="1">
        <v>45669.208333333336</v>
      </c>
      <c r="B991" t="s">
        <v>17</v>
      </c>
      <c r="C991">
        <v>128.59</v>
      </c>
      <c r="D991">
        <v>82.76</v>
      </c>
      <c r="E991" t="s">
        <v>9</v>
      </c>
      <c r="F991">
        <v>47.89</v>
      </c>
      <c r="G991" t="s">
        <v>10</v>
      </c>
      <c r="H991" t="s">
        <v>11</v>
      </c>
    </row>
    <row r="992" spans="1:8" x14ac:dyDescent="0.25">
      <c r="A992" s="1">
        <v>45669.25</v>
      </c>
      <c r="B992" t="s">
        <v>17</v>
      </c>
      <c r="C992">
        <v>276.27999999999997</v>
      </c>
      <c r="D992">
        <v>18.190000000000001</v>
      </c>
      <c r="E992" t="s">
        <v>9</v>
      </c>
      <c r="F992">
        <v>86.53</v>
      </c>
      <c r="G992" t="s">
        <v>10</v>
      </c>
      <c r="H992" t="s">
        <v>11</v>
      </c>
    </row>
    <row r="993" spans="1:8" x14ac:dyDescent="0.25">
      <c r="A993" s="1">
        <v>45669.291666666664</v>
      </c>
      <c r="B993" t="s">
        <v>17</v>
      </c>
      <c r="C993">
        <v>474.51</v>
      </c>
      <c r="D993">
        <v>43.57</v>
      </c>
      <c r="E993" t="s">
        <v>9</v>
      </c>
      <c r="F993">
        <v>84.76</v>
      </c>
      <c r="G993" t="s">
        <v>10</v>
      </c>
      <c r="H993" t="s">
        <v>12</v>
      </c>
    </row>
    <row r="994" spans="1:8" x14ac:dyDescent="0.25">
      <c r="A994" s="1">
        <v>45669.333333333336</v>
      </c>
      <c r="B994" t="s">
        <v>17</v>
      </c>
      <c r="C994">
        <v>59.23</v>
      </c>
      <c r="D994">
        <v>43.45</v>
      </c>
      <c r="E994" t="s">
        <v>9</v>
      </c>
      <c r="F994">
        <v>61.89</v>
      </c>
      <c r="G994" t="s">
        <v>10</v>
      </c>
      <c r="H994" t="s">
        <v>13</v>
      </c>
    </row>
    <row r="995" spans="1:8" x14ac:dyDescent="0.25">
      <c r="A995" s="1">
        <v>45669.375</v>
      </c>
      <c r="B995" t="s">
        <v>17</v>
      </c>
      <c r="C995">
        <v>337.1</v>
      </c>
      <c r="D995">
        <v>64.92</v>
      </c>
      <c r="E995" t="s">
        <v>9</v>
      </c>
      <c r="F995">
        <v>63.22</v>
      </c>
      <c r="G995" t="s">
        <v>10</v>
      </c>
      <c r="H995" t="s">
        <v>13</v>
      </c>
    </row>
    <row r="996" spans="1:8" x14ac:dyDescent="0.25">
      <c r="A996" s="1">
        <v>45669.416666666664</v>
      </c>
      <c r="B996" t="s">
        <v>17</v>
      </c>
      <c r="C996">
        <v>242.66</v>
      </c>
      <c r="D996">
        <v>29.86</v>
      </c>
      <c r="E996" t="s">
        <v>9</v>
      </c>
      <c r="F996">
        <v>31.67</v>
      </c>
      <c r="G996" t="s">
        <v>10</v>
      </c>
      <c r="H996" t="s">
        <v>13</v>
      </c>
    </row>
    <row r="997" spans="1:8" x14ac:dyDescent="0.25">
      <c r="A997" s="1">
        <v>45669.458333333336</v>
      </c>
      <c r="B997" t="s">
        <v>17</v>
      </c>
      <c r="C997">
        <v>147.04</v>
      </c>
      <c r="D997">
        <v>20.79</v>
      </c>
      <c r="E997" t="s">
        <v>9</v>
      </c>
      <c r="F997">
        <v>58.97</v>
      </c>
      <c r="G997" t="s">
        <v>10</v>
      </c>
      <c r="H997" t="s">
        <v>11</v>
      </c>
    </row>
    <row r="998" spans="1:8" x14ac:dyDescent="0.25">
      <c r="A998" s="1">
        <v>45669.5</v>
      </c>
      <c r="B998" t="s">
        <v>17</v>
      </c>
      <c r="C998">
        <v>488.61</v>
      </c>
      <c r="D998">
        <v>62.91</v>
      </c>
      <c r="E998" t="s">
        <v>9</v>
      </c>
      <c r="F998">
        <v>74.099999999999994</v>
      </c>
      <c r="G998" t="s">
        <v>10</v>
      </c>
      <c r="H998" t="s">
        <v>11</v>
      </c>
    </row>
    <row r="999" spans="1:8" x14ac:dyDescent="0.25">
      <c r="A999" s="1">
        <v>45669.541666666664</v>
      </c>
      <c r="B999" t="s">
        <v>17</v>
      </c>
      <c r="C999">
        <v>67.19</v>
      </c>
      <c r="D999">
        <v>63.82</v>
      </c>
      <c r="E999" t="s">
        <v>9</v>
      </c>
      <c r="F999">
        <v>79.680000000000007</v>
      </c>
      <c r="G999" t="s">
        <v>10</v>
      </c>
      <c r="H999" t="s">
        <v>13</v>
      </c>
    </row>
    <row r="1000" spans="1:8" x14ac:dyDescent="0.25">
      <c r="A1000" s="1">
        <v>45669.583333333336</v>
      </c>
      <c r="B1000" t="s">
        <v>17</v>
      </c>
      <c r="C1000">
        <v>374.67</v>
      </c>
      <c r="D1000">
        <v>14.49</v>
      </c>
      <c r="E1000" t="s">
        <v>9</v>
      </c>
      <c r="F1000">
        <v>65.55</v>
      </c>
      <c r="G1000" t="s">
        <v>10</v>
      </c>
      <c r="H1000" t="s">
        <v>11</v>
      </c>
    </row>
    <row r="1001" spans="1:8" x14ac:dyDescent="0.25">
      <c r="A1001" s="1">
        <v>45669.625</v>
      </c>
      <c r="B1001" t="s">
        <v>17</v>
      </c>
      <c r="C1001">
        <v>105.56</v>
      </c>
      <c r="D1001">
        <v>93.38</v>
      </c>
      <c r="E1001" t="s">
        <v>14</v>
      </c>
      <c r="F1001">
        <v>53.62</v>
      </c>
      <c r="G1001" t="s">
        <v>10</v>
      </c>
      <c r="H1001" t="s">
        <v>12</v>
      </c>
    </row>
    <row r="1002" spans="1:8" x14ac:dyDescent="0.25">
      <c r="A1002" s="1">
        <v>45669.666666666664</v>
      </c>
      <c r="B1002" t="s">
        <v>17</v>
      </c>
      <c r="C1002">
        <v>127.1</v>
      </c>
      <c r="D1002">
        <v>68.069999999999993</v>
      </c>
      <c r="E1002" t="s">
        <v>9</v>
      </c>
      <c r="F1002">
        <v>66.569999999999993</v>
      </c>
      <c r="G1002" t="s">
        <v>10</v>
      </c>
      <c r="H1002" t="s">
        <v>13</v>
      </c>
    </row>
    <row r="1003" spans="1:8" x14ac:dyDescent="0.25">
      <c r="A1003" s="1">
        <v>45669.708333333336</v>
      </c>
      <c r="B1003" t="s">
        <v>17</v>
      </c>
      <c r="C1003">
        <v>408.63</v>
      </c>
      <c r="D1003">
        <v>19.09</v>
      </c>
      <c r="E1003" t="s">
        <v>9</v>
      </c>
      <c r="F1003">
        <v>71.2</v>
      </c>
      <c r="G1003" t="s">
        <v>10</v>
      </c>
      <c r="H1003" t="s">
        <v>11</v>
      </c>
    </row>
    <row r="1004" spans="1:8" x14ac:dyDescent="0.25">
      <c r="A1004" s="1">
        <v>45669.75</v>
      </c>
      <c r="B1004" t="s">
        <v>17</v>
      </c>
      <c r="C1004">
        <v>191.02</v>
      </c>
      <c r="D1004">
        <v>51.46</v>
      </c>
      <c r="E1004" t="s">
        <v>9</v>
      </c>
      <c r="F1004">
        <v>53.4</v>
      </c>
      <c r="G1004" t="s">
        <v>10</v>
      </c>
      <c r="H1004" t="s">
        <v>12</v>
      </c>
    </row>
    <row r="1005" spans="1:8" x14ac:dyDescent="0.25">
      <c r="A1005" s="1">
        <v>45669.791666666664</v>
      </c>
      <c r="B1005" t="s">
        <v>17</v>
      </c>
      <c r="C1005">
        <v>191.47</v>
      </c>
      <c r="D1005">
        <v>79.63</v>
      </c>
      <c r="E1005" t="s">
        <v>9</v>
      </c>
      <c r="F1005">
        <v>45.97</v>
      </c>
      <c r="G1005" t="s">
        <v>10</v>
      </c>
      <c r="H1005" t="s">
        <v>12</v>
      </c>
    </row>
    <row r="1006" spans="1:8" x14ac:dyDescent="0.25">
      <c r="A1006" s="1">
        <v>45669.833333333336</v>
      </c>
      <c r="B1006" t="s">
        <v>17</v>
      </c>
      <c r="C1006">
        <v>401.69</v>
      </c>
      <c r="D1006">
        <v>89.4</v>
      </c>
      <c r="E1006" t="s">
        <v>14</v>
      </c>
      <c r="F1006">
        <v>44.75</v>
      </c>
      <c r="G1006" t="s">
        <v>10</v>
      </c>
      <c r="H1006" t="s">
        <v>11</v>
      </c>
    </row>
    <row r="1007" spans="1:8" x14ac:dyDescent="0.25">
      <c r="A1007" s="1">
        <v>45669.875</v>
      </c>
      <c r="B1007" t="s">
        <v>17</v>
      </c>
      <c r="C1007">
        <v>173.55</v>
      </c>
      <c r="D1007">
        <v>80.739999999999995</v>
      </c>
      <c r="E1007" t="s">
        <v>9</v>
      </c>
      <c r="F1007">
        <v>30.32</v>
      </c>
      <c r="G1007" t="s">
        <v>10</v>
      </c>
      <c r="H1007" t="s">
        <v>12</v>
      </c>
    </row>
    <row r="1008" spans="1:8" x14ac:dyDescent="0.25">
      <c r="A1008" s="1">
        <v>45669.916666666664</v>
      </c>
      <c r="B1008" t="s">
        <v>17</v>
      </c>
      <c r="C1008">
        <v>398.06</v>
      </c>
      <c r="D1008">
        <v>84.88</v>
      </c>
      <c r="E1008" t="s">
        <v>9</v>
      </c>
      <c r="F1008">
        <v>31.6</v>
      </c>
      <c r="G1008" t="s">
        <v>10</v>
      </c>
      <c r="H1008" t="s">
        <v>13</v>
      </c>
    </row>
    <row r="1009" spans="1:8" x14ac:dyDescent="0.25">
      <c r="A1009" s="1">
        <v>45669.958333333336</v>
      </c>
      <c r="B1009" t="s">
        <v>17</v>
      </c>
      <c r="C1009">
        <v>433.17</v>
      </c>
      <c r="D1009">
        <v>63.34</v>
      </c>
      <c r="E1009" t="s">
        <v>9</v>
      </c>
      <c r="F1009">
        <v>81.19</v>
      </c>
      <c r="G1009" t="s">
        <v>10</v>
      </c>
      <c r="H1009" t="s">
        <v>12</v>
      </c>
    </row>
    <row r="1010" spans="1:8" x14ac:dyDescent="0.25">
      <c r="A1010" s="1">
        <v>45670</v>
      </c>
      <c r="B1010" t="s">
        <v>17</v>
      </c>
      <c r="C1010">
        <v>283.77999999999997</v>
      </c>
      <c r="D1010">
        <v>50.49</v>
      </c>
      <c r="E1010" t="s">
        <v>9</v>
      </c>
      <c r="F1010">
        <v>30.7</v>
      </c>
      <c r="G1010" t="s">
        <v>10</v>
      </c>
      <c r="H1010" t="s">
        <v>11</v>
      </c>
    </row>
    <row r="1011" spans="1:8" x14ac:dyDescent="0.25">
      <c r="A1011" s="1">
        <v>45670.041666666664</v>
      </c>
      <c r="B1011" t="s">
        <v>17</v>
      </c>
      <c r="C1011">
        <v>398.82</v>
      </c>
      <c r="D1011">
        <v>79.09</v>
      </c>
      <c r="E1011" t="s">
        <v>9</v>
      </c>
      <c r="F1011">
        <v>61.9</v>
      </c>
      <c r="G1011" t="s">
        <v>10</v>
      </c>
      <c r="H1011" t="s">
        <v>13</v>
      </c>
    </row>
    <row r="1012" spans="1:8" x14ac:dyDescent="0.25">
      <c r="A1012" s="1">
        <v>45670.083333333336</v>
      </c>
      <c r="B1012" t="s">
        <v>17</v>
      </c>
      <c r="C1012">
        <v>241.5</v>
      </c>
      <c r="D1012">
        <v>58.51</v>
      </c>
      <c r="E1012" t="s">
        <v>9</v>
      </c>
      <c r="F1012">
        <v>70.709999999999994</v>
      </c>
      <c r="G1012" t="s">
        <v>10</v>
      </c>
      <c r="H1012" t="s">
        <v>12</v>
      </c>
    </row>
    <row r="1013" spans="1:8" x14ac:dyDescent="0.25">
      <c r="A1013" s="1">
        <v>45670.125</v>
      </c>
      <c r="B1013" t="s">
        <v>17</v>
      </c>
      <c r="C1013">
        <v>173.74</v>
      </c>
      <c r="D1013">
        <v>20.440000000000001</v>
      </c>
      <c r="E1013" t="s">
        <v>9</v>
      </c>
      <c r="F1013">
        <v>55.78</v>
      </c>
      <c r="G1013" t="s">
        <v>10</v>
      </c>
      <c r="H1013" t="s">
        <v>11</v>
      </c>
    </row>
    <row r="1014" spans="1:8" x14ac:dyDescent="0.25">
      <c r="A1014" s="1">
        <v>45670.166666666664</v>
      </c>
      <c r="B1014" t="s">
        <v>17</v>
      </c>
      <c r="C1014">
        <v>362.23</v>
      </c>
      <c r="D1014">
        <v>66.27</v>
      </c>
      <c r="E1014" t="s">
        <v>9</v>
      </c>
      <c r="F1014">
        <v>71.239999999999995</v>
      </c>
      <c r="G1014" t="s">
        <v>10</v>
      </c>
      <c r="H1014" t="s">
        <v>11</v>
      </c>
    </row>
    <row r="1015" spans="1:8" x14ac:dyDescent="0.25">
      <c r="A1015" s="1">
        <v>45670.208333333336</v>
      </c>
      <c r="B1015" t="s">
        <v>17</v>
      </c>
      <c r="C1015">
        <v>389.69</v>
      </c>
      <c r="D1015">
        <v>66.540000000000006</v>
      </c>
      <c r="E1015" t="s">
        <v>9</v>
      </c>
      <c r="F1015">
        <v>68.25</v>
      </c>
      <c r="G1015" t="s">
        <v>10</v>
      </c>
      <c r="H1015" t="s">
        <v>12</v>
      </c>
    </row>
    <row r="1016" spans="1:8" x14ac:dyDescent="0.25">
      <c r="A1016" s="1">
        <v>45670.25</v>
      </c>
      <c r="B1016" t="s">
        <v>17</v>
      </c>
      <c r="C1016">
        <v>325.36</v>
      </c>
      <c r="D1016">
        <v>44.26</v>
      </c>
      <c r="E1016" t="s">
        <v>9</v>
      </c>
      <c r="F1016">
        <v>72.12</v>
      </c>
      <c r="G1016" t="s">
        <v>10</v>
      </c>
      <c r="H1016" t="s">
        <v>12</v>
      </c>
    </row>
    <row r="1017" spans="1:8" x14ac:dyDescent="0.25">
      <c r="A1017" s="1">
        <v>45670.291666666664</v>
      </c>
      <c r="B1017" t="s">
        <v>17</v>
      </c>
      <c r="C1017">
        <v>474.17</v>
      </c>
      <c r="D1017">
        <v>80.260000000000005</v>
      </c>
      <c r="E1017" t="s">
        <v>9</v>
      </c>
      <c r="F1017">
        <v>65.260000000000005</v>
      </c>
      <c r="G1017" t="s">
        <v>10</v>
      </c>
      <c r="H1017" t="s">
        <v>11</v>
      </c>
    </row>
    <row r="1018" spans="1:8" x14ac:dyDescent="0.25">
      <c r="A1018" s="1">
        <v>45670.333333333336</v>
      </c>
      <c r="B1018" t="s">
        <v>17</v>
      </c>
      <c r="C1018">
        <v>339.04</v>
      </c>
      <c r="D1018">
        <v>69.06</v>
      </c>
      <c r="E1018" t="s">
        <v>9</v>
      </c>
      <c r="F1018">
        <v>63.52</v>
      </c>
      <c r="G1018" t="s">
        <v>10</v>
      </c>
      <c r="H1018" t="s">
        <v>12</v>
      </c>
    </row>
    <row r="1019" spans="1:8" x14ac:dyDescent="0.25">
      <c r="A1019" s="1">
        <v>45670.375</v>
      </c>
      <c r="B1019" t="s">
        <v>17</v>
      </c>
      <c r="C1019">
        <v>281.72000000000003</v>
      </c>
      <c r="D1019">
        <v>27.39</v>
      </c>
      <c r="E1019" t="s">
        <v>9</v>
      </c>
      <c r="F1019">
        <v>88.66</v>
      </c>
      <c r="G1019" t="s">
        <v>10</v>
      </c>
      <c r="H1019" t="s">
        <v>11</v>
      </c>
    </row>
    <row r="1020" spans="1:8" x14ac:dyDescent="0.25">
      <c r="A1020" s="1">
        <v>45670.416666666664</v>
      </c>
      <c r="B1020" t="s">
        <v>17</v>
      </c>
      <c r="C1020">
        <v>303.27</v>
      </c>
      <c r="D1020">
        <v>17.829999999999998</v>
      </c>
      <c r="E1020" t="s">
        <v>9</v>
      </c>
      <c r="F1020">
        <v>32.47</v>
      </c>
      <c r="G1020" t="s">
        <v>10</v>
      </c>
      <c r="H1020" t="s">
        <v>11</v>
      </c>
    </row>
    <row r="1021" spans="1:8" x14ac:dyDescent="0.25">
      <c r="A1021" s="1">
        <v>45670.458333333336</v>
      </c>
      <c r="B1021" t="s">
        <v>17</v>
      </c>
      <c r="C1021">
        <v>360.37</v>
      </c>
      <c r="D1021">
        <v>83.03</v>
      </c>
      <c r="E1021" t="s">
        <v>9</v>
      </c>
      <c r="F1021">
        <v>63.55</v>
      </c>
      <c r="G1021" t="s">
        <v>10</v>
      </c>
      <c r="H1021" t="s">
        <v>11</v>
      </c>
    </row>
    <row r="1022" spans="1:8" x14ac:dyDescent="0.25">
      <c r="A1022" s="1">
        <v>45670.5</v>
      </c>
      <c r="B1022" t="s">
        <v>17</v>
      </c>
      <c r="C1022">
        <v>231.04</v>
      </c>
      <c r="D1022">
        <v>27.09</v>
      </c>
      <c r="E1022" t="s">
        <v>9</v>
      </c>
      <c r="F1022">
        <v>37.1</v>
      </c>
      <c r="G1022" t="s">
        <v>10</v>
      </c>
      <c r="H1022" t="s">
        <v>11</v>
      </c>
    </row>
    <row r="1023" spans="1:8" x14ac:dyDescent="0.25">
      <c r="A1023" s="1">
        <v>45670.541666666664</v>
      </c>
      <c r="B1023" t="s">
        <v>17</v>
      </c>
      <c r="C1023">
        <v>179</v>
      </c>
      <c r="D1023">
        <v>43.72</v>
      </c>
      <c r="E1023" t="s">
        <v>9</v>
      </c>
      <c r="F1023">
        <v>35.03</v>
      </c>
      <c r="G1023" t="s">
        <v>10</v>
      </c>
      <c r="H1023" t="s">
        <v>11</v>
      </c>
    </row>
    <row r="1024" spans="1:8" x14ac:dyDescent="0.25">
      <c r="A1024" s="1">
        <v>45670.583333333336</v>
      </c>
      <c r="B1024" t="s">
        <v>17</v>
      </c>
      <c r="C1024">
        <v>461.51</v>
      </c>
      <c r="D1024">
        <v>21.31</v>
      </c>
      <c r="E1024" t="s">
        <v>9</v>
      </c>
      <c r="F1024">
        <v>76.23</v>
      </c>
      <c r="G1024" t="s">
        <v>10</v>
      </c>
      <c r="H1024" t="s">
        <v>13</v>
      </c>
    </row>
    <row r="1025" spans="1:8" x14ac:dyDescent="0.25">
      <c r="A1025" s="1">
        <v>45670.625</v>
      </c>
      <c r="B1025" t="s">
        <v>17</v>
      </c>
      <c r="C1025">
        <v>415.82</v>
      </c>
      <c r="D1025">
        <v>17.149999999999999</v>
      </c>
      <c r="E1025" t="s">
        <v>9</v>
      </c>
      <c r="F1025">
        <v>69.540000000000006</v>
      </c>
      <c r="G1025" t="s">
        <v>10</v>
      </c>
      <c r="H1025" t="s">
        <v>12</v>
      </c>
    </row>
    <row r="1026" spans="1:8" x14ac:dyDescent="0.25">
      <c r="A1026" s="1">
        <v>45670.666666666664</v>
      </c>
      <c r="B1026" t="s">
        <v>17</v>
      </c>
      <c r="C1026">
        <v>407.66</v>
      </c>
      <c r="D1026">
        <v>23.14</v>
      </c>
      <c r="E1026" t="s">
        <v>9</v>
      </c>
      <c r="F1026">
        <v>62.01</v>
      </c>
      <c r="G1026" t="s">
        <v>10</v>
      </c>
      <c r="H1026" t="s">
        <v>12</v>
      </c>
    </row>
    <row r="1027" spans="1:8" x14ac:dyDescent="0.25">
      <c r="A1027" s="1">
        <v>45670.708333333336</v>
      </c>
      <c r="B1027" t="s">
        <v>17</v>
      </c>
      <c r="C1027">
        <v>282.94</v>
      </c>
      <c r="D1027">
        <v>44.94</v>
      </c>
      <c r="E1027" t="s">
        <v>9</v>
      </c>
      <c r="F1027">
        <v>63.86</v>
      </c>
      <c r="G1027" t="s">
        <v>10</v>
      </c>
      <c r="H1027" t="s">
        <v>13</v>
      </c>
    </row>
    <row r="1028" spans="1:8" x14ac:dyDescent="0.25">
      <c r="A1028" s="1">
        <v>45670.75</v>
      </c>
      <c r="B1028" t="s">
        <v>17</v>
      </c>
      <c r="C1028">
        <v>215.64</v>
      </c>
      <c r="D1028">
        <v>24.13</v>
      </c>
      <c r="E1028" t="s">
        <v>9</v>
      </c>
      <c r="F1028">
        <v>32.49</v>
      </c>
      <c r="G1028" t="s">
        <v>10</v>
      </c>
      <c r="H1028" t="s">
        <v>13</v>
      </c>
    </row>
    <row r="1029" spans="1:8" x14ac:dyDescent="0.25">
      <c r="A1029" s="1">
        <v>45670.791666666664</v>
      </c>
      <c r="B1029" t="s">
        <v>17</v>
      </c>
      <c r="C1029">
        <v>159.91</v>
      </c>
      <c r="D1029">
        <v>59.4</v>
      </c>
      <c r="E1029" t="s">
        <v>9</v>
      </c>
      <c r="F1029">
        <v>31.3</v>
      </c>
      <c r="G1029" t="s">
        <v>10</v>
      </c>
      <c r="H1029" t="s">
        <v>13</v>
      </c>
    </row>
    <row r="1030" spans="1:8" x14ac:dyDescent="0.25">
      <c r="A1030" s="1">
        <v>45670.833333333336</v>
      </c>
      <c r="B1030" t="s">
        <v>17</v>
      </c>
      <c r="C1030">
        <v>373.8</v>
      </c>
      <c r="D1030">
        <v>22.71</v>
      </c>
      <c r="E1030" t="s">
        <v>9</v>
      </c>
      <c r="F1030">
        <v>80.77</v>
      </c>
      <c r="G1030" t="s">
        <v>10</v>
      </c>
      <c r="H1030" t="s">
        <v>11</v>
      </c>
    </row>
    <row r="1031" spans="1:8" x14ac:dyDescent="0.25">
      <c r="A1031" s="1">
        <v>45670.875</v>
      </c>
      <c r="B1031" t="s">
        <v>17</v>
      </c>
      <c r="C1031">
        <v>335.34</v>
      </c>
      <c r="D1031">
        <v>93.76</v>
      </c>
      <c r="E1031" t="s">
        <v>14</v>
      </c>
      <c r="F1031">
        <v>38.299999999999997</v>
      </c>
      <c r="G1031" t="s">
        <v>10</v>
      </c>
      <c r="H1031" t="s">
        <v>11</v>
      </c>
    </row>
    <row r="1032" spans="1:8" x14ac:dyDescent="0.25">
      <c r="A1032" s="1">
        <v>45670.916666666664</v>
      </c>
      <c r="B1032" t="s">
        <v>17</v>
      </c>
      <c r="C1032">
        <v>489.23</v>
      </c>
      <c r="D1032">
        <v>34.81</v>
      </c>
      <c r="E1032" t="s">
        <v>9</v>
      </c>
      <c r="F1032">
        <v>57.37</v>
      </c>
      <c r="G1032" t="s">
        <v>10</v>
      </c>
      <c r="H1032" t="s">
        <v>12</v>
      </c>
    </row>
    <row r="1033" spans="1:8" x14ac:dyDescent="0.25">
      <c r="A1033" s="1">
        <v>45670.958333333336</v>
      </c>
      <c r="B1033" t="s">
        <v>17</v>
      </c>
      <c r="C1033">
        <v>270.42</v>
      </c>
      <c r="D1033">
        <v>55.9</v>
      </c>
      <c r="E1033" t="s">
        <v>9</v>
      </c>
      <c r="F1033">
        <v>55.94</v>
      </c>
      <c r="G1033" t="s">
        <v>10</v>
      </c>
      <c r="H1033" t="s">
        <v>13</v>
      </c>
    </row>
    <row r="1034" spans="1:8" x14ac:dyDescent="0.25">
      <c r="A1034" s="1">
        <v>45671</v>
      </c>
      <c r="B1034" t="s">
        <v>17</v>
      </c>
      <c r="C1034">
        <v>282.52999999999997</v>
      </c>
      <c r="D1034">
        <v>80.349999999999994</v>
      </c>
      <c r="E1034" t="s">
        <v>9</v>
      </c>
      <c r="F1034">
        <v>62.83</v>
      </c>
      <c r="G1034" t="s">
        <v>10</v>
      </c>
      <c r="H1034" t="s">
        <v>13</v>
      </c>
    </row>
    <row r="1035" spans="1:8" x14ac:dyDescent="0.25">
      <c r="A1035" s="1">
        <v>45671.041666666664</v>
      </c>
      <c r="B1035" t="s">
        <v>17</v>
      </c>
      <c r="C1035">
        <v>427.89</v>
      </c>
      <c r="D1035">
        <v>94.77</v>
      </c>
      <c r="E1035" t="s">
        <v>14</v>
      </c>
      <c r="F1035">
        <v>47.56</v>
      </c>
      <c r="G1035" t="s">
        <v>10</v>
      </c>
      <c r="H1035" t="s">
        <v>11</v>
      </c>
    </row>
    <row r="1036" spans="1:8" x14ac:dyDescent="0.25">
      <c r="A1036" s="1">
        <v>45671.083333333336</v>
      </c>
      <c r="B1036" t="s">
        <v>17</v>
      </c>
      <c r="C1036">
        <v>436.61</v>
      </c>
      <c r="D1036">
        <v>32.5</v>
      </c>
      <c r="E1036" t="s">
        <v>9</v>
      </c>
      <c r="F1036">
        <v>43.21</v>
      </c>
      <c r="G1036" t="s">
        <v>10</v>
      </c>
      <c r="H1036" t="s">
        <v>12</v>
      </c>
    </row>
    <row r="1037" spans="1:8" x14ac:dyDescent="0.25">
      <c r="A1037" s="1">
        <v>45671.125</v>
      </c>
      <c r="B1037" t="s">
        <v>17</v>
      </c>
      <c r="C1037">
        <v>311.47000000000003</v>
      </c>
      <c r="D1037">
        <v>90.48</v>
      </c>
      <c r="E1037" t="s">
        <v>14</v>
      </c>
      <c r="F1037">
        <v>78.709999999999994</v>
      </c>
      <c r="G1037" t="s">
        <v>10</v>
      </c>
      <c r="H1037" t="s">
        <v>12</v>
      </c>
    </row>
    <row r="1038" spans="1:8" x14ac:dyDescent="0.25">
      <c r="A1038" s="1">
        <v>45671.166666666664</v>
      </c>
      <c r="B1038" t="s">
        <v>17</v>
      </c>
      <c r="C1038">
        <v>226.73</v>
      </c>
      <c r="D1038">
        <v>54.86</v>
      </c>
      <c r="E1038" t="s">
        <v>9</v>
      </c>
      <c r="F1038">
        <v>57.86</v>
      </c>
      <c r="G1038" t="s">
        <v>10</v>
      </c>
      <c r="H1038" t="s">
        <v>13</v>
      </c>
    </row>
    <row r="1039" spans="1:8" x14ac:dyDescent="0.25">
      <c r="A1039" s="1">
        <v>45671.208333333336</v>
      </c>
      <c r="B1039" t="s">
        <v>17</v>
      </c>
      <c r="C1039">
        <v>174.25</v>
      </c>
      <c r="D1039">
        <v>89.37</v>
      </c>
      <c r="E1039" t="s">
        <v>14</v>
      </c>
      <c r="F1039">
        <v>51.88</v>
      </c>
      <c r="G1039" t="s">
        <v>10</v>
      </c>
      <c r="H1039" t="s">
        <v>12</v>
      </c>
    </row>
    <row r="1040" spans="1:8" x14ac:dyDescent="0.25">
      <c r="A1040" s="1">
        <v>45671.25</v>
      </c>
      <c r="B1040" t="s">
        <v>17</v>
      </c>
      <c r="C1040">
        <v>448.97</v>
      </c>
      <c r="D1040">
        <v>74.89</v>
      </c>
      <c r="E1040" t="s">
        <v>9</v>
      </c>
      <c r="F1040">
        <v>55.37</v>
      </c>
      <c r="G1040" t="s">
        <v>10</v>
      </c>
      <c r="H1040" t="s">
        <v>13</v>
      </c>
    </row>
    <row r="1041" spans="1:8" x14ac:dyDescent="0.25">
      <c r="A1041" s="1">
        <v>45671.291666666664</v>
      </c>
      <c r="B1041" t="s">
        <v>17</v>
      </c>
      <c r="C1041">
        <v>347.05</v>
      </c>
      <c r="D1041">
        <v>81.72</v>
      </c>
      <c r="E1041" t="s">
        <v>9</v>
      </c>
      <c r="F1041">
        <v>73.11</v>
      </c>
      <c r="G1041" t="s">
        <v>10</v>
      </c>
      <c r="H1041" t="s">
        <v>12</v>
      </c>
    </row>
    <row r="1042" spans="1:8" x14ac:dyDescent="0.25">
      <c r="A1042" s="1">
        <v>45671.333333333336</v>
      </c>
      <c r="B1042" t="s">
        <v>17</v>
      </c>
      <c r="C1042">
        <v>70.3</v>
      </c>
      <c r="D1042">
        <v>89.6</v>
      </c>
      <c r="E1042" t="s">
        <v>14</v>
      </c>
      <c r="F1042">
        <v>72.33</v>
      </c>
      <c r="G1042" t="s">
        <v>10</v>
      </c>
      <c r="H1042" t="s">
        <v>13</v>
      </c>
    </row>
    <row r="1043" spans="1:8" x14ac:dyDescent="0.25">
      <c r="A1043" s="1">
        <v>45671.375</v>
      </c>
      <c r="B1043" t="s">
        <v>17</v>
      </c>
      <c r="C1043">
        <v>261.43</v>
      </c>
      <c r="D1043">
        <v>40.799999999999997</v>
      </c>
      <c r="E1043" t="s">
        <v>9</v>
      </c>
      <c r="F1043">
        <v>75.3</v>
      </c>
      <c r="G1043" t="s">
        <v>10</v>
      </c>
      <c r="H1043" t="s">
        <v>13</v>
      </c>
    </row>
    <row r="1044" spans="1:8" x14ac:dyDescent="0.25">
      <c r="A1044" s="1">
        <v>45671.416666666664</v>
      </c>
      <c r="B1044" t="s">
        <v>17</v>
      </c>
      <c r="C1044">
        <v>380.13</v>
      </c>
      <c r="D1044">
        <v>64.63</v>
      </c>
      <c r="E1044" t="s">
        <v>9</v>
      </c>
      <c r="F1044">
        <v>81.239999999999995</v>
      </c>
      <c r="G1044" t="s">
        <v>10</v>
      </c>
      <c r="H1044" t="s">
        <v>12</v>
      </c>
    </row>
    <row r="1045" spans="1:8" x14ac:dyDescent="0.25">
      <c r="A1045" s="1">
        <v>45671.458333333336</v>
      </c>
      <c r="B1045" t="s">
        <v>17</v>
      </c>
      <c r="C1045">
        <v>325.47000000000003</v>
      </c>
      <c r="D1045">
        <v>49.06</v>
      </c>
      <c r="E1045" t="s">
        <v>9</v>
      </c>
      <c r="F1045">
        <v>34.26</v>
      </c>
      <c r="G1045" t="s">
        <v>10</v>
      </c>
      <c r="H1045" t="s">
        <v>13</v>
      </c>
    </row>
    <row r="1046" spans="1:8" x14ac:dyDescent="0.25">
      <c r="A1046" s="1">
        <v>45671.5</v>
      </c>
      <c r="B1046" t="s">
        <v>17</v>
      </c>
      <c r="C1046">
        <v>320.63</v>
      </c>
      <c r="D1046">
        <v>84.78</v>
      </c>
      <c r="E1046" t="s">
        <v>9</v>
      </c>
      <c r="F1046">
        <v>37.19</v>
      </c>
      <c r="G1046" t="s">
        <v>10</v>
      </c>
      <c r="H1046" t="s">
        <v>11</v>
      </c>
    </row>
    <row r="1047" spans="1:8" x14ac:dyDescent="0.25">
      <c r="A1047" s="1">
        <v>45671.541666666664</v>
      </c>
      <c r="B1047" t="s">
        <v>17</v>
      </c>
      <c r="C1047">
        <v>88.81</v>
      </c>
      <c r="D1047">
        <v>89.87</v>
      </c>
      <c r="E1047" t="s">
        <v>14</v>
      </c>
      <c r="F1047">
        <v>52.69</v>
      </c>
      <c r="G1047" t="s">
        <v>10</v>
      </c>
      <c r="H1047" t="s">
        <v>13</v>
      </c>
    </row>
    <row r="1048" spans="1:8" x14ac:dyDescent="0.25">
      <c r="A1048" s="1">
        <v>45671.583333333336</v>
      </c>
      <c r="B1048" t="s">
        <v>17</v>
      </c>
      <c r="C1048">
        <v>406.4</v>
      </c>
      <c r="D1048">
        <v>40.26</v>
      </c>
      <c r="E1048" t="s">
        <v>9</v>
      </c>
      <c r="F1048">
        <v>72.97</v>
      </c>
      <c r="G1048" t="s">
        <v>10</v>
      </c>
      <c r="H1048" t="s">
        <v>13</v>
      </c>
    </row>
    <row r="1049" spans="1:8" x14ac:dyDescent="0.25">
      <c r="A1049" s="1">
        <v>45671.625</v>
      </c>
      <c r="B1049" t="s">
        <v>17</v>
      </c>
      <c r="C1049">
        <v>207.91</v>
      </c>
      <c r="D1049">
        <v>89.37</v>
      </c>
      <c r="E1049" t="s">
        <v>14</v>
      </c>
      <c r="F1049">
        <v>77.98</v>
      </c>
      <c r="G1049" t="s">
        <v>10</v>
      </c>
      <c r="H1049" t="s">
        <v>13</v>
      </c>
    </row>
    <row r="1050" spans="1:8" x14ac:dyDescent="0.25">
      <c r="A1050" s="1">
        <v>45671.666666666664</v>
      </c>
      <c r="B1050" t="s">
        <v>17</v>
      </c>
      <c r="C1050">
        <v>150.19</v>
      </c>
      <c r="D1050">
        <v>72.099999999999994</v>
      </c>
      <c r="E1050" t="s">
        <v>9</v>
      </c>
      <c r="F1050">
        <v>86.6</v>
      </c>
      <c r="G1050" t="s">
        <v>10</v>
      </c>
      <c r="H1050" t="s">
        <v>11</v>
      </c>
    </row>
    <row r="1051" spans="1:8" x14ac:dyDescent="0.25">
      <c r="A1051" s="1">
        <v>45671.708333333336</v>
      </c>
      <c r="B1051" t="s">
        <v>17</v>
      </c>
      <c r="C1051">
        <v>411.24</v>
      </c>
      <c r="D1051">
        <v>33.35</v>
      </c>
      <c r="E1051" t="s">
        <v>9</v>
      </c>
      <c r="F1051">
        <v>32.51</v>
      </c>
      <c r="G1051" t="s">
        <v>10</v>
      </c>
      <c r="H1051" t="s">
        <v>12</v>
      </c>
    </row>
    <row r="1052" spans="1:8" x14ac:dyDescent="0.25">
      <c r="A1052" s="1">
        <v>45671.75</v>
      </c>
      <c r="B1052" t="s">
        <v>17</v>
      </c>
      <c r="C1052">
        <v>264.04000000000002</v>
      </c>
      <c r="D1052">
        <v>62.83</v>
      </c>
      <c r="E1052" t="s">
        <v>9</v>
      </c>
      <c r="F1052">
        <v>89.16</v>
      </c>
      <c r="G1052" t="s">
        <v>10</v>
      </c>
      <c r="H1052" t="s">
        <v>12</v>
      </c>
    </row>
    <row r="1053" spans="1:8" x14ac:dyDescent="0.25">
      <c r="A1053" s="1">
        <v>45671.791666666664</v>
      </c>
      <c r="B1053" t="s">
        <v>17</v>
      </c>
      <c r="C1053">
        <v>437.97</v>
      </c>
      <c r="D1053">
        <v>86.02</v>
      </c>
      <c r="E1053" t="s">
        <v>14</v>
      </c>
      <c r="F1053">
        <v>58.07</v>
      </c>
      <c r="G1053" t="s">
        <v>10</v>
      </c>
      <c r="H1053" t="s">
        <v>11</v>
      </c>
    </row>
    <row r="1054" spans="1:8" x14ac:dyDescent="0.25">
      <c r="A1054" s="1">
        <v>45671.833333333336</v>
      </c>
      <c r="B1054" t="s">
        <v>17</v>
      </c>
      <c r="C1054">
        <v>446.11</v>
      </c>
      <c r="D1054">
        <v>91.83</v>
      </c>
      <c r="E1054" t="s">
        <v>14</v>
      </c>
      <c r="F1054">
        <v>83.58</v>
      </c>
      <c r="G1054" t="s">
        <v>10</v>
      </c>
      <c r="H1054" t="s">
        <v>12</v>
      </c>
    </row>
    <row r="1055" spans="1:8" x14ac:dyDescent="0.25">
      <c r="A1055" s="1">
        <v>45671.875</v>
      </c>
      <c r="B1055" t="s">
        <v>17</v>
      </c>
      <c r="C1055">
        <v>237.1</v>
      </c>
      <c r="D1055">
        <v>62.69</v>
      </c>
      <c r="E1055" t="s">
        <v>9</v>
      </c>
      <c r="F1055">
        <v>72.59</v>
      </c>
      <c r="G1055" t="s">
        <v>10</v>
      </c>
      <c r="H1055" t="s">
        <v>11</v>
      </c>
    </row>
    <row r="1056" spans="1:8" x14ac:dyDescent="0.25">
      <c r="A1056" s="1">
        <v>45671.916666666664</v>
      </c>
      <c r="B1056" t="s">
        <v>17</v>
      </c>
      <c r="C1056">
        <v>160.08000000000001</v>
      </c>
      <c r="D1056">
        <v>74.44</v>
      </c>
      <c r="E1056" t="s">
        <v>9</v>
      </c>
      <c r="F1056">
        <v>61.25</v>
      </c>
      <c r="G1056" t="s">
        <v>10</v>
      </c>
      <c r="H1056" t="s">
        <v>13</v>
      </c>
    </row>
    <row r="1057" spans="1:8" x14ac:dyDescent="0.25">
      <c r="A1057" s="1">
        <v>45671.958333333336</v>
      </c>
      <c r="B1057" t="s">
        <v>17</v>
      </c>
      <c r="C1057">
        <v>399.47</v>
      </c>
      <c r="D1057">
        <v>58.73</v>
      </c>
      <c r="E1057" t="s">
        <v>9</v>
      </c>
      <c r="F1057">
        <v>69.66</v>
      </c>
      <c r="G1057" t="s">
        <v>10</v>
      </c>
      <c r="H1057" t="s">
        <v>13</v>
      </c>
    </row>
    <row r="1058" spans="1:8" x14ac:dyDescent="0.25">
      <c r="A1058" s="1">
        <v>45672</v>
      </c>
      <c r="B1058" t="s">
        <v>17</v>
      </c>
      <c r="C1058">
        <v>406.98</v>
      </c>
      <c r="D1058">
        <v>43.14</v>
      </c>
      <c r="E1058" t="s">
        <v>9</v>
      </c>
      <c r="F1058">
        <v>86.33</v>
      </c>
      <c r="G1058" t="s">
        <v>10</v>
      </c>
      <c r="H1058" t="s">
        <v>13</v>
      </c>
    </row>
    <row r="1059" spans="1:8" x14ac:dyDescent="0.25">
      <c r="A1059" s="1">
        <v>45672.041666666664</v>
      </c>
      <c r="B1059" t="s">
        <v>17</v>
      </c>
      <c r="C1059">
        <v>139.27000000000001</v>
      </c>
      <c r="D1059">
        <v>91.89</v>
      </c>
      <c r="E1059" t="s">
        <v>14</v>
      </c>
      <c r="F1059">
        <v>60.69</v>
      </c>
      <c r="G1059" t="s">
        <v>10</v>
      </c>
      <c r="H1059" t="s">
        <v>13</v>
      </c>
    </row>
    <row r="1060" spans="1:8" x14ac:dyDescent="0.25">
      <c r="A1060" s="1">
        <v>45672.083333333336</v>
      </c>
      <c r="B1060" t="s">
        <v>17</v>
      </c>
      <c r="C1060">
        <v>234.97</v>
      </c>
      <c r="D1060">
        <v>42.76</v>
      </c>
      <c r="E1060" t="s">
        <v>9</v>
      </c>
      <c r="F1060">
        <v>54.43</v>
      </c>
      <c r="G1060" t="s">
        <v>10</v>
      </c>
      <c r="H1060" t="s">
        <v>11</v>
      </c>
    </row>
    <row r="1061" spans="1:8" x14ac:dyDescent="0.25">
      <c r="A1061" s="1">
        <v>45672.125</v>
      </c>
      <c r="B1061" t="s">
        <v>17</v>
      </c>
      <c r="C1061">
        <v>425.36</v>
      </c>
      <c r="D1061">
        <v>77.540000000000006</v>
      </c>
      <c r="E1061" t="s">
        <v>9</v>
      </c>
      <c r="F1061">
        <v>41.12</v>
      </c>
      <c r="G1061" t="s">
        <v>10</v>
      </c>
      <c r="H1061" t="s">
        <v>13</v>
      </c>
    </row>
    <row r="1062" spans="1:8" x14ac:dyDescent="0.25">
      <c r="A1062" s="1">
        <v>45672.166666666664</v>
      </c>
      <c r="B1062" t="s">
        <v>17</v>
      </c>
      <c r="C1062">
        <v>110.65</v>
      </c>
      <c r="D1062">
        <v>54.18</v>
      </c>
      <c r="E1062" t="s">
        <v>9</v>
      </c>
      <c r="F1062">
        <v>40.15</v>
      </c>
      <c r="G1062" t="s">
        <v>10</v>
      </c>
      <c r="H1062" t="s">
        <v>12</v>
      </c>
    </row>
    <row r="1063" spans="1:8" x14ac:dyDescent="0.25">
      <c r="A1063" s="1">
        <v>45672.208333333336</v>
      </c>
      <c r="B1063" t="s">
        <v>17</v>
      </c>
      <c r="C1063">
        <v>345.25</v>
      </c>
      <c r="D1063">
        <v>31.05</v>
      </c>
      <c r="E1063" t="s">
        <v>9</v>
      </c>
      <c r="F1063">
        <v>49.1</v>
      </c>
      <c r="G1063" t="s">
        <v>10</v>
      </c>
      <c r="H1063" t="s">
        <v>11</v>
      </c>
    </row>
    <row r="1064" spans="1:8" x14ac:dyDescent="0.25">
      <c r="A1064" s="1">
        <v>45672.25</v>
      </c>
      <c r="B1064" t="s">
        <v>17</v>
      </c>
      <c r="C1064">
        <v>300.62</v>
      </c>
      <c r="D1064">
        <v>22.77</v>
      </c>
      <c r="E1064" t="s">
        <v>9</v>
      </c>
      <c r="F1064">
        <v>86</v>
      </c>
      <c r="G1064" t="s">
        <v>10</v>
      </c>
      <c r="H1064" t="s">
        <v>13</v>
      </c>
    </row>
    <row r="1065" spans="1:8" x14ac:dyDescent="0.25">
      <c r="A1065" s="1">
        <v>45672.291666666664</v>
      </c>
      <c r="B1065" t="s">
        <v>17</v>
      </c>
      <c r="C1065">
        <v>215.85</v>
      </c>
      <c r="D1065">
        <v>91.76</v>
      </c>
      <c r="E1065" t="s">
        <v>14</v>
      </c>
      <c r="F1065">
        <v>79.23</v>
      </c>
      <c r="G1065" t="s">
        <v>10</v>
      </c>
      <c r="H1065" t="s">
        <v>11</v>
      </c>
    </row>
    <row r="1066" spans="1:8" x14ac:dyDescent="0.25">
      <c r="A1066" s="1">
        <v>45672.333333333336</v>
      </c>
      <c r="B1066" t="s">
        <v>17</v>
      </c>
      <c r="C1066">
        <v>290.70999999999998</v>
      </c>
      <c r="D1066">
        <v>42.22</v>
      </c>
      <c r="E1066" t="s">
        <v>9</v>
      </c>
      <c r="F1066">
        <v>37.92</v>
      </c>
      <c r="G1066" t="s">
        <v>10</v>
      </c>
      <c r="H1066" t="s">
        <v>12</v>
      </c>
    </row>
    <row r="1067" spans="1:8" x14ac:dyDescent="0.25">
      <c r="A1067" s="1">
        <v>45672.375</v>
      </c>
      <c r="B1067" t="s">
        <v>17</v>
      </c>
      <c r="C1067">
        <v>247.3</v>
      </c>
      <c r="D1067">
        <v>16.45</v>
      </c>
      <c r="E1067" t="s">
        <v>9</v>
      </c>
      <c r="F1067">
        <v>76.239999999999995</v>
      </c>
      <c r="G1067" t="s">
        <v>10</v>
      </c>
      <c r="H1067" t="s">
        <v>11</v>
      </c>
    </row>
    <row r="1068" spans="1:8" x14ac:dyDescent="0.25">
      <c r="A1068" s="1">
        <v>45672.416666666664</v>
      </c>
      <c r="B1068" t="s">
        <v>17</v>
      </c>
      <c r="C1068">
        <v>173.26</v>
      </c>
      <c r="D1068">
        <v>30.18</v>
      </c>
      <c r="E1068" t="s">
        <v>9</v>
      </c>
      <c r="F1068">
        <v>43.91</v>
      </c>
      <c r="G1068" t="s">
        <v>10</v>
      </c>
      <c r="H1068" t="s">
        <v>12</v>
      </c>
    </row>
    <row r="1069" spans="1:8" x14ac:dyDescent="0.25">
      <c r="A1069" s="1">
        <v>45672.458333333336</v>
      </c>
      <c r="B1069" t="s">
        <v>17</v>
      </c>
      <c r="C1069">
        <v>470.59</v>
      </c>
      <c r="D1069">
        <v>14.7</v>
      </c>
      <c r="E1069" t="s">
        <v>9</v>
      </c>
      <c r="F1069">
        <v>32.869999999999997</v>
      </c>
      <c r="G1069" t="s">
        <v>10</v>
      </c>
      <c r="H1069" t="s">
        <v>11</v>
      </c>
    </row>
    <row r="1070" spans="1:8" x14ac:dyDescent="0.25">
      <c r="A1070" s="1">
        <v>45672.5</v>
      </c>
      <c r="B1070" t="s">
        <v>17</v>
      </c>
      <c r="C1070">
        <v>233.55</v>
      </c>
      <c r="D1070">
        <v>23.23</v>
      </c>
      <c r="E1070" t="s">
        <v>9</v>
      </c>
      <c r="F1070">
        <v>70.569999999999993</v>
      </c>
      <c r="G1070" t="s">
        <v>10</v>
      </c>
      <c r="H1070" t="s">
        <v>13</v>
      </c>
    </row>
    <row r="1071" spans="1:8" x14ac:dyDescent="0.25">
      <c r="A1071" s="1">
        <v>45672.541666666664</v>
      </c>
      <c r="B1071" t="s">
        <v>17</v>
      </c>
      <c r="C1071">
        <v>256.77</v>
      </c>
      <c r="D1071">
        <v>94.33</v>
      </c>
      <c r="E1071" t="s">
        <v>14</v>
      </c>
      <c r="F1071">
        <v>43.61</v>
      </c>
      <c r="G1071" t="s">
        <v>10</v>
      </c>
      <c r="H1071" t="s">
        <v>11</v>
      </c>
    </row>
    <row r="1072" spans="1:8" x14ac:dyDescent="0.25">
      <c r="A1072" s="1">
        <v>45672.583333333336</v>
      </c>
      <c r="B1072" t="s">
        <v>17</v>
      </c>
      <c r="C1072">
        <v>479.26</v>
      </c>
      <c r="D1072">
        <v>79.95</v>
      </c>
      <c r="E1072" t="s">
        <v>9</v>
      </c>
      <c r="F1072">
        <v>84.24</v>
      </c>
      <c r="G1072" t="s">
        <v>10</v>
      </c>
      <c r="H1072" t="s">
        <v>12</v>
      </c>
    </row>
    <row r="1073" spans="1:8" x14ac:dyDescent="0.25">
      <c r="A1073" s="1">
        <v>45672.625</v>
      </c>
      <c r="B1073" t="s">
        <v>17</v>
      </c>
      <c r="C1073">
        <v>470.24</v>
      </c>
      <c r="D1073">
        <v>79.59</v>
      </c>
      <c r="E1073" t="s">
        <v>9</v>
      </c>
      <c r="F1073">
        <v>80.23</v>
      </c>
      <c r="G1073" t="s">
        <v>10</v>
      </c>
      <c r="H1073" t="s">
        <v>12</v>
      </c>
    </row>
    <row r="1074" spans="1:8" x14ac:dyDescent="0.25">
      <c r="A1074" s="1">
        <v>45672.666666666664</v>
      </c>
      <c r="B1074" t="s">
        <v>17</v>
      </c>
      <c r="C1074">
        <v>422.8</v>
      </c>
      <c r="D1074">
        <v>57.56</v>
      </c>
      <c r="E1074" t="s">
        <v>9</v>
      </c>
      <c r="F1074">
        <v>39.18</v>
      </c>
      <c r="G1074" t="s">
        <v>10</v>
      </c>
      <c r="H1074" t="s">
        <v>13</v>
      </c>
    </row>
    <row r="1075" spans="1:8" x14ac:dyDescent="0.25">
      <c r="A1075" s="1">
        <v>45672.708333333336</v>
      </c>
      <c r="B1075" t="s">
        <v>17</v>
      </c>
      <c r="C1075">
        <v>306.75</v>
      </c>
      <c r="D1075">
        <v>90.59</v>
      </c>
      <c r="E1075" t="s">
        <v>14</v>
      </c>
      <c r="F1075">
        <v>56.58</v>
      </c>
      <c r="G1075" t="s">
        <v>10</v>
      </c>
      <c r="H1075" t="s">
        <v>13</v>
      </c>
    </row>
    <row r="1076" spans="1:8" x14ac:dyDescent="0.25">
      <c r="A1076" s="1">
        <v>45672.75</v>
      </c>
      <c r="B1076" t="s">
        <v>17</v>
      </c>
      <c r="C1076">
        <v>443.84</v>
      </c>
      <c r="D1076">
        <v>55.49</v>
      </c>
      <c r="E1076" t="s">
        <v>9</v>
      </c>
      <c r="F1076">
        <v>54.26</v>
      </c>
      <c r="G1076" t="s">
        <v>10</v>
      </c>
      <c r="H1076" t="s">
        <v>13</v>
      </c>
    </row>
    <row r="1077" spans="1:8" x14ac:dyDescent="0.25">
      <c r="A1077" s="1">
        <v>45672.791666666664</v>
      </c>
      <c r="B1077" t="s">
        <v>17</v>
      </c>
      <c r="C1077">
        <v>275.5</v>
      </c>
      <c r="D1077">
        <v>69.64</v>
      </c>
      <c r="E1077" t="s">
        <v>9</v>
      </c>
      <c r="F1077">
        <v>77.510000000000005</v>
      </c>
      <c r="G1077" t="s">
        <v>10</v>
      </c>
      <c r="H1077" t="s">
        <v>13</v>
      </c>
    </row>
    <row r="1078" spans="1:8" x14ac:dyDescent="0.25">
      <c r="A1078" s="1">
        <v>45672.833333333336</v>
      </c>
      <c r="B1078" t="s">
        <v>17</v>
      </c>
      <c r="C1078">
        <v>459.01</v>
      </c>
      <c r="D1078">
        <v>90.3</v>
      </c>
      <c r="E1078" t="s">
        <v>14</v>
      </c>
      <c r="F1078">
        <v>33.86</v>
      </c>
      <c r="G1078" t="s">
        <v>10</v>
      </c>
      <c r="H1078" t="s">
        <v>12</v>
      </c>
    </row>
    <row r="1079" spans="1:8" x14ac:dyDescent="0.25">
      <c r="A1079" s="1">
        <v>45672.875</v>
      </c>
      <c r="B1079" t="s">
        <v>17</v>
      </c>
      <c r="C1079">
        <v>334.12</v>
      </c>
      <c r="D1079">
        <v>62.31</v>
      </c>
      <c r="E1079" t="s">
        <v>9</v>
      </c>
      <c r="F1079">
        <v>49.09</v>
      </c>
      <c r="G1079" t="s">
        <v>10</v>
      </c>
      <c r="H1079" t="s">
        <v>12</v>
      </c>
    </row>
    <row r="1080" spans="1:8" x14ac:dyDescent="0.25">
      <c r="A1080" s="1">
        <v>45672.916666666664</v>
      </c>
      <c r="B1080" t="s">
        <v>17</v>
      </c>
      <c r="C1080">
        <v>459.86</v>
      </c>
      <c r="D1080">
        <v>82.56</v>
      </c>
      <c r="E1080" t="s">
        <v>9</v>
      </c>
      <c r="F1080">
        <v>37.65</v>
      </c>
      <c r="G1080" t="s">
        <v>10</v>
      </c>
      <c r="H1080" t="s">
        <v>13</v>
      </c>
    </row>
    <row r="1081" spans="1:8" x14ac:dyDescent="0.25">
      <c r="A1081" s="1">
        <v>45672.958333333336</v>
      </c>
      <c r="B1081" t="s">
        <v>17</v>
      </c>
      <c r="C1081">
        <v>289.72000000000003</v>
      </c>
      <c r="D1081">
        <v>45.79</v>
      </c>
      <c r="E1081" t="s">
        <v>9</v>
      </c>
      <c r="F1081">
        <v>47.48</v>
      </c>
      <c r="G1081" t="s">
        <v>10</v>
      </c>
      <c r="H1081" t="s">
        <v>13</v>
      </c>
    </row>
    <row r="1082" spans="1:8" x14ac:dyDescent="0.25">
      <c r="A1082" s="1">
        <v>45658</v>
      </c>
      <c r="B1082" t="s">
        <v>18</v>
      </c>
      <c r="C1082">
        <v>467.31</v>
      </c>
      <c r="D1082">
        <v>46.62</v>
      </c>
      <c r="E1082" t="s">
        <v>9</v>
      </c>
      <c r="F1082">
        <v>83.42</v>
      </c>
      <c r="G1082" t="s">
        <v>10</v>
      </c>
      <c r="H1082" t="s">
        <v>12</v>
      </c>
    </row>
    <row r="1083" spans="1:8" x14ac:dyDescent="0.25">
      <c r="A1083" s="1">
        <v>45658.041666666664</v>
      </c>
      <c r="B1083" t="s">
        <v>18</v>
      </c>
      <c r="C1083">
        <v>381.57</v>
      </c>
      <c r="D1083">
        <v>52.56</v>
      </c>
      <c r="E1083" t="s">
        <v>9</v>
      </c>
      <c r="F1083">
        <v>37.35</v>
      </c>
      <c r="G1083" t="s">
        <v>10</v>
      </c>
      <c r="H1083" t="s">
        <v>12</v>
      </c>
    </row>
    <row r="1084" spans="1:8" x14ac:dyDescent="0.25">
      <c r="A1084" s="1">
        <v>45658.083333333336</v>
      </c>
      <c r="B1084" t="s">
        <v>18</v>
      </c>
      <c r="C1084">
        <v>254.34</v>
      </c>
      <c r="D1084">
        <v>73.489999999999995</v>
      </c>
      <c r="E1084" t="s">
        <v>9</v>
      </c>
      <c r="F1084">
        <v>52.03</v>
      </c>
      <c r="G1084" t="s">
        <v>10</v>
      </c>
      <c r="H1084" t="s">
        <v>13</v>
      </c>
    </row>
    <row r="1085" spans="1:8" x14ac:dyDescent="0.25">
      <c r="A1085" s="1">
        <v>45658.125</v>
      </c>
      <c r="B1085" t="s">
        <v>18</v>
      </c>
      <c r="C1085">
        <v>331.32</v>
      </c>
      <c r="D1085">
        <v>41.43</v>
      </c>
      <c r="E1085" t="s">
        <v>9</v>
      </c>
      <c r="F1085">
        <v>37.590000000000003</v>
      </c>
      <c r="G1085" t="s">
        <v>10</v>
      </c>
      <c r="H1085" t="s">
        <v>13</v>
      </c>
    </row>
    <row r="1086" spans="1:8" x14ac:dyDescent="0.25">
      <c r="A1086" s="1">
        <v>45658.166666666664</v>
      </c>
      <c r="B1086" t="s">
        <v>18</v>
      </c>
      <c r="C1086">
        <v>362.97</v>
      </c>
      <c r="D1086">
        <v>70.59</v>
      </c>
      <c r="E1086" t="s">
        <v>9</v>
      </c>
      <c r="F1086">
        <v>72.239999999999995</v>
      </c>
      <c r="G1086" t="s">
        <v>10</v>
      </c>
      <c r="H1086" t="s">
        <v>11</v>
      </c>
    </row>
    <row r="1087" spans="1:8" x14ac:dyDescent="0.25">
      <c r="A1087" s="1">
        <v>45658.208333333336</v>
      </c>
      <c r="B1087" t="s">
        <v>18</v>
      </c>
      <c r="C1087">
        <v>156.63999999999999</v>
      </c>
      <c r="D1087">
        <v>50.29</v>
      </c>
      <c r="E1087" t="s">
        <v>9</v>
      </c>
      <c r="F1087">
        <v>41.33</v>
      </c>
      <c r="G1087" t="s">
        <v>10</v>
      </c>
      <c r="H1087" t="s">
        <v>11</v>
      </c>
    </row>
    <row r="1088" spans="1:8" x14ac:dyDescent="0.25">
      <c r="A1088" s="1">
        <v>45658.25</v>
      </c>
      <c r="B1088" t="s">
        <v>18</v>
      </c>
      <c r="C1088">
        <v>139.72</v>
      </c>
      <c r="D1088">
        <v>38.909999999999997</v>
      </c>
      <c r="E1088" t="s">
        <v>9</v>
      </c>
      <c r="F1088">
        <v>32.54</v>
      </c>
      <c r="G1088" t="s">
        <v>10</v>
      </c>
      <c r="H1088" t="s">
        <v>12</v>
      </c>
    </row>
    <row r="1089" spans="1:8" x14ac:dyDescent="0.25">
      <c r="A1089" s="1">
        <v>45658.291666666664</v>
      </c>
      <c r="B1089" t="s">
        <v>18</v>
      </c>
      <c r="C1089">
        <v>161.84</v>
      </c>
      <c r="D1089">
        <v>38.64</v>
      </c>
      <c r="E1089" t="s">
        <v>9</v>
      </c>
      <c r="F1089">
        <v>76.25</v>
      </c>
      <c r="G1089" t="s">
        <v>10</v>
      </c>
      <c r="H1089" t="s">
        <v>12</v>
      </c>
    </row>
    <row r="1090" spans="1:8" x14ac:dyDescent="0.25">
      <c r="A1090" s="1">
        <v>45658.333333333336</v>
      </c>
      <c r="B1090" t="s">
        <v>18</v>
      </c>
      <c r="C1090">
        <v>390.83</v>
      </c>
      <c r="D1090">
        <v>42.91</v>
      </c>
      <c r="E1090" t="s">
        <v>9</v>
      </c>
      <c r="F1090">
        <v>89.37</v>
      </c>
      <c r="G1090" t="s">
        <v>10</v>
      </c>
      <c r="H1090" t="s">
        <v>13</v>
      </c>
    </row>
    <row r="1091" spans="1:8" x14ac:dyDescent="0.25">
      <c r="A1091" s="1">
        <v>45658.375</v>
      </c>
      <c r="B1091" t="s">
        <v>18</v>
      </c>
      <c r="C1091">
        <v>164.66</v>
      </c>
      <c r="D1091">
        <v>76.55</v>
      </c>
      <c r="E1091" t="s">
        <v>9</v>
      </c>
      <c r="F1091">
        <v>56.08</v>
      </c>
      <c r="G1091" t="s">
        <v>10</v>
      </c>
      <c r="H1091" t="s">
        <v>13</v>
      </c>
    </row>
    <row r="1092" spans="1:8" x14ac:dyDescent="0.25">
      <c r="A1092" s="1">
        <v>45658.416666666664</v>
      </c>
      <c r="B1092" t="s">
        <v>18</v>
      </c>
      <c r="C1092">
        <v>334.98</v>
      </c>
      <c r="D1092">
        <v>79.66</v>
      </c>
      <c r="E1092" t="s">
        <v>9</v>
      </c>
      <c r="F1092">
        <v>32.69</v>
      </c>
      <c r="G1092" t="s">
        <v>10</v>
      </c>
      <c r="H1092" t="s">
        <v>12</v>
      </c>
    </row>
    <row r="1093" spans="1:8" x14ac:dyDescent="0.25">
      <c r="A1093" s="1">
        <v>45658.458333333336</v>
      </c>
      <c r="B1093" t="s">
        <v>18</v>
      </c>
      <c r="C1093">
        <v>304.95</v>
      </c>
      <c r="D1093">
        <v>91.54</v>
      </c>
      <c r="E1093" t="s">
        <v>14</v>
      </c>
      <c r="F1093">
        <v>49.09</v>
      </c>
      <c r="G1093" t="s">
        <v>10</v>
      </c>
      <c r="H1093" t="s">
        <v>13</v>
      </c>
    </row>
    <row r="1094" spans="1:8" x14ac:dyDescent="0.25">
      <c r="A1094" s="1">
        <v>45658.5</v>
      </c>
      <c r="B1094" t="s">
        <v>18</v>
      </c>
      <c r="C1094">
        <v>189.39</v>
      </c>
      <c r="D1094">
        <v>56.26</v>
      </c>
      <c r="E1094" t="s">
        <v>9</v>
      </c>
      <c r="F1094">
        <v>69.819999999999993</v>
      </c>
      <c r="G1094" t="s">
        <v>10</v>
      </c>
      <c r="H1094" t="s">
        <v>12</v>
      </c>
    </row>
    <row r="1095" spans="1:8" x14ac:dyDescent="0.25">
      <c r="A1095" s="1">
        <v>45658.541666666664</v>
      </c>
      <c r="B1095" t="s">
        <v>18</v>
      </c>
      <c r="C1095">
        <v>84.47</v>
      </c>
      <c r="D1095">
        <v>79.650000000000006</v>
      </c>
      <c r="E1095" t="s">
        <v>9</v>
      </c>
      <c r="F1095">
        <v>88.59</v>
      </c>
      <c r="G1095" t="s">
        <v>10</v>
      </c>
      <c r="H1095" t="s">
        <v>11</v>
      </c>
    </row>
    <row r="1096" spans="1:8" x14ac:dyDescent="0.25">
      <c r="A1096" s="1">
        <v>45658.583333333336</v>
      </c>
      <c r="B1096" t="s">
        <v>18</v>
      </c>
      <c r="C1096">
        <v>60.67</v>
      </c>
      <c r="D1096">
        <v>20.46</v>
      </c>
      <c r="E1096" t="s">
        <v>9</v>
      </c>
      <c r="F1096">
        <v>55.08</v>
      </c>
      <c r="G1096" t="s">
        <v>10</v>
      </c>
      <c r="H1096" t="s">
        <v>13</v>
      </c>
    </row>
    <row r="1097" spans="1:8" x14ac:dyDescent="0.25">
      <c r="A1097" s="1">
        <v>45658.625</v>
      </c>
      <c r="B1097" t="s">
        <v>18</v>
      </c>
      <c r="C1097">
        <v>421.39</v>
      </c>
      <c r="D1097">
        <v>80.08</v>
      </c>
      <c r="E1097" t="s">
        <v>9</v>
      </c>
      <c r="F1097">
        <v>86.09</v>
      </c>
      <c r="G1097" t="s">
        <v>10</v>
      </c>
      <c r="H1097" t="s">
        <v>11</v>
      </c>
    </row>
    <row r="1098" spans="1:8" x14ac:dyDescent="0.25">
      <c r="A1098" s="1">
        <v>45658.666666666664</v>
      </c>
      <c r="B1098" t="s">
        <v>18</v>
      </c>
      <c r="C1098">
        <v>379.54</v>
      </c>
      <c r="D1098">
        <v>63.48</v>
      </c>
      <c r="E1098" t="s">
        <v>9</v>
      </c>
      <c r="F1098">
        <v>79.22</v>
      </c>
      <c r="G1098" t="s">
        <v>10</v>
      </c>
      <c r="H1098" t="s">
        <v>13</v>
      </c>
    </row>
    <row r="1099" spans="1:8" x14ac:dyDescent="0.25">
      <c r="A1099" s="1">
        <v>45658.708333333336</v>
      </c>
      <c r="B1099" t="s">
        <v>18</v>
      </c>
      <c r="C1099">
        <v>331.92</v>
      </c>
      <c r="D1099">
        <v>78.400000000000006</v>
      </c>
      <c r="E1099" t="s">
        <v>9</v>
      </c>
      <c r="F1099">
        <v>88.14</v>
      </c>
      <c r="G1099" t="s">
        <v>10</v>
      </c>
      <c r="H1099" t="s">
        <v>12</v>
      </c>
    </row>
    <row r="1100" spans="1:8" x14ac:dyDescent="0.25">
      <c r="A1100" s="1">
        <v>45658.75</v>
      </c>
      <c r="B1100" t="s">
        <v>18</v>
      </c>
      <c r="C1100">
        <v>292.25</v>
      </c>
      <c r="D1100">
        <v>59.77</v>
      </c>
      <c r="E1100" t="s">
        <v>9</v>
      </c>
      <c r="F1100">
        <v>86.92</v>
      </c>
      <c r="G1100" t="s">
        <v>10</v>
      </c>
      <c r="H1100" t="s">
        <v>11</v>
      </c>
    </row>
    <row r="1101" spans="1:8" x14ac:dyDescent="0.25">
      <c r="A1101" s="1">
        <v>45658.791666666664</v>
      </c>
      <c r="B1101" t="s">
        <v>18</v>
      </c>
      <c r="C1101">
        <v>333.46</v>
      </c>
      <c r="D1101">
        <v>15.44</v>
      </c>
      <c r="E1101" t="s">
        <v>9</v>
      </c>
      <c r="F1101">
        <v>62.47</v>
      </c>
      <c r="G1101" t="s">
        <v>10</v>
      </c>
      <c r="H1101" t="s">
        <v>11</v>
      </c>
    </row>
    <row r="1102" spans="1:8" x14ac:dyDescent="0.25">
      <c r="A1102" s="1">
        <v>45658.833333333336</v>
      </c>
      <c r="B1102" t="s">
        <v>18</v>
      </c>
      <c r="C1102">
        <v>169.31</v>
      </c>
      <c r="D1102">
        <v>54.1</v>
      </c>
      <c r="E1102" t="s">
        <v>9</v>
      </c>
      <c r="F1102">
        <v>80.790000000000006</v>
      </c>
      <c r="G1102" t="s">
        <v>10</v>
      </c>
      <c r="H1102" t="s">
        <v>11</v>
      </c>
    </row>
    <row r="1103" spans="1:8" x14ac:dyDescent="0.25">
      <c r="A1103" s="1">
        <v>45658.875</v>
      </c>
      <c r="B1103" t="s">
        <v>18</v>
      </c>
      <c r="C1103">
        <v>130.78</v>
      </c>
      <c r="D1103">
        <v>76.010000000000005</v>
      </c>
      <c r="E1103" t="s">
        <v>9</v>
      </c>
      <c r="F1103">
        <v>59.61</v>
      </c>
      <c r="G1103" t="s">
        <v>10</v>
      </c>
      <c r="H1103" t="s">
        <v>13</v>
      </c>
    </row>
    <row r="1104" spans="1:8" x14ac:dyDescent="0.25">
      <c r="A1104" s="1">
        <v>45658.916666666664</v>
      </c>
      <c r="B1104" t="s">
        <v>18</v>
      </c>
      <c r="C1104">
        <v>124.13</v>
      </c>
      <c r="D1104">
        <v>42.46</v>
      </c>
      <c r="E1104" t="s">
        <v>9</v>
      </c>
      <c r="F1104">
        <v>45.89</v>
      </c>
      <c r="G1104" t="s">
        <v>10</v>
      </c>
      <c r="H1104" t="s">
        <v>13</v>
      </c>
    </row>
    <row r="1105" spans="1:8" x14ac:dyDescent="0.25">
      <c r="A1105" s="1">
        <v>45658.958333333336</v>
      </c>
      <c r="B1105" t="s">
        <v>18</v>
      </c>
      <c r="C1105">
        <v>370.75</v>
      </c>
      <c r="D1105">
        <v>58.96</v>
      </c>
      <c r="E1105" t="s">
        <v>9</v>
      </c>
      <c r="F1105">
        <v>84.25</v>
      </c>
      <c r="G1105" t="s">
        <v>10</v>
      </c>
      <c r="H1105" t="s">
        <v>11</v>
      </c>
    </row>
    <row r="1106" spans="1:8" x14ac:dyDescent="0.25">
      <c r="A1106" s="1">
        <v>45659</v>
      </c>
      <c r="B1106" t="s">
        <v>18</v>
      </c>
      <c r="C1106">
        <v>271.86</v>
      </c>
      <c r="D1106">
        <v>77.650000000000006</v>
      </c>
      <c r="E1106" t="s">
        <v>9</v>
      </c>
      <c r="F1106">
        <v>86.85</v>
      </c>
      <c r="G1106" t="s">
        <v>10</v>
      </c>
      <c r="H1106" t="s">
        <v>11</v>
      </c>
    </row>
    <row r="1107" spans="1:8" x14ac:dyDescent="0.25">
      <c r="A1107" s="1">
        <v>45659.041666666664</v>
      </c>
      <c r="B1107" t="s">
        <v>18</v>
      </c>
      <c r="C1107">
        <v>376.43</v>
      </c>
      <c r="D1107">
        <v>30.97</v>
      </c>
      <c r="E1107" t="s">
        <v>9</v>
      </c>
      <c r="F1107">
        <v>83.08</v>
      </c>
      <c r="G1107" t="s">
        <v>10</v>
      </c>
      <c r="H1107" t="s">
        <v>13</v>
      </c>
    </row>
    <row r="1108" spans="1:8" x14ac:dyDescent="0.25">
      <c r="A1108" s="1">
        <v>45659.083333333336</v>
      </c>
      <c r="B1108" t="s">
        <v>18</v>
      </c>
      <c r="C1108">
        <v>495.13</v>
      </c>
      <c r="D1108">
        <v>51.46</v>
      </c>
      <c r="E1108" t="s">
        <v>9</v>
      </c>
      <c r="F1108">
        <v>34.46</v>
      </c>
      <c r="G1108" t="s">
        <v>10</v>
      </c>
      <c r="H1108" t="s">
        <v>13</v>
      </c>
    </row>
    <row r="1109" spans="1:8" x14ac:dyDescent="0.25">
      <c r="A1109" s="1">
        <v>45659.125</v>
      </c>
      <c r="B1109" t="s">
        <v>18</v>
      </c>
      <c r="C1109">
        <v>429.61</v>
      </c>
      <c r="D1109">
        <v>28.44</v>
      </c>
      <c r="E1109" t="s">
        <v>9</v>
      </c>
      <c r="F1109">
        <v>84.28</v>
      </c>
      <c r="G1109" t="s">
        <v>10</v>
      </c>
      <c r="H1109" t="s">
        <v>12</v>
      </c>
    </row>
    <row r="1110" spans="1:8" x14ac:dyDescent="0.25">
      <c r="A1110" s="1">
        <v>45659.166666666664</v>
      </c>
      <c r="B1110" t="s">
        <v>18</v>
      </c>
      <c r="C1110">
        <v>363.05</v>
      </c>
      <c r="D1110">
        <v>76.03</v>
      </c>
      <c r="E1110" t="s">
        <v>9</v>
      </c>
      <c r="F1110">
        <v>56.47</v>
      </c>
      <c r="G1110" t="s">
        <v>10</v>
      </c>
      <c r="H1110" t="s">
        <v>11</v>
      </c>
    </row>
    <row r="1111" spans="1:8" x14ac:dyDescent="0.25">
      <c r="A1111" s="1">
        <v>45659.208333333336</v>
      </c>
      <c r="B1111" t="s">
        <v>18</v>
      </c>
      <c r="C1111">
        <v>111.99</v>
      </c>
      <c r="D1111">
        <v>43.9</v>
      </c>
      <c r="E1111" t="s">
        <v>9</v>
      </c>
      <c r="F1111">
        <v>73.33</v>
      </c>
      <c r="G1111" t="s">
        <v>10</v>
      </c>
      <c r="H1111" t="s">
        <v>11</v>
      </c>
    </row>
    <row r="1112" spans="1:8" x14ac:dyDescent="0.25">
      <c r="A1112" s="1">
        <v>45659.25</v>
      </c>
      <c r="B1112" t="s">
        <v>18</v>
      </c>
      <c r="C1112">
        <v>315.60000000000002</v>
      </c>
      <c r="D1112">
        <v>70.319999999999993</v>
      </c>
      <c r="E1112" t="s">
        <v>9</v>
      </c>
      <c r="F1112">
        <v>50.63</v>
      </c>
      <c r="G1112" t="s">
        <v>10</v>
      </c>
      <c r="H1112" t="s">
        <v>11</v>
      </c>
    </row>
    <row r="1113" spans="1:8" x14ac:dyDescent="0.25">
      <c r="A1113" s="1">
        <v>45659.291666666664</v>
      </c>
      <c r="B1113" t="s">
        <v>18</v>
      </c>
      <c r="C1113">
        <v>447.89</v>
      </c>
      <c r="D1113">
        <v>52.25</v>
      </c>
      <c r="E1113" t="s">
        <v>9</v>
      </c>
      <c r="F1113">
        <v>52.97</v>
      </c>
      <c r="G1113" t="s">
        <v>10</v>
      </c>
      <c r="H1113" t="s">
        <v>12</v>
      </c>
    </row>
    <row r="1114" spans="1:8" x14ac:dyDescent="0.25">
      <c r="A1114" s="1">
        <v>45659.333333333336</v>
      </c>
      <c r="B1114" t="s">
        <v>18</v>
      </c>
      <c r="C1114">
        <v>321.89</v>
      </c>
      <c r="D1114">
        <v>85.26</v>
      </c>
      <c r="E1114" t="s">
        <v>14</v>
      </c>
      <c r="F1114">
        <v>49.48</v>
      </c>
      <c r="G1114" t="s">
        <v>10</v>
      </c>
      <c r="H1114" t="s">
        <v>13</v>
      </c>
    </row>
    <row r="1115" spans="1:8" x14ac:dyDescent="0.25">
      <c r="A1115" s="1">
        <v>45659.375</v>
      </c>
      <c r="B1115" t="s">
        <v>18</v>
      </c>
      <c r="C1115">
        <v>435.33</v>
      </c>
      <c r="D1115">
        <v>23.11</v>
      </c>
      <c r="E1115" t="s">
        <v>9</v>
      </c>
      <c r="F1115">
        <v>50.86</v>
      </c>
      <c r="G1115" t="s">
        <v>10</v>
      </c>
      <c r="H1115" t="s">
        <v>12</v>
      </c>
    </row>
    <row r="1116" spans="1:8" x14ac:dyDescent="0.25">
      <c r="A1116" s="1">
        <v>45659.416666666664</v>
      </c>
      <c r="B1116" t="s">
        <v>18</v>
      </c>
      <c r="C1116">
        <v>420</v>
      </c>
      <c r="D1116">
        <v>37.94</v>
      </c>
      <c r="E1116" t="s">
        <v>9</v>
      </c>
      <c r="F1116">
        <v>72.319999999999993</v>
      </c>
      <c r="G1116" t="s">
        <v>10</v>
      </c>
      <c r="H1116" t="s">
        <v>11</v>
      </c>
    </row>
    <row r="1117" spans="1:8" x14ac:dyDescent="0.25">
      <c r="A1117" s="1">
        <v>45659.458333333336</v>
      </c>
      <c r="B1117" t="s">
        <v>18</v>
      </c>
      <c r="C1117">
        <v>425.97</v>
      </c>
      <c r="D1117">
        <v>27.18</v>
      </c>
      <c r="E1117" t="s">
        <v>9</v>
      </c>
      <c r="F1117">
        <v>81.260000000000005</v>
      </c>
      <c r="G1117" t="s">
        <v>10</v>
      </c>
      <c r="H1117" t="s">
        <v>11</v>
      </c>
    </row>
    <row r="1118" spans="1:8" x14ac:dyDescent="0.25">
      <c r="A1118" s="1">
        <v>45659.5</v>
      </c>
      <c r="B1118" t="s">
        <v>18</v>
      </c>
      <c r="C1118">
        <v>134.88</v>
      </c>
      <c r="D1118">
        <v>23.2</v>
      </c>
      <c r="E1118" t="s">
        <v>9</v>
      </c>
      <c r="F1118">
        <v>62.8</v>
      </c>
      <c r="G1118" t="s">
        <v>10</v>
      </c>
      <c r="H1118" t="s">
        <v>11</v>
      </c>
    </row>
    <row r="1119" spans="1:8" x14ac:dyDescent="0.25">
      <c r="A1119" s="1">
        <v>45659.541666666664</v>
      </c>
      <c r="B1119" t="s">
        <v>18</v>
      </c>
      <c r="C1119">
        <v>137.30000000000001</v>
      </c>
      <c r="D1119">
        <v>37.08</v>
      </c>
      <c r="E1119" t="s">
        <v>9</v>
      </c>
      <c r="F1119">
        <v>60.31</v>
      </c>
      <c r="G1119" t="s">
        <v>10</v>
      </c>
      <c r="H1119" t="s">
        <v>12</v>
      </c>
    </row>
    <row r="1120" spans="1:8" x14ac:dyDescent="0.25">
      <c r="A1120" s="1">
        <v>45659.583333333336</v>
      </c>
      <c r="B1120" t="s">
        <v>18</v>
      </c>
      <c r="C1120">
        <v>414.06</v>
      </c>
      <c r="D1120">
        <v>33.869999999999997</v>
      </c>
      <c r="E1120" t="s">
        <v>9</v>
      </c>
      <c r="F1120">
        <v>66.91</v>
      </c>
      <c r="G1120" t="s">
        <v>10</v>
      </c>
      <c r="H1120" t="s">
        <v>12</v>
      </c>
    </row>
    <row r="1121" spans="1:8" x14ac:dyDescent="0.25">
      <c r="A1121" s="1">
        <v>45659.625</v>
      </c>
      <c r="B1121" t="s">
        <v>18</v>
      </c>
      <c r="C1121">
        <v>136.30000000000001</v>
      </c>
      <c r="D1121">
        <v>18.05</v>
      </c>
      <c r="E1121" t="s">
        <v>9</v>
      </c>
      <c r="F1121">
        <v>82.42</v>
      </c>
      <c r="G1121" t="s">
        <v>10</v>
      </c>
      <c r="H1121" t="s">
        <v>12</v>
      </c>
    </row>
    <row r="1122" spans="1:8" x14ac:dyDescent="0.25">
      <c r="A1122" s="1">
        <v>45659.666666666664</v>
      </c>
      <c r="B1122" t="s">
        <v>18</v>
      </c>
      <c r="C1122">
        <v>161.01</v>
      </c>
      <c r="D1122">
        <v>70.319999999999993</v>
      </c>
      <c r="E1122" t="s">
        <v>9</v>
      </c>
      <c r="F1122">
        <v>54.57</v>
      </c>
      <c r="G1122" t="s">
        <v>10</v>
      </c>
      <c r="H1122" t="s">
        <v>13</v>
      </c>
    </row>
    <row r="1123" spans="1:8" x14ac:dyDescent="0.25">
      <c r="A1123" s="1">
        <v>45659.708333333336</v>
      </c>
      <c r="B1123" t="s">
        <v>18</v>
      </c>
      <c r="C1123">
        <v>75.52</v>
      </c>
      <c r="D1123">
        <v>16.39</v>
      </c>
      <c r="E1123" t="s">
        <v>9</v>
      </c>
      <c r="F1123">
        <v>40.700000000000003</v>
      </c>
      <c r="G1123" t="s">
        <v>10</v>
      </c>
      <c r="H1123" t="s">
        <v>11</v>
      </c>
    </row>
    <row r="1124" spans="1:8" x14ac:dyDescent="0.25">
      <c r="A1124" s="1">
        <v>45659.75</v>
      </c>
      <c r="B1124" t="s">
        <v>18</v>
      </c>
      <c r="C1124">
        <v>310.13</v>
      </c>
      <c r="D1124">
        <v>44.46</v>
      </c>
      <c r="E1124" t="s">
        <v>9</v>
      </c>
      <c r="F1124">
        <v>62.09</v>
      </c>
      <c r="G1124" t="s">
        <v>10</v>
      </c>
      <c r="H1124" t="s">
        <v>12</v>
      </c>
    </row>
    <row r="1125" spans="1:8" x14ac:dyDescent="0.25">
      <c r="A1125" s="1">
        <v>45659.791666666664</v>
      </c>
      <c r="B1125" t="s">
        <v>18</v>
      </c>
      <c r="C1125">
        <v>460.62</v>
      </c>
      <c r="D1125">
        <v>35.549999999999997</v>
      </c>
      <c r="E1125" t="s">
        <v>9</v>
      </c>
      <c r="F1125">
        <v>57.73</v>
      </c>
      <c r="G1125" t="s">
        <v>10</v>
      </c>
      <c r="H1125" t="s">
        <v>12</v>
      </c>
    </row>
    <row r="1126" spans="1:8" x14ac:dyDescent="0.25">
      <c r="A1126" s="1">
        <v>45659.833333333336</v>
      </c>
      <c r="B1126" t="s">
        <v>18</v>
      </c>
      <c r="C1126">
        <v>81.73</v>
      </c>
      <c r="D1126">
        <v>60.98</v>
      </c>
      <c r="E1126" t="s">
        <v>9</v>
      </c>
      <c r="F1126">
        <v>73.180000000000007</v>
      </c>
      <c r="G1126" t="s">
        <v>10</v>
      </c>
      <c r="H1126" t="s">
        <v>11</v>
      </c>
    </row>
    <row r="1127" spans="1:8" x14ac:dyDescent="0.25">
      <c r="A1127" s="1">
        <v>45659.875</v>
      </c>
      <c r="B1127" t="s">
        <v>18</v>
      </c>
      <c r="C1127">
        <v>377.14</v>
      </c>
      <c r="D1127">
        <v>44.62</v>
      </c>
      <c r="E1127" t="s">
        <v>9</v>
      </c>
      <c r="F1127">
        <v>30.49</v>
      </c>
      <c r="G1127" t="s">
        <v>10</v>
      </c>
      <c r="H1127" t="s">
        <v>12</v>
      </c>
    </row>
    <row r="1128" spans="1:8" x14ac:dyDescent="0.25">
      <c r="A1128" s="1">
        <v>45659.916666666664</v>
      </c>
      <c r="B1128" t="s">
        <v>18</v>
      </c>
      <c r="C1128">
        <v>292.83</v>
      </c>
      <c r="D1128">
        <v>24.46</v>
      </c>
      <c r="E1128" t="s">
        <v>9</v>
      </c>
      <c r="F1128">
        <v>61.59</v>
      </c>
      <c r="G1128" t="s">
        <v>10</v>
      </c>
      <c r="H1128" t="s">
        <v>12</v>
      </c>
    </row>
    <row r="1129" spans="1:8" x14ac:dyDescent="0.25">
      <c r="A1129" s="1">
        <v>45659.958333333336</v>
      </c>
      <c r="B1129" t="s">
        <v>18</v>
      </c>
      <c r="C1129">
        <v>359.12</v>
      </c>
      <c r="D1129">
        <v>37.81</v>
      </c>
      <c r="E1129" t="s">
        <v>9</v>
      </c>
      <c r="F1129">
        <v>63.59</v>
      </c>
      <c r="G1129" t="s">
        <v>10</v>
      </c>
      <c r="H1129" t="s">
        <v>11</v>
      </c>
    </row>
    <row r="1130" spans="1:8" x14ac:dyDescent="0.25">
      <c r="A1130" s="1">
        <v>45660</v>
      </c>
      <c r="B1130" t="s">
        <v>18</v>
      </c>
      <c r="C1130">
        <v>190.46</v>
      </c>
      <c r="D1130">
        <v>15.03</v>
      </c>
      <c r="E1130" t="s">
        <v>9</v>
      </c>
      <c r="F1130">
        <v>35.76</v>
      </c>
      <c r="G1130" t="s">
        <v>10</v>
      </c>
      <c r="H1130" t="s">
        <v>11</v>
      </c>
    </row>
    <row r="1131" spans="1:8" x14ac:dyDescent="0.25">
      <c r="A1131" s="1">
        <v>45660.041666666664</v>
      </c>
      <c r="B1131" t="s">
        <v>18</v>
      </c>
      <c r="C1131">
        <v>290.66000000000003</v>
      </c>
      <c r="D1131">
        <v>30.11</v>
      </c>
      <c r="E1131" t="s">
        <v>9</v>
      </c>
      <c r="F1131">
        <v>60.5</v>
      </c>
      <c r="G1131" t="s">
        <v>10</v>
      </c>
      <c r="H1131" t="s">
        <v>11</v>
      </c>
    </row>
    <row r="1132" spans="1:8" x14ac:dyDescent="0.25">
      <c r="A1132" s="1">
        <v>45660.083333333336</v>
      </c>
      <c r="B1132" t="s">
        <v>18</v>
      </c>
      <c r="C1132">
        <v>365.77</v>
      </c>
      <c r="D1132">
        <v>18.27</v>
      </c>
      <c r="E1132" t="s">
        <v>9</v>
      </c>
      <c r="F1132">
        <v>33.56</v>
      </c>
      <c r="G1132" t="s">
        <v>10</v>
      </c>
      <c r="H1132" t="s">
        <v>12</v>
      </c>
    </row>
    <row r="1133" spans="1:8" x14ac:dyDescent="0.25">
      <c r="A1133" s="1">
        <v>45660.125</v>
      </c>
      <c r="B1133" t="s">
        <v>18</v>
      </c>
      <c r="C1133">
        <v>260.51</v>
      </c>
      <c r="D1133">
        <v>19.739999999999998</v>
      </c>
      <c r="E1133" t="s">
        <v>9</v>
      </c>
      <c r="F1133">
        <v>65.89</v>
      </c>
      <c r="G1133" t="s">
        <v>10</v>
      </c>
      <c r="H1133" t="s">
        <v>13</v>
      </c>
    </row>
    <row r="1134" spans="1:8" x14ac:dyDescent="0.25">
      <c r="A1134" s="1">
        <v>45660.166666666664</v>
      </c>
      <c r="B1134" t="s">
        <v>18</v>
      </c>
      <c r="C1134">
        <v>287.43</v>
      </c>
      <c r="D1134">
        <v>55.92</v>
      </c>
      <c r="E1134" t="s">
        <v>9</v>
      </c>
      <c r="F1134">
        <v>85.46</v>
      </c>
      <c r="G1134" t="s">
        <v>10</v>
      </c>
      <c r="H1134" t="s">
        <v>12</v>
      </c>
    </row>
    <row r="1135" spans="1:8" x14ac:dyDescent="0.25">
      <c r="A1135" s="1">
        <v>45660.208333333336</v>
      </c>
      <c r="B1135" t="s">
        <v>18</v>
      </c>
      <c r="C1135">
        <v>327.24</v>
      </c>
      <c r="D1135">
        <v>44.4</v>
      </c>
      <c r="E1135" t="s">
        <v>9</v>
      </c>
      <c r="F1135">
        <v>89.05</v>
      </c>
      <c r="G1135" t="s">
        <v>10</v>
      </c>
      <c r="H1135" t="s">
        <v>11</v>
      </c>
    </row>
    <row r="1136" spans="1:8" x14ac:dyDescent="0.25">
      <c r="A1136" s="1">
        <v>45660.25</v>
      </c>
      <c r="B1136" t="s">
        <v>18</v>
      </c>
      <c r="C1136">
        <v>399.73</v>
      </c>
      <c r="D1136">
        <v>37.11</v>
      </c>
      <c r="E1136" t="s">
        <v>9</v>
      </c>
      <c r="F1136">
        <v>80.650000000000006</v>
      </c>
      <c r="G1136" t="s">
        <v>10</v>
      </c>
      <c r="H1136" t="s">
        <v>13</v>
      </c>
    </row>
    <row r="1137" spans="1:8" x14ac:dyDescent="0.25">
      <c r="A1137" s="1">
        <v>45660.291666666664</v>
      </c>
      <c r="B1137" t="s">
        <v>18</v>
      </c>
      <c r="C1137">
        <v>76.78</v>
      </c>
      <c r="D1137">
        <v>36.14</v>
      </c>
      <c r="E1137" t="s">
        <v>9</v>
      </c>
      <c r="F1137">
        <v>85.48</v>
      </c>
      <c r="G1137" t="s">
        <v>10</v>
      </c>
      <c r="H1137" t="s">
        <v>12</v>
      </c>
    </row>
    <row r="1138" spans="1:8" x14ac:dyDescent="0.25">
      <c r="A1138" s="1">
        <v>45660.333333333336</v>
      </c>
      <c r="B1138" t="s">
        <v>18</v>
      </c>
      <c r="C1138">
        <v>365.51</v>
      </c>
      <c r="D1138">
        <v>37.54</v>
      </c>
      <c r="E1138" t="s">
        <v>9</v>
      </c>
      <c r="F1138">
        <v>47.85</v>
      </c>
      <c r="G1138" t="s">
        <v>10</v>
      </c>
      <c r="H1138" t="s">
        <v>11</v>
      </c>
    </row>
    <row r="1139" spans="1:8" x14ac:dyDescent="0.25">
      <c r="A1139" s="1">
        <v>45660.375</v>
      </c>
      <c r="B1139" t="s">
        <v>18</v>
      </c>
      <c r="C1139">
        <v>309.24</v>
      </c>
      <c r="D1139">
        <v>70.41</v>
      </c>
      <c r="E1139" t="s">
        <v>9</v>
      </c>
      <c r="F1139">
        <v>39.880000000000003</v>
      </c>
      <c r="G1139" t="s">
        <v>10</v>
      </c>
      <c r="H1139" t="s">
        <v>13</v>
      </c>
    </row>
    <row r="1140" spans="1:8" x14ac:dyDescent="0.25">
      <c r="A1140" s="1">
        <v>45660.416666666664</v>
      </c>
      <c r="B1140" t="s">
        <v>18</v>
      </c>
      <c r="C1140">
        <v>371.86</v>
      </c>
      <c r="D1140">
        <v>27.86</v>
      </c>
      <c r="E1140" t="s">
        <v>9</v>
      </c>
      <c r="F1140">
        <v>36.270000000000003</v>
      </c>
      <c r="G1140" t="s">
        <v>10</v>
      </c>
      <c r="H1140" t="s">
        <v>13</v>
      </c>
    </row>
    <row r="1141" spans="1:8" x14ac:dyDescent="0.25">
      <c r="A1141" s="1">
        <v>45660.458333333336</v>
      </c>
      <c r="B1141" t="s">
        <v>18</v>
      </c>
      <c r="C1141">
        <v>81.28</v>
      </c>
      <c r="D1141">
        <v>92.75</v>
      </c>
      <c r="E1141" t="s">
        <v>14</v>
      </c>
      <c r="F1141">
        <v>30.86</v>
      </c>
      <c r="G1141" t="s">
        <v>10</v>
      </c>
      <c r="H1141" t="s">
        <v>11</v>
      </c>
    </row>
    <row r="1142" spans="1:8" x14ac:dyDescent="0.25">
      <c r="A1142" s="1">
        <v>45660.5</v>
      </c>
      <c r="B1142" t="s">
        <v>18</v>
      </c>
      <c r="C1142">
        <v>303.18</v>
      </c>
      <c r="D1142">
        <v>24.91</v>
      </c>
      <c r="E1142" t="s">
        <v>9</v>
      </c>
      <c r="F1142">
        <v>39.049999999999997</v>
      </c>
      <c r="G1142" t="s">
        <v>10</v>
      </c>
      <c r="H1142" t="s">
        <v>11</v>
      </c>
    </row>
    <row r="1143" spans="1:8" x14ac:dyDescent="0.25">
      <c r="A1143" s="1">
        <v>45660.541666666664</v>
      </c>
      <c r="B1143" t="s">
        <v>18</v>
      </c>
      <c r="C1143">
        <v>251.84</v>
      </c>
      <c r="D1143">
        <v>64.72</v>
      </c>
      <c r="E1143" t="s">
        <v>9</v>
      </c>
      <c r="F1143">
        <v>38.78</v>
      </c>
      <c r="G1143" t="s">
        <v>10</v>
      </c>
      <c r="H1143" t="s">
        <v>12</v>
      </c>
    </row>
    <row r="1144" spans="1:8" x14ac:dyDescent="0.25">
      <c r="A1144" s="1">
        <v>45660.583333333336</v>
      </c>
      <c r="B1144" t="s">
        <v>18</v>
      </c>
      <c r="C1144">
        <v>209.75</v>
      </c>
      <c r="D1144">
        <v>19.87</v>
      </c>
      <c r="E1144" t="s">
        <v>9</v>
      </c>
      <c r="F1144">
        <v>70.39</v>
      </c>
      <c r="G1144" t="s">
        <v>10</v>
      </c>
      <c r="H1144" t="s">
        <v>12</v>
      </c>
    </row>
    <row r="1145" spans="1:8" x14ac:dyDescent="0.25">
      <c r="A1145" s="1">
        <v>45660.625</v>
      </c>
      <c r="B1145" t="s">
        <v>18</v>
      </c>
      <c r="C1145">
        <v>442.07</v>
      </c>
      <c r="D1145">
        <v>67.709999999999994</v>
      </c>
      <c r="E1145" t="s">
        <v>9</v>
      </c>
      <c r="F1145">
        <v>50.5</v>
      </c>
      <c r="G1145" t="s">
        <v>10</v>
      </c>
      <c r="H1145" t="s">
        <v>13</v>
      </c>
    </row>
    <row r="1146" spans="1:8" x14ac:dyDescent="0.25">
      <c r="A1146" s="1">
        <v>45660.666666666664</v>
      </c>
      <c r="B1146" t="s">
        <v>18</v>
      </c>
      <c r="C1146">
        <v>347.81</v>
      </c>
      <c r="D1146">
        <v>50.31</v>
      </c>
      <c r="E1146" t="s">
        <v>9</v>
      </c>
      <c r="F1146">
        <v>56.8</v>
      </c>
      <c r="G1146" t="s">
        <v>10</v>
      </c>
      <c r="H1146" t="s">
        <v>13</v>
      </c>
    </row>
    <row r="1147" spans="1:8" x14ac:dyDescent="0.25">
      <c r="A1147" s="1">
        <v>45660.708333333336</v>
      </c>
      <c r="B1147" t="s">
        <v>18</v>
      </c>
      <c r="C1147">
        <v>415.93</v>
      </c>
      <c r="D1147">
        <v>91.33</v>
      </c>
      <c r="E1147" t="s">
        <v>14</v>
      </c>
      <c r="F1147">
        <v>85.55</v>
      </c>
      <c r="G1147" t="s">
        <v>10</v>
      </c>
      <c r="H1147" t="s">
        <v>11</v>
      </c>
    </row>
    <row r="1148" spans="1:8" x14ac:dyDescent="0.25">
      <c r="A1148" s="1">
        <v>45660.75</v>
      </c>
      <c r="B1148" t="s">
        <v>18</v>
      </c>
      <c r="C1148">
        <v>280.48</v>
      </c>
      <c r="D1148">
        <v>43.18</v>
      </c>
      <c r="E1148" t="s">
        <v>9</v>
      </c>
      <c r="F1148">
        <v>57.9</v>
      </c>
      <c r="G1148" t="s">
        <v>10</v>
      </c>
      <c r="H1148" t="s">
        <v>13</v>
      </c>
    </row>
    <row r="1149" spans="1:8" x14ac:dyDescent="0.25">
      <c r="A1149" s="1">
        <v>45660.791666666664</v>
      </c>
      <c r="B1149" t="s">
        <v>18</v>
      </c>
      <c r="C1149">
        <v>125.92</v>
      </c>
      <c r="D1149">
        <v>39.58</v>
      </c>
      <c r="E1149" t="s">
        <v>9</v>
      </c>
      <c r="F1149">
        <v>65.63</v>
      </c>
      <c r="G1149" t="s">
        <v>10</v>
      </c>
      <c r="H1149" t="s">
        <v>11</v>
      </c>
    </row>
    <row r="1150" spans="1:8" x14ac:dyDescent="0.25">
      <c r="A1150" s="1">
        <v>45660.833333333336</v>
      </c>
      <c r="B1150" t="s">
        <v>18</v>
      </c>
      <c r="C1150">
        <v>490.49</v>
      </c>
      <c r="D1150">
        <v>85.3</v>
      </c>
      <c r="E1150" t="s">
        <v>14</v>
      </c>
      <c r="F1150">
        <v>46.8</v>
      </c>
      <c r="G1150" t="s">
        <v>10</v>
      </c>
      <c r="H1150" t="s">
        <v>11</v>
      </c>
    </row>
    <row r="1151" spans="1:8" x14ac:dyDescent="0.25">
      <c r="A1151" s="1">
        <v>45660.875</v>
      </c>
      <c r="B1151" t="s">
        <v>18</v>
      </c>
      <c r="C1151">
        <v>359.95</v>
      </c>
      <c r="D1151">
        <v>68.34</v>
      </c>
      <c r="E1151" t="s">
        <v>9</v>
      </c>
      <c r="F1151">
        <v>39.61</v>
      </c>
      <c r="G1151" t="s">
        <v>10</v>
      </c>
      <c r="H1151" t="s">
        <v>11</v>
      </c>
    </row>
    <row r="1152" spans="1:8" x14ac:dyDescent="0.25">
      <c r="A1152" s="1">
        <v>45660.916666666664</v>
      </c>
      <c r="B1152" t="s">
        <v>18</v>
      </c>
      <c r="C1152">
        <v>411.94</v>
      </c>
      <c r="D1152">
        <v>86.85</v>
      </c>
      <c r="E1152" t="s">
        <v>14</v>
      </c>
      <c r="F1152">
        <v>67.430000000000007</v>
      </c>
      <c r="G1152" t="s">
        <v>10</v>
      </c>
      <c r="H1152" t="s">
        <v>11</v>
      </c>
    </row>
    <row r="1153" spans="1:8" x14ac:dyDescent="0.25">
      <c r="A1153" s="1">
        <v>45660.958333333336</v>
      </c>
      <c r="B1153" t="s">
        <v>18</v>
      </c>
      <c r="C1153">
        <v>51.22</v>
      </c>
      <c r="D1153">
        <v>49.05</v>
      </c>
      <c r="E1153" t="s">
        <v>9</v>
      </c>
      <c r="F1153">
        <v>60.2</v>
      </c>
      <c r="G1153" t="s">
        <v>10</v>
      </c>
      <c r="H1153" t="s">
        <v>12</v>
      </c>
    </row>
    <row r="1154" spans="1:8" x14ac:dyDescent="0.25">
      <c r="A1154" s="1">
        <v>45661</v>
      </c>
      <c r="B1154" t="s">
        <v>18</v>
      </c>
      <c r="C1154">
        <v>183.23</v>
      </c>
      <c r="D1154">
        <v>71.55</v>
      </c>
      <c r="E1154" t="s">
        <v>9</v>
      </c>
      <c r="F1154">
        <v>40.159999999999997</v>
      </c>
      <c r="G1154" t="s">
        <v>10</v>
      </c>
      <c r="H1154" t="s">
        <v>12</v>
      </c>
    </row>
    <row r="1155" spans="1:8" x14ac:dyDescent="0.25">
      <c r="A1155" s="1">
        <v>45661.041666666664</v>
      </c>
      <c r="B1155" t="s">
        <v>18</v>
      </c>
      <c r="C1155">
        <v>307.33</v>
      </c>
      <c r="D1155">
        <v>61.3</v>
      </c>
      <c r="E1155" t="s">
        <v>9</v>
      </c>
      <c r="F1155">
        <v>42.59</v>
      </c>
      <c r="G1155" t="s">
        <v>10</v>
      </c>
      <c r="H1155" t="s">
        <v>12</v>
      </c>
    </row>
    <row r="1156" spans="1:8" x14ac:dyDescent="0.25">
      <c r="A1156" s="1">
        <v>45661.083333333336</v>
      </c>
      <c r="B1156" t="s">
        <v>18</v>
      </c>
      <c r="C1156">
        <v>480.21</v>
      </c>
      <c r="D1156">
        <v>31.39</v>
      </c>
      <c r="E1156" t="s">
        <v>9</v>
      </c>
      <c r="F1156">
        <v>61</v>
      </c>
      <c r="G1156" t="s">
        <v>10</v>
      </c>
      <c r="H1156" t="s">
        <v>13</v>
      </c>
    </row>
    <row r="1157" spans="1:8" x14ac:dyDescent="0.25">
      <c r="A1157" s="1">
        <v>45661.125</v>
      </c>
      <c r="B1157" t="s">
        <v>18</v>
      </c>
      <c r="C1157">
        <v>477.74</v>
      </c>
      <c r="D1157">
        <v>93.42</v>
      </c>
      <c r="E1157" t="s">
        <v>14</v>
      </c>
      <c r="F1157">
        <v>62.73</v>
      </c>
      <c r="G1157" t="s">
        <v>10</v>
      </c>
      <c r="H1157" t="s">
        <v>13</v>
      </c>
    </row>
    <row r="1158" spans="1:8" x14ac:dyDescent="0.25">
      <c r="A1158" s="1">
        <v>45661.166666666664</v>
      </c>
      <c r="B1158" t="s">
        <v>18</v>
      </c>
      <c r="C1158">
        <v>258.64999999999998</v>
      </c>
      <c r="D1158">
        <v>21.16</v>
      </c>
      <c r="E1158" t="s">
        <v>9</v>
      </c>
      <c r="F1158">
        <v>66.540000000000006</v>
      </c>
      <c r="G1158" t="s">
        <v>10</v>
      </c>
      <c r="H1158" t="s">
        <v>13</v>
      </c>
    </row>
    <row r="1159" spans="1:8" x14ac:dyDescent="0.25">
      <c r="A1159" s="1">
        <v>45661.208333333336</v>
      </c>
      <c r="B1159" t="s">
        <v>18</v>
      </c>
      <c r="C1159">
        <v>314.38</v>
      </c>
      <c r="D1159">
        <v>18.989999999999998</v>
      </c>
      <c r="E1159" t="s">
        <v>9</v>
      </c>
      <c r="F1159">
        <v>87.51</v>
      </c>
      <c r="G1159" t="s">
        <v>10</v>
      </c>
      <c r="H1159" t="s">
        <v>12</v>
      </c>
    </row>
    <row r="1160" spans="1:8" x14ac:dyDescent="0.25">
      <c r="A1160" s="1">
        <v>45661.25</v>
      </c>
      <c r="B1160" t="s">
        <v>18</v>
      </c>
      <c r="C1160">
        <v>187.13</v>
      </c>
      <c r="D1160">
        <v>80.62</v>
      </c>
      <c r="E1160" t="s">
        <v>9</v>
      </c>
      <c r="F1160">
        <v>43.12</v>
      </c>
      <c r="G1160" t="s">
        <v>10</v>
      </c>
      <c r="H1160" t="s">
        <v>13</v>
      </c>
    </row>
    <row r="1161" spans="1:8" x14ac:dyDescent="0.25">
      <c r="A1161" s="1">
        <v>45661.291666666664</v>
      </c>
      <c r="B1161" t="s">
        <v>18</v>
      </c>
      <c r="C1161">
        <v>339.04</v>
      </c>
      <c r="D1161">
        <v>36.36</v>
      </c>
      <c r="E1161" t="s">
        <v>9</v>
      </c>
      <c r="F1161">
        <v>43.05</v>
      </c>
      <c r="G1161" t="s">
        <v>10</v>
      </c>
      <c r="H1161" t="s">
        <v>13</v>
      </c>
    </row>
    <row r="1162" spans="1:8" x14ac:dyDescent="0.25">
      <c r="A1162" s="1">
        <v>45661.333333333336</v>
      </c>
      <c r="B1162" t="s">
        <v>18</v>
      </c>
      <c r="C1162">
        <v>270.79000000000002</v>
      </c>
      <c r="D1162">
        <v>92.25</v>
      </c>
      <c r="E1162" t="s">
        <v>14</v>
      </c>
      <c r="F1162">
        <v>79.930000000000007</v>
      </c>
      <c r="G1162" t="s">
        <v>10</v>
      </c>
      <c r="H1162" t="s">
        <v>13</v>
      </c>
    </row>
    <row r="1163" spans="1:8" x14ac:dyDescent="0.25">
      <c r="A1163" s="1">
        <v>45661.375</v>
      </c>
      <c r="B1163" t="s">
        <v>18</v>
      </c>
      <c r="C1163">
        <v>83.64</v>
      </c>
      <c r="D1163">
        <v>51.31</v>
      </c>
      <c r="E1163" t="s">
        <v>9</v>
      </c>
      <c r="F1163">
        <v>83.45</v>
      </c>
      <c r="G1163" t="s">
        <v>10</v>
      </c>
      <c r="H1163" t="s">
        <v>13</v>
      </c>
    </row>
    <row r="1164" spans="1:8" x14ac:dyDescent="0.25">
      <c r="A1164" s="1">
        <v>45661.416666666664</v>
      </c>
      <c r="B1164" t="s">
        <v>18</v>
      </c>
      <c r="C1164">
        <v>494.99</v>
      </c>
      <c r="D1164">
        <v>90.88</v>
      </c>
      <c r="E1164" t="s">
        <v>14</v>
      </c>
      <c r="F1164">
        <v>34.700000000000003</v>
      </c>
      <c r="G1164" t="s">
        <v>10</v>
      </c>
      <c r="H1164" t="s">
        <v>13</v>
      </c>
    </row>
    <row r="1165" spans="1:8" x14ac:dyDescent="0.25">
      <c r="A1165" s="1">
        <v>45661.458333333336</v>
      </c>
      <c r="B1165" t="s">
        <v>18</v>
      </c>
      <c r="C1165">
        <v>120.05</v>
      </c>
      <c r="D1165">
        <v>32.409999999999997</v>
      </c>
      <c r="E1165" t="s">
        <v>9</v>
      </c>
      <c r="F1165">
        <v>43.54</v>
      </c>
      <c r="G1165" t="s">
        <v>10</v>
      </c>
      <c r="H1165" t="s">
        <v>11</v>
      </c>
    </row>
    <row r="1166" spans="1:8" x14ac:dyDescent="0.25">
      <c r="A1166" s="1">
        <v>45661.5</v>
      </c>
      <c r="B1166" t="s">
        <v>18</v>
      </c>
      <c r="C1166">
        <v>248.38</v>
      </c>
      <c r="D1166">
        <v>65.37</v>
      </c>
      <c r="E1166" t="s">
        <v>9</v>
      </c>
      <c r="F1166">
        <v>76.47</v>
      </c>
      <c r="G1166" t="s">
        <v>10</v>
      </c>
      <c r="H1166" t="s">
        <v>12</v>
      </c>
    </row>
    <row r="1167" spans="1:8" x14ac:dyDescent="0.25">
      <c r="A1167" s="1">
        <v>45661.541666666664</v>
      </c>
      <c r="B1167" t="s">
        <v>18</v>
      </c>
      <c r="C1167">
        <v>82.1</v>
      </c>
      <c r="D1167">
        <v>19.62</v>
      </c>
      <c r="E1167" t="s">
        <v>9</v>
      </c>
      <c r="F1167">
        <v>42.62</v>
      </c>
      <c r="G1167" t="s">
        <v>10</v>
      </c>
      <c r="H1167" t="s">
        <v>12</v>
      </c>
    </row>
    <row r="1168" spans="1:8" x14ac:dyDescent="0.25">
      <c r="A1168" s="1">
        <v>45661.583333333336</v>
      </c>
      <c r="B1168" t="s">
        <v>18</v>
      </c>
      <c r="C1168">
        <v>206.59</v>
      </c>
      <c r="D1168">
        <v>52</v>
      </c>
      <c r="E1168" t="s">
        <v>9</v>
      </c>
      <c r="F1168">
        <v>50.05</v>
      </c>
      <c r="G1168" t="s">
        <v>10</v>
      </c>
      <c r="H1168" t="s">
        <v>12</v>
      </c>
    </row>
    <row r="1169" spans="1:8" x14ac:dyDescent="0.25">
      <c r="A1169" s="1">
        <v>45661.625</v>
      </c>
      <c r="B1169" t="s">
        <v>18</v>
      </c>
      <c r="C1169">
        <v>227.29</v>
      </c>
      <c r="D1169">
        <v>47.73</v>
      </c>
      <c r="E1169" t="s">
        <v>9</v>
      </c>
      <c r="F1169">
        <v>57.05</v>
      </c>
      <c r="G1169" t="s">
        <v>10</v>
      </c>
      <c r="H1169" t="s">
        <v>12</v>
      </c>
    </row>
    <row r="1170" spans="1:8" x14ac:dyDescent="0.25">
      <c r="A1170" s="1">
        <v>45661.666666666664</v>
      </c>
      <c r="B1170" t="s">
        <v>18</v>
      </c>
      <c r="C1170">
        <v>102.05</v>
      </c>
      <c r="D1170">
        <v>90.64</v>
      </c>
      <c r="E1170" t="s">
        <v>14</v>
      </c>
      <c r="F1170">
        <v>74</v>
      </c>
      <c r="G1170" t="s">
        <v>10</v>
      </c>
      <c r="H1170" t="s">
        <v>13</v>
      </c>
    </row>
    <row r="1171" spans="1:8" x14ac:dyDescent="0.25">
      <c r="A1171" s="1">
        <v>45661.708333333336</v>
      </c>
      <c r="B1171" t="s">
        <v>18</v>
      </c>
      <c r="C1171">
        <v>469.64</v>
      </c>
      <c r="D1171">
        <v>34.119999999999997</v>
      </c>
      <c r="E1171" t="s">
        <v>9</v>
      </c>
      <c r="F1171">
        <v>68.55</v>
      </c>
      <c r="G1171" t="s">
        <v>10</v>
      </c>
      <c r="H1171" t="s">
        <v>13</v>
      </c>
    </row>
    <row r="1172" spans="1:8" x14ac:dyDescent="0.25">
      <c r="A1172" s="1">
        <v>45661.75</v>
      </c>
      <c r="B1172" t="s">
        <v>18</v>
      </c>
      <c r="C1172">
        <v>278.20999999999998</v>
      </c>
      <c r="D1172">
        <v>77.680000000000007</v>
      </c>
      <c r="E1172" t="s">
        <v>9</v>
      </c>
      <c r="F1172">
        <v>82.9</v>
      </c>
      <c r="G1172" t="s">
        <v>10</v>
      </c>
      <c r="H1172" t="s">
        <v>11</v>
      </c>
    </row>
    <row r="1173" spans="1:8" x14ac:dyDescent="0.25">
      <c r="A1173" s="1">
        <v>45661.791666666664</v>
      </c>
      <c r="B1173" t="s">
        <v>18</v>
      </c>
      <c r="C1173">
        <v>360.82</v>
      </c>
      <c r="D1173">
        <v>57.25</v>
      </c>
      <c r="E1173" t="s">
        <v>9</v>
      </c>
      <c r="F1173">
        <v>52.75</v>
      </c>
      <c r="G1173" t="s">
        <v>10</v>
      </c>
      <c r="H1173" t="s">
        <v>13</v>
      </c>
    </row>
    <row r="1174" spans="1:8" x14ac:dyDescent="0.25">
      <c r="A1174" s="1">
        <v>45661.833333333336</v>
      </c>
      <c r="B1174" t="s">
        <v>18</v>
      </c>
      <c r="C1174">
        <v>329.37</v>
      </c>
      <c r="D1174">
        <v>86.16</v>
      </c>
      <c r="E1174" t="s">
        <v>14</v>
      </c>
      <c r="F1174">
        <v>59.77</v>
      </c>
      <c r="G1174" t="s">
        <v>10</v>
      </c>
      <c r="H1174" t="s">
        <v>12</v>
      </c>
    </row>
    <row r="1175" spans="1:8" x14ac:dyDescent="0.25">
      <c r="A1175" s="1">
        <v>45661.875</v>
      </c>
      <c r="B1175" t="s">
        <v>18</v>
      </c>
      <c r="C1175">
        <v>190.12</v>
      </c>
      <c r="D1175">
        <v>84.61</v>
      </c>
      <c r="E1175" t="s">
        <v>9</v>
      </c>
      <c r="F1175">
        <v>39.35</v>
      </c>
      <c r="G1175" t="s">
        <v>10</v>
      </c>
      <c r="H1175" t="s">
        <v>11</v>
      </c>
    </row>
    <row r="1176" spans="1:8" x14ac:dyDescent="0.25">
      <c r="A1176" s="1">
        <v>45661.916666666664</v>
      </c>
      <c r="B1176" t="s">
        <v>18</v>
      </c>
      <c r="C1176">
        <v>73.099999999999994</v>
      </c>
      <c r="D1176">
        <v>44.8</v>
      </c>
      <c r="E1176" t="s">
        <v>9</v>
      </c>
      <c r="F1176">
        <v>50.23</v>
      </c>
      <c r="G1176" t="s">
        <v>10</v>
      </c>
      <c r="H1176" t="s">
        <v>13</v>
      </c>
    </row>
    <row r="1177" spans="1:8" x14ac:dyDescent="0.25">
      <c r="A1177" s="1">
        <v>45661.958333333336</v>
      </c>
      <c r="B1177" t="s">
        <v>18</v>
      </c>
      <c r="C1177">
        <v>120.97</v>
      </c>
      <c r="D1177">
        <v>34.43</v>
      </c>
      <c r="E1177" t="s">
        <v>9</v>
      </c>
      <c r="F1177">
        <v>39.4</v>
      </c>
      <c r="G1177" t="s">
        <v>10</v>
      </c>
      <c r="H1177" t="s">
        <v>13</v>
      </c>
    </row>
    <row r="1178" spans="1:8" x14ac:dyDescent="0.25">
      <c r="A1178" s="1">
        <v>45662</v>
      </c>
      <c r="B1178" t="s">
        <v>18</v>
      </c>
      <c r="C1178">
        <v>173.42</v>
      </c>
      <c r="D1178">
        <v>58.35</v>
      </c>
      <c r="E1178" t="s">
        <v>9</v>
      </c>
      <c r="F1178">
        <v>38.67</v>
      </c>
      <c r="G1178" t="s">
        <v>10</v>
      </c>
      <c r="H1178" t="s">
        <v>11</v>
      </c>
    </row>
    <row r="1179" spans="1:8" x14ac:dyDescent="0.25">
      <c r="A1179" s="1">
        <v>45662.041666666664</v>
      </c>
      <c r="B1179" t="s">
        <v>18</v>
      </c>
      <c r="C1179">
        <v>119.04</v>
      </c>
      <c r="D1179">
        <v>48.11</v>
      </c>
      <c r="E1179" t="s">
        <v>9</v>
      </c>
      <c r="F1179">
        <v>34.11</v>
      </c>
      <c r="G1179" t="s">
        <v>10</v>
      </c>
      <c r="H1179" t="s">
        <v>12</v>
      </c>
    </row>
    <row r="1180" spans="1:8" x14ac:dyDescent="0.25">
      <c r="A1180" s="1">
        <v>45662.083333333336</v>
      </c>
      <c r="B1180" t="s">
        <v>18</v>
      </c>
      <c r="C1180">
        <v>232.96</v>
      </c>
      <c r="D1180">
        <v>42.8</v>
      </c>
      <c r="E1180" t="s">
        <v>9</v>
      </c>
      <c r="F1180">
        <v>77.459999999999994</v>
      </c>
      <c r="G1180" t="s">
        <v>10</v>
      </c>
      <c r="H1180" t="s">
        <v>13</v>
      </c>
    </row>
    <row r="1181" spans="1:8" x14ac:dyDescent="0.25">
      <c r="A1181" s="1">
        <v>45662.125</v>
      </c>
      <c r="B1181" t="s">
        <v>18</v>
      </c>
      <c r="C1181">
        <v>250.68</v>
      </c>
      <c r="D1181">
        <v>32.200000000000003</v>
      </c>
      <c r="E1181" t="s">
        <v>9</v>
      </c>
      <c r="F1181">
        <v>73.61</v>
      </c>
      <c r="G1181" t="s">
        <v>10</v>
      </c>
      <c r="H1181" t="s">
        <v>13</v>
      </c>
    </row>
    <row r="1182" spans="1:8" x14ac:dyDescent="0.25">
      <c r="A1182" s="1">
        <v>45662.166666666664</v>
      </c>
      <c r="B1182" t="s">
        <v>18</v>
      </c>
      <c r="C1182">
        <v>168.32</v>
      </c>
      <c r="D1182">
        <v>44.42</v>
      </c>
      <c r="E1182" t="s">
        <v>9</v>
      </c>
      <c r="F1182">
        <v>59.87</v>
      </c>
      <c r="G1182" t="s">
        <v>10</v>
      </c>
      <c r="H1182" t="s">
        <v>13</v>
      </c>
    </row>
    <row r="1183" spans="1:8" x14ac:dyDescent="0.25">
      <c r="A1183" s="1">
        <v>45662.208333333336</v>
      </c>
      <c r="B1183" t="s">
        <v>18</v>
      </c>
      <c r="C1183">
        <v>74.77</v>
      </c>
      <c r="D1183">
        <v>29.17</v>
      </c>
      <c r="E1183" t="s">
        <v>9</v>
      </c>
      <c r="F1183">
        <v>84.57</v>
      </c>
      <c r="G1183" t="s">
        <v>10</v>
      </c>
      <c r="H1183" t="s">
        <v>12</v>
      </c>
    </row>
    <row r="1184" spans="1:8" x14ac:dyDescent="0.25">
      <c r="A1184" s="1">
        <v>45662.25</v>
      </c>
      <c r="B1184" t="s">
        <v>18</v>
      </c>
      <c r="C1184">
        <v>404.57</v>
      </c>
      <c r="D1184">
        <v>32.450000000000003</v>
      </c>
      <c r="E1184" t="s">
        <v>9</v>
      </c>
      <c r="F1184">
        <v>59.41</v>
      </c>
      <c r="G1184" t="s">
        <v>10</v>
      </c>
      <c r="H1184" t="s">
        <v>11</v>
      </c>
    </row>
    <row r="1185" spans="1:8" x14ac:dyDescent="0.25">
      <c r="A1185" s="1">
        <v>45662.291666666664</v>
      </c>
      <c r="B1185" t="s">
        <v>18</v>
      </c>
      <c r="C1185">
        <v>398.27</v>
      </c>
      <c r="D1185">
        <v>79.92</v>
      </c>
      <c r="E1185" t="s">
        <v>9</v>
      </c>
      <c r="F1185">
        <v>59.61</v>
      </c>
      <c r="G1185" t="s">
        <v>10</v>
      </c>
      <c r="H1185" t="s">
        <v>13</v>
      </c>
    </row>
    <row r="1186" spans="1:8" x14ac:dyDescent="0.25">
      <c r="A1186" s="1">
        <v>45662.333333333336</v>
      </c>
      <c r="B1186" t="s">
        <v>18</v>
      </c>
      <c r="C1186">
        <v>118.66</v>
      </c>
      <c r="D1186">
        <v>83.59</v>
      </c>
      <c r="E1186" t="s">
        <v>9</v>
      </c>
      <c r="F1186">
        <v>58.05</v>
      </c>
      <c r="G1186" t="s">
        <v>10</v>
      </c>
      <c r="H1186" t="s">
        <v>11</v>
      </c>
    </row>
    <row r="1187" spans="1:8" x14ac:dyDescent="0.25">
      <c r="A1187" s="1">
        <v>45662.375</v>
      </c>
      <c r="B1187" t="s">
        <v>18</v>
      </c>
      <c r="C1187">
        <v>456.53</v>
      </c>
      <c r="D1187">
        <v>22.46</v>
      </c>
      <c r="E1187" t="s">
        <v>9</v>
      </c>
      <c r="F1187">
        <v>88.96</v>
      </c>
      <c r="G1187" t="s">
        <v>10</v>
      </c>
      <c r="H1187" t="s">
        <v>11</v>
      </c>
    </row>
    <row r="1188" spans="1:8" x14ac:dyDescent="0.25">
      <c r="A1188" s="1">
        <v>45662.416666666664</v>
      </c>
      <c r="B1188" t="s">
        <v>18</v>
      </c>
      <c r="C1188">
        <v>367.87</v>
      </c>
      <c r="D1188">
        <v>37.53</v>
      </c>
      <c r="E1188" t="s">
        <v>9</v>
      </c>
      <c r="F1188">
        <v>39.909999999999997</v>
      </c>
      <c r="G1188" t="s">
        <v>10</v>
      </c>
      <c r="H1188" t="s">
        <v>12</v>
      </c>
    </row>
    <row r="1189" spans="1:8" x14ac:dyDescent="0.25">
      <c r="A1189" s="1">
        <v>45662.458333333336</v>
      </c>
      <c r="B1189" t="s">
        <v>18</v>
      </c>
      <c r="C1189">
        <v>240.38</v>
      </c>
      <c r="D1189">
        <v>36.57</v>
      </c>
      <c r="E1189" t="s">
        <v>9</v>
      </c>
      <c r="F1189">
        <v>58.26</v>
      </c>
      <c r="G1189" t="s">
        <v>10</v>
      </c>
      <c r="H1189" t="s">
        <v>11</v>
      </c>
    </row>
    <row r="1190" spans="1:8" x14ac:dyDescent="0.25">
      <c r="A1190" s="1">
        <v>45662.5</v>
      </c>
      <c r="B1190" t="s">
        <v>18</v>
      </c>
      <c r="C1190">
        <v>383.72</v>
      </c>
      <c r="D1190">
        <v>45.3</v>
      </c>
      <c r="E1190" t="s">
        <v>9</v>
      </c>
      <c r="F1190">
        <v>49.82</v>
      </c>
      <c r="G1190" t="s">
        <v>10</v>
      </c>
      <c r="H1190" t="s">
        <v>13</v>
      </c>
    </row>
    <row r="1191" spans="1:8" x14ac:dyDescent="0.25">
      <c r="A1191" s="1">
        <v>45662.541666666664</v>
      </c>
      <c r="B1191" t="s">
        <v>18</v>
      </c>
      <c r="C1191">
        <v>242.21</v>
      </c>
      <c r="D1191">
        <v>32.92</v>
      </c>
      <c r="E1191" t="s">
        <v>9</v>
      </c>
      <c r="F1191">
        <v>89.67</v>
      </c>
      <c r="G1191" t="s">
        <v>10</v>
      </c>
      <c r="H1191" t="s">
        <v>12</v>
      </c>
    </row>
    <row r="1192" spans="1:8" x14ac:dyDescent="0.25">
      <c r="A1192" s="1">
        <v>45662.583333333336</v>
      </c>
      <c r="B1192" t="s">
        <v>18</v>
      </c>
      <c r="C1192">
        <v>429.57</v>
      </c>
      <c r="D1192">
        <v>69.760000000000005</v>
      </c>
      <c r="E1192" t="s">
        <v>9</v>
      </c>
      <c r="F1192">
        <v>47.69</v>
      </c>
      <c r="G1192" t="s">
        <v>10</v>
      </c>
      <c r="H1192" t="s">
        <v>11</v>
      </c>
    </row>
    <row r="1193" spans="1:8" x14ac:dyDescent="0.25">
      <c r="A1193" s="1">
        <v>45662.625</v>
      </c>
      <c r="B1193" t="s">
        <v>18</v>
      </c>
      <c r="C1193">
        <v>178.78</v>
      </c>
      <c r="D1193">
        <v>30.11</v>
      </c>
      <c r="E1193" t="s">
        <v>9</v>
      </c>
      <c r="F1193">
        <v>86.18</v>
      </c>
      <c r="G1193" t="s">
        <v>10</v>
      </c>
      <c r="H1193" t="s">
        <v>11</v>
      </c>
    </row>
    <row r="1194" spans="1:8" x14ac:dyDescent="0.25">
      <c r="A1194" s="1">
        <v>45662.666666666664</v>
      </c>
      <c r="B1194" t="s">
        <v>18</v>
      </c>
      <c r="C1194">
        <v>321.35000000000002</v>
      </c>
      <c r="D1194">
        <v>79.05</v>
      </c>
      <c r="E1194" t="s">
        <v>9</v>
      </c>
      <c r="F1194">
        <v>77.5</v>
      </c>
      <c r="G1194" t="s">
        <v>10</v>
      </c>
      <c r="H1194" t="s">
        <v>11</v>
      </c>
    </row>
    <row r="1195" spans="1:8" x14ac:dyDescent="0.25">
      <c r="A1195" s="1">
        <v>45662.708333333336</v>
      </c>
      <c r="B1195" t="s">
        <v>18</v>
      </c>
      <c r="C1195">
        <v>350.57</v>
      </c>
      <c r="D1195">
        <v>21.58</v>
      </c>
      <c r="E1195" t="s">
        <v>9</v>
      </c>
      <c r="F1195">
        <v>60.47</v>
      </c>
      <c r="G1195" t="s">
        <v>10</v>
      </c>
      <c r="H1195" t="s">
        <v>13</v>
      </c>
    </row>
    <row r="1196" spans="1:8" x14ac:dyDescent="0.25">
      <c r="A1196" s="1">
        <v>45662.75</v>
      </c>
      <c r="B1196" t="s">
        <v>18</v>
      </c>
      <c r="C1196">
        <v>352.52</v>
      </c>
      <c r="D1196">
        <v>77.38</v>
      </c>
      <c r="E1196" t="s">
        <v>9</v>
      </c>
      <c r="F1196">
        <v>61.85</v>
      </c>
      <c r="G1196" t="s">
        <v>10</v>
      </c>
      <c r="H1196" t="s">
        <v>12</v>
      </c>
    </row>
    <row r="1197" spans="1:8" x14ac:dyDescent="0.25">
      <c r="A1197" s="1">
        <v>45662.791666666664</v>
      </c>
      <c r="B1197" t="s">
        <v>18</v>
      </c>
      <c r="C1197">
        <v>193.08</v>
      </c>
      <c r="D1197">
        <v>57.09</v>
      </c>
      <c r="E1197" t="s">
        <v>9</v>
      </c>
      <c r="F1197">
        <v>60.68</v>
      </c>
      <c r="G1197" t="s">
        <v>10</v>
      </c>
      <c r="H1197" t="s">
        <v>13</v>
      </c>
    </row>
    <row r="1198" spans="1:8" x14ac:dyDescent="0.25">
      <c r="A1198" s="1">
        <v>45662.833333333336</v>
      </c>
      <c r="B1198" t="s">
        <v>18</v>
      </c>
      <c r="C1198">
        <v>265.36</v>
      </c>
      <c r="D1198">
        <v>70.63</v>
      </c>
      <c r="E1198" t="s">
        <v>9</v>
      </c>
      <c r="F1198">
        <v>85.31</v>
      </c>
      <c r="G1198" t="s">
        <v>10</v>
      </c>
      <c r="H1198" t="s">
        <v>12</v>
      </c>
    </row>
    <row r="1199" spans="1:8" x14ac:dyDescent="0.25">
      <c r="A1199" s="1">
        <v>45662.875</v>
      </c>
      <c r="B1199" t="s">
        <v>18</v>
      </c>
      <c r="C1199">
        <v>475.23</v>
      </c>
      <c r="D1199">
        <v>29.84</v>
      </c>
      <c r="E1199" t="s">
        <v>9</v>
      </c>
      <c r="F1199">
        <v>68.5</v>
      </c>
      <c r="G1199" t="s">
        <v>10</v>
      </c>
      <c r="H1199" t="s">
        <v>13</v>
      </c>
    </row>
    <row r="1200" spans="1:8" x14ac:dyDescent="0.25">
      <c r="A1200" s="1">
        <v>45662.916666666664</v>
      </c>
      <c r="B1200" t="s">
        <v>18</v>
      </c>
      <c r="C1200">
        <v>171.7</v>
      </c>
      <c r="D1200">
        <v>46.44</v>
      </c>
      <c r="E1200" t="s">
        <v>9</v>
      </c>
      <c r="F1200">
        <v>82.22</v>
      </c>
      <c r="G1200" t="s">
        <v>10</v>
      </c>
      <c r="H1200" t="s">
        <v>12</v>
      </c>
    </row>
    <row r="1201" spans="1:8" x14ac:dyDescent="0.25">
      <c r="A1201" s="1">
        <v>45662.958333333336</v>
      </c>
      <c r="B1201" t="s">
        <v>18</v>
      </c>
      <c r="C1201">
        <v>67.66</v>
      </c>
      <c r="D1201">
        <v>38.729999999999997</v>
      </c>
      <c r="E1201" t="s">
        <v>9</v>
      </c>
      <c r="F1201">
        <v>74.680000000000007</v>
      </c>
      <c r="G1201" t="s">
        <v>10</v>
      </c>
      <c r="H1201" t="s">
        <v>11</v>
      </c>
    </row>
    <row r="1202" spans="1:8" x14ac:dyDescent="0.25">
      <c r="A1202" s="1">
        <v>45663</v>
      </c>
      <c r="B1202" t="s">
        <v>18</v>
      </c>
      <c r="C1202">
        <v>235.4</v>
      </c>
      <c r="D1202">
        <v>60.89</v>
      </c>
      <c r="E1202" t="s">
        <v>9</v>
      </c>
      <c r="F1202">
        <v>53.56</v>
      </c>
      <c r="G1202" t="s">
        <v>10</v>
      </c>
      <c r="H1202" t="s">
        <v>12</v>
      </c>
    </row>
    <row r="1203" spans="1:8" x14ac:dyDescent="0.25">
      <c r="A1203" s="1">
        <v>45663.041666666664</v>
      </c>
      <c r="B1203" t="s">
        <v>18</v>
      </c>
      <c r="C1203">
        <v>254.89</v>
      </c>
      <c r="D1203">
        <v>70.540000000000006</v>
      </c>
      <c r="E1203" t="s">
        <v>9</v>
      </c>
      <c r="F1203">
        <v>53.28</v>
      </c>
      <c r="G1203" t="s">
        <v>10</v>
      </c>
      <c r="H1203" t="s">
        <v>13</v>
      </c>
    </row>
    <row r="1204" spans="1:8" x14ac:dyDescent="0.25">
      <c r="A1204" s="1">
        <v>45663.083333333336</v>
      </c>
      <c r="B1204" t="s">
        <v>18</v>
      </c>
      <c r="C1204">
        <v>240.91</v>
      </c>
      <c r="D1204">
        <v>48.42</v>
      </c>
      <c r="E1204" t="s">
        <v>9</v>
      </c>
      <c r="F1204">
        <v>38.450000000000003</v>
      </c>
      <c r="G1204" t="s">
        <v>10</v>
      </c>
      <c r="H1204" t="s">
        <v>13</v>
      </c>
    </row>
    <row r="1205" spans="1:8" x14ac:dyDescent="0.25">
      <c r="A1205" s="1">
        <v>45663.125</v>
      </c>
      <c r="B1205" t="s">
        <v>18</v>
      </c>
      <c r="C1205">
        <v>314.23</v>
      </c>
      <c r="D1205">
        <v>52.59</v>
      </c>
      <c r="E1205" t="s">
        <v>9</v>
      </c>
      <c r="F1205">
        <v>49.54</v>
      </c>
      <c r="G1205" t="s">
        <v>10</v>
      </c>
      <c r="H1205" t="s">
        <v>11</v>
      </c>
    </row>
    <row r="1206" spans="1:8" x14ac:dyDescent="0.25">
      <c r="A1206" s="1">
        <v>45663.166666666664</v>
      </c>
      <c r="B1206" t="s">
        <v>18</v>
      </c>
      <c r="C1206">
        <v>60.79</v>
      </c>
      <c r="D1206">
        <v>39.36</v>
      </c>
      <c r="E1206" t="s">
        <v>9</v>
      </c>
      <c r="F1206">
        <v>79.19</v>
      </c>
      <c r="G1206" t="s">
        <v>10</v>
      </c>
      <c r="H1206" t="s">
        <v>11</v>
      </c>
    </row>
    <row r="1207" spans="1:8" x14ac:dyDescent="0.25">
      <c r="A1207" s="1">
        <v>45663.208333333336</v>
      </c>
      <c r="B1207" t="s">
        <v>18</v>
      </c>
      <c r="C1207">
        <v>483.06</v>
      </c>
      <c r="D1207">
        <v>51.46</v>
      </c>
      <c r="E1207" t="s">
        <v>9</v>
      </c>
      <c r="F1207">
        <v>54.76</v>
      </c>
      <c r="G1207" t="s">
        <v>10</v>
      </c>
      <c r="H1207" t="s">
        <v>12</v>
      </c>
    </row>
    <row r="1208" spans="1:8" x14ac:dyDescent="0.25">
      <c r="A1208" s="1">
        <v>45663.25</v>
      </c>
      <c r="B1208" t="s">
        <v>18</v>
      </c>
      <c r="C1208">
        <v>222.4</v>
      </c>
      <c r="D1208">
        <v>81.680000000000007</v>
      </c>
      <c r="E1208" t="s">
        <v>9</v>
      </c>
      <c r="F1208">
        <v>88.03</v>
      </c>
      <c r="G1208" t="s">
        <v>10</v>
      </c>
      <c r="H1208" t="s">
        <v>13</v>
      </c>
    </row>
    <row r="1209" spans="1:8" x14ac:dyDescent="0.25">
      <c r="A1209" s="1">
        <v>45663.291666666664</v>
      </c>
      <c r="B1209" t="s">
        <v>18</v>
      </c>
      <c r="C1209">
        <v>346.92</v>
      </c>
      <c r="D1209">
        <v>39.85</v>
      </c>
      <c r="E1209" t="s">
        <v>9</v>
      </c>
      <c r="F1209">
        <v>76.03</v>
      </c>
      <c r="G1209" t="s">
        <v>10</v>
      </c>
      <c r="H1209" t="s">
        <v>13</v>
      </c>
    </row>
    <row r="1210" spans="1:8" x14ac:dyDescent="0.25">
      <c r="A1210" s="1">
        <v>45663.333333333336</v>
      </c>
      <c r="B1210" t="s">
        <v>18</v>
      </c>
      <c r="C1210">
        <v>298.41000000000003</v>
      </c>
      <c r="D1210">
        <v>32.700000000000003</v>
      </c>
      <c r="E1210" t="s">
        <v>9</v>
      </c>
      <c r="F1210">
        <v>74.61</v>
      </c>
      <c r="G1210" t="s">
        <v>10</v>
      </c>
      <c r="H1210" t="s">
        <v>12</v>
      </c>
    </row>
    <row r="1211" spans="1:8" x14ac:dyDescent="0.25">
      <c r="A1211" s="1">
        <v>45663.375</v>
      </c>
      <c r="B1211" t="s">
        <v>18</v>
      </c>
      <c r="C1211">
        <v>230.38</v>
      </c>
      <c r="D1211">
        <v>30.74</v>
      </c>
      <c r="E1211" t="s">
        <v>9</v>
      </c>
      <c r="F1211">
        <v>41.98</v>
      </c>
      <c r="G1211" t="s">
        <v>10</v>
      </c>
      <c r="H1211" t="s">
        <v>12</v>
      </c>
    </row>
    <row r="1212" spans="1:8" x14ac:dyDescent="0.25">
      <c r="A1212" s="1">
        <v>45663.416666666664</v>
      </c>
      <c r="B1212" t="s">
        <v>18</v>
      </c>
      <c r="C1212">
        <v>460.23</v>
      </c>
      <c r="D1212">
        <v>54.68</v>
      </c>
      <c r="E1212" t="s">
        <v>9</v>
      </c>
      <c r="F1212">
        <v>87.95</v>
      </c>
      <c r="G1212" t="s">
        <v>10</v>
      </c>
      <c r="H1212" t="s">
        <v>11</v>
      </c>
    </row>
    <row r="1213" spans="1:8" x14ac:dyDescent="0.25">
      <c r="A1213" s="1">
        <v>45663.458333333336</v>
      </c>
      <c r="B1213" t="s">
        <v>18</v>
      </c>
      <c r="C1213">
        <v>439.28</v>
      </c>
      <c r="D1213">
        <v>54.5</v>
      </c>
      <c r="E1213" t="s">
        <v>9</v>
      </c>
      <c r="F1213">
        <v>38.450000000000003</v>
      </c>
      <c r="G1213" t="s">
        <v>10</v>
      </c>
      <c r="H1213" t="s">
        <v>13</v>
      </c>
    </row>
    <row r="1214" spans="1:8" x14ac:dyDescent="0.25">
      <c r="A1214" s="1">
        <v>45663.5</v>
      </c>
      <c r="B1214" t="s">
        <v>18</v>
      </c>
      <c r="C1214">
        <v>436.85</v>
      </c>
      <c r="D1214">
        <v>34.880000000000003</v>
      </c>
      <c r="E1214" t="s">
        <v>9</v>
      </c>
      <c r="F1214">
        <v>43.59</v>
      </c>
      <c r="G1214" t="s">
        <v>10</v>
      </c>
      <c r="H1214" t="s">
        <v>11</v>
      </c>
    </row>
    <row r="1215" spans="1:8" x14ac:dyDescent="0.25">
      <c r="A1215" s="1">
        <v>45663.541666666664</v>
      </c>
      <c r="B1215" t="s">
        <v>18</v>
      </c>
      <c r="C1215">
        <v>265.55</v>
      </c>
      <c r="D1215">
        <v>15.4</v>
      </c>
      <c r="E1215" t="s">
        <v>9</v>
      </c>
      <c r="F1215">
        <v>74.03</v>
      </c>
      <c r="G1215" t="s">
        <v>10</v>
      </c>
      <c r="H1215" t="s">
        <v>12</v>
      </c>
    </row>
    <row r="1216" spans="1:8" x14ac:dyDescent="0.25">
      <c r="A1216" s="1">
        <v>45663.583333333336</v>
      </c>
      <c r="B1216" t="s">
        <v>18</v>
      </c>
      <c r="C1216">
        <v>126.37</v>
      </c>
      <c r="D1216">
        <v>72.19</v>
      </c>
      <c r="E1216" t="s">
        <v>9</v>
      </c>
      <c r="F1216">
        <v>76.209999999999994</v>
      </c>
      <c r="G1216" t="s">
        <v>10</v>
      </c>
      <c r="H1216" t="s">
        <v>11</v>
      </c>
    </row>
    <row r="1217" spans="1:8" x14ac:dyDescent="0.25">
      <c r="A1217" s="1">
        <v>45663.625</v>
      </c>
      <c r="B1217" t="s">
        <v>18</v>
      </c>
      <c r="C1217">
        <v>283.39</v>
      </c>
      <c r="D1217">
        <v>77.11</v>
      </c>
      <c r="E1217" t="s">
        <v>9</v>
      </c>
      <c r="F1217">
        <v>45.64</v>
      </c>
      <c r="G1217" t="s">
        <v>10</v>
      </c>
      <c r="H1217" t="s">
        <v>11</v>
      </c>
    </row>
    <row r="1218" spans="1:8" x14ac:dyDescent="0.25">
      <c r="A1218" s="1">
        <v>45663.666666666664</v>
      </c>
      <c r="B1218" t="s">
        <v>18</v>
      </c>
      <c r="C1218">
        <v>484.78</v>
      </c>
      <c r="D1218">
        <v>80.510000000000005</v>
      </c>
      <c r="E1218" t="s">
        <v>9</v>
      </c>
      <c r="F1218">
        <v>42.27</v>
      </c>
      <c r="G1218" t="s">
        <v>10</v>
      </c>
      <c r="H1218" t="s">
        <v>13</v>
      </c>
    </row>
    <row r="1219" spans="1:8" x14ac:dyDescent="0.25">
      <c r="A1219" s="1">
        <v>45663.708333333336</v>
      </c>
      <c r="B1219" t="s">
        <v>18</v>
      </c>
      <c r="C1219">
        <v>108.89</v>
      </c>
      <c r="D1219">
        <v>51.06</v>
      </c>
      <c r="E1219" t="s">
        <v>9</v>
      </c>
      <c r="F1219">
        <v>46.1</v>
      </c>
      <c r="G1219" t="s">
        <v>10</v>
      </c>
      <c r="H1219" t="s">
        <v>12</v>
      </c>
    </row>
    <row r="1220" spans="1:8" x14ac:dyDescent="0.25">
      <c r="A1220" s="1">
        <v>45663.75</v>
      </c>
      <c r="B1220" t="s">
        <v>18</v>
      </c>
      <c r="C1220">
        <v>261.33999999999997</v>
      </c>
      <c r="D1220">
        <v>77.41</v>
      </c>
      <c r="E1220" t="s">
        <v>9</v>
      </c>
      <c r="F1220">
        <v>74.78</v>
      </c>
      <c r="G1220" t="s">
        <v>10</v>
      </c>
      <c r="H1220" t="s">
        <v>13</v>
      </c>
    </row>
    <row r="1221" spans="1:8" x14ac:dyDescent="0.25">
      <c r="A1221" s="1">
        <v>45663.791666666664</v>
      </c>
      <c r="B1221" t="s">
        <v>18</v>
      </c>
      <c r="C1221">
        <v>376.96</v>
      </c>
      <c r="D1221">
        <v>55.31</v>
      </c>
      <c r="E1221" t="s">
        <v>9</v>
      </c>
      <c r="F1221">
        <v>67.319999999999993</v>
      </c>
      <c r="G1221" t="s">
        <v>10</v>
      </c>
      <c r="H1221" t="s">
        <v>12</v>
      </c>
    </row>
    <row r="1222" spans="1:8" x14ac:dyDescent="0.25">
      <c r="A1222" s="1">
        <v>45663.833333333336</v>
      </c>
      <c r="B1222" t="s">
        <v>18</v>
      </c>
      <c r="C1222">
        <v>337.02</v>
      </c>
      <c r="D1222">
        <v>14.76</v>
      </c>
      <c r="E1222" t="s">
        <v>9</v>
      </c>
      <c r="F1222">
        <v>31.98</v>
      </c>
      <c r="G1222" t="s">
        <v>10</v>
      </c>
      <c r="H1222" t="s">
        <v>12</v>
      </c>
    </row>
    <row r="1223" spans="1:8" x14ac:dyDescent="0.25">
      <c r="A1223" s="1">
        <v>45663.875</v>
      </c>
      <c r="B1223" t="s">
        <v>18</v>
      </c>
      <c r="C1223">
        <v>357.81</v>
      </c>
      <c r="D1223">
        <v>35.49</v>
      </c>
      <c r="E1223" t="s">
        <v>9</v>
      </c>
      <c r="F1223">
        <v>71.28</v>
      </c>
      <c r="G1223" t="s">
        <v>10</v>
      </c>
      <c r="H1223" t="s">
        <v>13</v>
      </c>
    </row>
    <row r="1224" spans="1:8" x14ac:dyDescent="0.25">
      <c r="A1224" s="1">
        <v>45663.916666666664</v>
      </c>
      <c r="B1224" t="s">
        <v>18</v>
      </c>
      <c r="C1224">
        <v>351.64</v>
      </c>
      <c r="D1224">
        <v>66.040000000000006</v>
      </c>
      <c r="E1224" t="s">
        <v>9</v>
      </c>
      <c r="F1224">
        <v>85.86</v>
      </c>
      <c r="G1224" t="s">
        <v>10</v>
      </c>
      <c r="H1224" t="s">
        <v>11</v>
      </c>
    </row>
    <row r="1225" spans="1:8" x14ac:dyDescent="0.25">
      <c r="A1225" s="1">
        <v>45663.958333333336</v>
      </c>
      <c r="B1225" t="s">
        <v>18</v>
      </c>
      <c r="C1225">
        <v>341.35</v>
      </c>
      <c r="D1225">
        <v>41.67</v>
      </c>
      <c r="E1225" t="s">
        <v>9</v>
      </c>
      <c r="F1225">
        <v>76.77</v>
      </c>
      <c r="G1225" t="s">
        <v>10</v>
      </c>
      <c r="H1225" t="s">
        <v>12</v>
      </c>
    </row>
    <row r="1226" spans="1:8" x14ac:dyDescent="0.25">
      <c r="A1226" s="1">
        <v>45664</v>
      </c>
      <c r="B1226" t="s">
        <v>18</v>
      </c>
      <c r="C1226">
        <v>149.74</v>
      </c>
      <c r="D1226">
        <v>35.83</v>
      </c>
      <c r="E1226" t="s">
        <v>9</v>
      </c>
      <c r="F1226">
        <v>44.56</v>
      </c>
      <c r="G1226" t="s">
        <v>10</v>
      </c>
      <c r="H1226" t="s">
        <v>11</v>
      </c>
    </row>
    <row r="1227" spans="1:8" x14ac:dyDescent="0.25">
      <c r="A1227" s="1">
        <v>45664.041666666664</v>
      </c>
      <c r="B1227" t="s">
        <v>18</v>
      </c>
      <c r="C1227">
        <v>81.45</v>
      </c>
      <c r="D1227">
        <v>65.84</v>
      </c>
      <c r="E1227" t="s">
        <v>9</v>
      </c>
      <c r="F1227">
        <v>86.36</v>
      </c>
      <c r="G1227" t="s">
        <v>10</v>
      </c>
      <c r="H1227" t="s">
        <v>12</v>
      </c>
    </row>
    <row r="1228" spans="1:8" x14ac:dyDescent="0.25">
      <c r="A1228" s="1">
        <v>45664.083333333336</v>
      </c>
      <c r="B1228" t="s">
        <v>18</v>
      </c>
      <c r="C1228">
        <v>116.1</v>
      </c>
      <c r="D1228">
        <v>92.64</v>
      </c>
      <c r="E1228" t="s">
        <v>14</v>
      </c>
      <c r="F1228">
        <v>86.85</v>
      </c>
      <c r="G1228" t="s">
        <v>10</v>
      </c>
      <c r="H1228" t="s">
        <v>13</v>
      </c>
    </row>
    <row r="1229" spans="1:8" x14ac:dyDescent="0.25">
      <c r="A1229" s="1">
        <v>45664.125</v>
      </c>
      <c r="B1229" t="s">
        <v>18</v>
      </c>
      <c r="C1229">
        <v>209.93</v>
      </c>
      <c r="D1229">
        <v>80.459999999999994</v>
      </c>
      <c r="E1229" t="s">
        <v>9</v>
      </c>
      <c r="F1229">
        <v>32.68</v>
      </c>
      <c r="G1229" t="s">
        <v>10</v>
      </c>
      <c r="H1229" t="s">
        <v>11</v>
      </c>
    </row>
    <row r="1230" spans="1:8" x14ac:dyDescent="0.25">
      <c r="A1230" s="1">
        <v>45664.166666666664</v>
      </c>
      <c r="B1230" t="s">
        <v>18</v>
      </c>
      <c r="C1230">
        <v>493.71</v>
      </c>
      <c r="D1230">
        <v>28.62</v>
      </c>
      <c r="E1230" t="s">
        <v>9</v>
      </c>
      <c r="F1230">
        <v>75.959999999999994</v>
      </c>
      <c r="G1230" t="s">
        <v>10</v>
      </c>
      <c r="H1230" t="s">
        <v>12</v>
      </c>
    </row>
    <row r="1231" spans="1:8" x14ac:dyDescent="0.25">
      <c r="A1231" s="1">
        <v>45664.208333333336</v>
      </c>
      <c r="B1231" t="s">
        <v>18</v>
      </c>
      <c r="C1231">
        <v>172.11</v>
      </c>
      <c r="D1231">
        <v>28.99</v>
      </c>
      <c r="E1231" t="s">
        <v>9</v>
      </c>
      <c r="F1231">
        <v>70.88</v>
      </c>
      <c r="G1231" t="s">
        <v>10</v>
      </c>
      <c r="H1231" t="s">
        <v>12</v>
      </c>
    </row>
    <row r="1232" spans="1:8" x14ac:dyDescent="0.25">
      <c r="A1232" s="1">
        <v>45664.25</v>
      </c>
      <c r="B1232" t="s">
        <v>18</v>
      </c>
      <c r="C1232">
        <v>259.18</v>
      </c>
      <c r="D1232">
        <v>57.54</v>
      </c>
      <c r="E1232" t="s">
        <v>9</v>
      </c>
      <c r="F1232">
        <v>89.71</v>
      </c>
      <c r="G1232" t="s">
        <v>10</v>
      </c>
      <c r="H1232" t="s">
        <v>11</v>
      </c>
    </row>
    <row r="1233" spans="1:8" x14ac:dyDescent="0.25">
      <c r="A1233" s="1">
        <v>45664.291666666664</v>
      </c>
      <c r="B1233" t="s">
        <v>18</v>
      </c>
      <c r="C1233">
        <v>234.62</v>
      </c>
      <c r="D1233">
        <v>22.64</v>
      </c>
      <c r="E1233" t="s">
        <v>9</v>
      </c>
      <c r="F1233">
        <v>84.36</v>
      </c>
      <c r="G1233" t="s">
        <v>10</v>
      </c>
      <c r="H1233" t="s">
        <v>11</v>
      </c>
    </row>
    <row r="1234" spans="1:8" x14ac:dyDescent="0.25">
      <c r="A1234" s="1">
        <v>45664.333333333336</v>
      </c>
      <c r="B1234" t="s">
        <v>18</v>
      </c>
      <c r="C1234">
        <v>363.04</v>
      </c>
      <c r="D1234">
        <v>89.96</v>
      </c>
      <c r="E1234" t="s">
        <v>14</v>
      </c>
      <c r="F1234">
        <v>62.54</v>
      </c>
      <c r="G1234" t="s">
        <v>10</v>
      </c>
      <c r="H1234" t="s">
        <v>11</v>
      </c>
    </row>
    <row r="1235" spans="1:8" x14ac:dyDescent="0.25">
      <c r="A1235" s="1">
        <v>45664.375</v>
      </c>
      <c r="B1235" t="s">
        <v>18</v>
      </c>
      <c r="C1235">
        <v>90.14</v>
      </c>
      <c r="D1235">
        <v>31.1</v>
      </c>
      <c r="E1235" t="s">
        <v>9</v>
      </c>
      <c r="F1235">
        <v>60.13</v>
      </c>
      <c r="G1235" t="s">
        <v>10</v>
      </c>
      <c r="H1235" t="s">
        <v>11</v>
      </c>
    </row>
    <row r="1236" spans="1:8" x14ac:dyDescent="0.25">
      <c r="A1236" s="1">
        <v>45664.416666666664</v>
      </c>
      <c r="B1236" t="s">
        <v>18</v>
      </c>
      <c r="C1236">
        <v>85.47</v>
      </c>
      <c r="D1236">
        <v>75.790000000000006</v>
      </c>
      <c r="E1236" t="s">
        <v>9</v>
      </c>
      <c r="F1236">
        <v>65.069999999999993</v>
      </c>
      <c r="G1236" t="s">
        <v>10</v>
      </c>
      <c r="H1236" t="s">
        <v>11</v>
      </c>
    </row>
    <row r="1237" spans="1:8" x14ac:dyDescent="0.25">
      <c r="A1237" s="1">
        <v>45664.458333333336</v>
      </c>
      <c r="B1237" t="s">
        <v>18</v>
      </c>
      <c r="C1237">
        <v>269.64</v>
      </c>
      <c r="D1237">
        <v>71.67</v>
      </c>
      <c r="E1237" t="s">
        <v>9</v>
      </c>
      <c r="F1237">
        <v>82.14</v>
      </c>
      <c r="G1237" t="s">
        <v>10</v>
      </c>
      <c r="H1237" t="s">
        <v>11</v>
      </c>
    </row>
    <row r="1238" spans="1:8" x14ac:dyDescent="0.25">
      <c r="A1238" s="1">
        <v>45664.5</v>
      </c>
      <c r="B1238" t="s">
        <v>18</v>
      </c>
      <c r="C1238">
        <v>197.35</v>
      </c>
      <c r="D1238">
        <v>25</v>
      </c>
      <c r="E1238" t="s">
        <v>9</v>
      </c>
      <c r="F1238">
        <v>44.22</v>
      </c>
      <c r="G1238" t="s">
        <v>10</v>
      </c>
      <c r="H1238" t="s">
        <v>11</v>
      </c>
    </row>
    <row r="1239" spans="1:8" x14ac:dyDescent="0.25">
      <c r="A1239" s="1">
        <v>45664.541666666664</v>
      </c>
      <c r="B1239" t="s">
        <v>18</v>
      </c>
      <c r="C1239">
        <v>140</v>
      </c>
      <c r="D1239">
        <v>24.6</v>
      </c>
      <c r="E1239" t="s">
        <v>9</v>
      </c>
      <c r="F1239">
        <v>70.55</v>
      </c>
      <c r="G1239" t="s">
        <v>10</v>
      </c>
      <c r="H1239" t="s">
        <v>11</v>
      </c>
    </row>
    <row r="1240" spans="1:8" x14ac:dyDescent="0.25">
      <c r="A1240" s="1">
        <v>45664.583333333336</v>
      </c>
      <c r="B1240" t="s">
        <v>18</v>
      </c>
      <c r="C1240">
        <v>405.35</v>
      </c>
      <c r="D1240">
        <v>73.849999999999994</v>
      </c>
      <c r="E1240" t="s">
        <v>9</v>
      </c>
      <c r="F1240">
        <v>67.510000000000005</v>
      </c>
      <c r="G1240" t="s">
        <v>10</v>
      </c>
      <c r="H1240" t="s">
        <v>13</v>
      </c>
    </row>
    <row r="1241" spans="1:8" x14ac:dyDescent="0.25">
      <c r="A1241" s="1">
        <v>45664.625</v>
      </c>
      <c r="B1241" t="s">
        <v>18</v>
      </c>
      <c r="C1241">
        <v>290.12</v>
      </c>
      <c r="D1241">
        <v>23.16</v>
      </c>
      <c r="E1241" t="s">
        <v>9</v>
      </c>
      <c r="F1241">
        <v>79.7</v>
      </c>
      <c r="G1241" t="s">
        <v>10</v>
      </c>
      <c r="H1241" t="s">
        <v>12</v>
      </c>
    </row>
    <row r="1242" spans="1:8" x14ac:dyDescent="0.25">
      <c r="A1242" s="1">
        <v>45664.666666666664</v>
      </c>
      <c r="B1242" t="s">
        <v>18</v>
      </c>
      <c r="C1242">
        <v>182.03</v>
      </c>
      <c r="D1242">
        <v>85.1</v>
      </c>
      <c r="E1242" t="s">
        <v>14</v>
      </c>
      <c r="F1242">
        <v>75.89</v>
      </c>
      <c r="G1242" t="s">
        <v>10</v>
      </c>
      <c r="H1242" t="s">
        <v>11</v>
      </c>
    </row>
    <row r="1243" spans="1:8" x14ac:dyDescent="0.25">
      <c r="A1243" s="1">
        <v>45664.708333333336</v>
      </c>
      <c r="B1243" t="s">
        <v>18</v>
      </c>
      <c r="C1243">
        <v>257.17</v>
      </c>
      <c r="D1243">
        <v>43.52</v>
      </c>
      <c r="E1243" t="s">
        <v>9</v>
      </c>
      <c r="F1243">
        <v>51.18</v>
      </c>
      <c r="G1243" t="s">
        <v>10</v>
      </c>
      <c r="H1243" t="s">
        <v>11</v>
      </c>
    </row>
    <row r="1244" spans="1:8" x14ac:dyDescent="0.25">
      <c r="A1244" s="1">
        <v>45664.75</v>
      </c>
      <c r="B1244" t="s">
        <v>18</v>
      </c>
      <c r="C1244">
        <v>388.07</v>
      </c>
      <c r="D1244">
        <v>68.95</v>
      </c>
      <c r="E1244" t="s">
        <v>9</v>
      </c>
      <c r="F1244">
        <v>41.9</v>
      </c>
      <c r="G1244" t="s">
        <v>10</v>
      </c>
      <c r="H1244" t="s">
        <v>12</v>
      </c>
    </row>
    <row r="1245" spans="1:8" x14ac:dyDescent="0.25">
      <c r="A1245" s="1">
        <v>45664.791666666664</v>
      </c>
      <c r="B1245" t="s">
        <v>18</v>
      </c>
      <c r="C1245">
        <v>490.99</v>
      </c>
      <c r="D1245">
        <v>85.46</v>
      </c>
      <c r="E1245" t="s">
        <v>14</v>
      </c>
      <c r="F1245">
        <v>64.489999999999995</v>
      </c>
      <c r="G1245" t="s">
        <v>10</v>
      </c>
      <c r="H1245" t="s">
        <v>11</v>
      </c>
    </row>
    <row r="1246" spans="1:8" x14ac:dyDescent="0.25">
      <c r="A1246" s="1">
        <v>45664.833333333336</v>
      </c>
      <c r="B1246" t="s">
        <v>18</v>
      </c>
      <c r="C1246">
        <v>397.01</v>
      </c>
      <c r="D1246">
        <v>67.569999999999993</v>
      </c>
      <c r="E1246" t="s">
        <v>9</v>
      </c>
      <c r="F1246">
        <v>54.56</v>
      </c>
      <c r="G1246" t="s">
        <v>10</v>
      </c>
      <c r="H1246" t="s">
        <v>12</v>
      </c>
    </row>
    <row r="1247" spans="1:8" x14ac:dyDescent="0.25">
      <c r="A1247" s="1">
        <v>45664.875</v>
      </c>
      <c r="B1247" t="s">
        <v>18</v>
      </c>
      <c r="C1247">
        <v>373.46</v>
      </c>
      <c r="D1247">
        <v>62.89</v>
      </c>
      <c r="E1247" t="s">
        <v>9</v>
      </c>
      <c r="F1247">
        <v>84.99</v>
      </c>
      <c r="G1247" t="s">
        <v>10</v>
      </c>
      <c r="H1247" t="s">
        <v>13</v>
      </c>
    </row>
    <row r="1248" spans="1:8" x14ac:dyDescent="0.25">
      <c r="A1248" s="1">
        <v>45664.916666666664</v>
      </c>
      <c r="B1248" t="s">
        <v>18</v>
      </c>
      <c r="C1248">
        <v>119.87</v>
      </c>
      <c r="D1248">
        <v>77.94</v>
      </c>
      <c r="E1248" t="s">
        <v>9</v>
      </c>
      <c r="F1248">
        <v>51.51</v>
      </c>
      <c r="G1248" t="s">
        <v>10</v>
      </c>
      <c r="H1248" t="s">
        <v>12</v>
      </c>
    </row>
    <row r="1249" spans="1:8" x14ac:dyDescent="0.25">
      <c r="A1249" s="1">
        <v>45664.958333333336</v>
      </c>
      <c r="B1249" t="s">
        <v>18</v>
      </c>
      <c r="C1249">
        <v>404.26</v>
      </c>
      <c r="D1249">
        <v>47.1</v>
      </c>
      <c r="E1249" t="s">
        <v>9</v>
      </c>
      <c r="F1249">
        <v>79.400000000000006</v>
      </c>
      <c r="G1249" t="s">
        <v>10</v>
      </c>
      <c r="H1249" t="s">
        <v>12</v>
      </c>
    </row>
    <row r="1250" spans="1:8" x14ac:dyDescent="0.25">
      <c r="A1250" s="1">
        <v>45665</v>
      </c>
      <c r="B1250" t="s">
        <v>18</v>
      </c>
      <c r="C1250">
        <v>101.93</v>
      </c>
      <c r="D1250">
        <v>46.96</v>
      </c>
      <c r="E1250" t="s">
        <v>9</v>
      </c>
      <c r="F1250">
        <v>80.88</v>
      </c>
      <c r="G1250" t="s">
        <v>10</v>
      </c>
      <c r="H1250" t="s">
        <v>12</v>
      </c>
    </row>
    <row r="1251" spans="1:8" x14ac:dyDescent="0.25">
      <c r="A1251" s="1">
        <v>45665.041666666664</v>
      </c>
      <c r="B1251" t="s">
        <v>18</v>
      </c>
      <c r="C1251">
        <v>315.99</v>
      </c>
      <c r="D1251">
        <v>54.81</v>
      </c>
      <c r="E1251" t="s">
        <v>9</v>
      </c>
      <c r="F1251">
        <v>68.760000000000005</v>
      </c>
      <c r="G1251" t="s">
        <v>10</v>
      </c>
      <c r="H1251" t="s">
        <v>13</v>
      </c>
    </row>
    <row r="1252" spans="1:8" x14ac:dyDescent="0.25">
      <c r="A1252" s="1">
        <v>45665.083333333336</v>
      </c>
      <c r="B1252" t="s">
        <v>18</v>
      </c>
      <c r="C1252">
        <v>287.39999999999998</v>
      </c>
      <c r="D1252">
        <v>73.62</v>
      </c>
      <c r="E1252" t="s">
        <v>9</v>
      </c>
      <c r="F1252">
        <v>80.31</v>
      </c>
      <c r="G1252" t="s">
        <v>10</v>
      </c>
      <c r="H1252" t="s">
        <v>12</v>
      </c>
    </row>
    <row r="1253" spans="1:8" x14ac:dyDescent="0.25">
      <c r="A1253" s="1">
        <v>45665.125</v>
      </c>
      <c r="B1253" t="s">
        <v>18</v>
      </c>
      <c r="C1253">
        <v>266.62</v>
      </c>
      <c r="D1253">
        <v>20.350000000000001</v>
      </c>
      <c r="E1253" t="s">
        <v>9</v>
      </c>
      <c r="F1253">
        <v>63.63</v>
      </c>
      <c r="G1253" t="s">
        <v>10</v>
      </c>
      <c r="H1253" t="s">
        <v>11</v>
      </c>
    </row>
    <row r="1254" spans="1:8" x14ac:dyDescent="0.25">
      <c r="A1254" s="1">
        <v>45665.166666666664</v>
      </c>
      <c r="B1254" t="s">
        <v>18</v>
      </c>
      <c r="C1254">
        <v>119.52</v>
      </c>
      <c r="D1254">
        <v>46.42</v>
      </c>
      <c r="E1254" t="s">
        <v>9</v>
      </c>
      <c r="F1254">
        <v>51.99</v>
      </c>
      <c r="G1254" t="s">
        <v>10</v>
      </c>
      <c r="H1254" t="s">
        <v>11</v>
      </c>
    </row>
    <row r="1255" spans="1:8" x14ac:dyDescent="0.25">
      <c r="A1255" s="1">
        <v>45665.208333333336</v>
      </c>
      <c r="B1255" t="s">
        <v>18</v>
      </c>
      <c r="C1255">
        <v>349.48</v>
      </c>
      <c r="D1255">
        <v>93.24</v>
      </c>
      <c r="E1255" t="s">
        <v>14</v>
      </c>
      <c r="F1255">
        <v>73.7</v>
      </c>
      <c r="G1255" t="s">
        <v>10</v>
      </c>
      <c r="H1255" t="s">
        <v>11</v>
      </c>
    </row>
    <row r="1256" spans="1:8" x14ac:dyDescent="0.25">
      <c r="A1256" s="1">
        <v>45665.25</v>
      </c>
      <c r="B1256" t="s">
        <v>18</v>
      </c>
      <c r="C1256">
        <v>242.52</v>
      </c>
      <c r="D1256">
        <v>30</v>
      </c>
      <c r="E1256" t="s">
        <v>9</v>
      </c>
      <c r="F1256">
        <v>84.65</v>
      </c>
      <c r="G1256" t="s">
        <v>10</v>
      </c>
      <c r="H1256" t="s">
        <v>12</v>
      </c>
    </row>
    <row r="1257" spans="1:8" x14ac:dyDescent="0.25">
      <c r="A1257" s="1">
        <v>45665.291666666664</v>
      </c>
      <c r="B1257" t="s">
        <v>18</v>
      </c>
      <c r="C1257">
        <v>178.73</v>
      </c>
      <c r="D1257">
        <v>55.87</v>
      </c>
      <c r="E1257" t="s">
        <v>9</v>
      </c>
      <c r="F1257">
        <v>45.8</v>
      </c>
      <c r="G1257" t="s">
        <v>10</v>
      </c>
      <c r="H1257" t="s">
        <v>13</v>
      </c>
    </row>
    <row r="1258" spans="1:8" x14ac:dyDescent="0.25">
      <c r="A1258" s="1">
        <v>45665.333333333336</v>
      </c>
      <c r="B1258" t="s">
        <v>18</v>
      </c>
      <c r="C1258">
        <v>319.58999999999997</v>
      </c>
      <c r="D1258">
        <v>21.2</v>
      </c>
      <c r="E1258" t="s">
        <v>9</v>
      </c>
      <c r="F1258">
        <v>33.49</v>
      </c>
      <c r="G1258" t="s">
        <v>10</v>
      </c>
      <c r="H1258" t="s">
        <v>13</v>
      </c>
    </row>
    <row r="1259" spans="1:8" x14ac:dyDescent="0.25">
      <c r="A1259" s="1">
        <v>45665.375</v>
      </c>
      <c r="B1259" t="s">
        <v>18</v>
      </c>
      <c r="C1259">
        <v>400.35</v>
      </c>
      <c r="D1259">
        <v>73.489999999999995</v>
      </c>
      <c r="E1259" t="s">
        <v>9</v>
      </c>
      <c r="F1259">
        <v>64.47</v>
      </c>
      <c r="G1259" t="s">
        <v>10</v>
      </c>
      <c r="H1259" t="s">
        <v>13</v>
      </c>
    </row>
    <row r="1260" spans="1:8" x14ac:dyDescent="0.25">
      <c r="A1260" s="1">
        <v>45665.416666666664</v>
      </c>
      <c r="B1260" t="s">
        <v>18</v>
      </c>
      <c r="C1260">
        <v>303.2</v>
      </c>
      <c r="D1260">
        <v>92.12</v>
      </c>
      <c r="E1260" t="s">
        <v>14</v>
      </c>
      <c r="F1260">
        <v>43.03</v>
      </c>
      <c r="G1260" t="s">
        <v>10</v>
      </c>
      <c r="H1260" t="s">
        <v>12</v>
      </c>
    </row>
    <row r="1261" spans="1:8" x14ac:dyDescent="0.25">
      <c r="A1261" s="1">
        <v>45665.458333333336</v>
      </c>
      <c r="B1261" t="s">
        <v>18</v>
      </c>
      <c r="C1261">
        <v>353.03</v>
      </c>
      <c r="D1261">
        <v>86.2</v>
      </c>
      <c r="E1261" t="s">
        <v>14</v>
      </c>
      <c r="F1261">
        <v>78.23</v>
      </c>
      <c r="G1261" t="s">
        <v>10</v>
      </c>
      <c r="H1261" t="s">
        <v>12</v>
      </c>
    </row>
    <row r="1262" spans="1:8" x14ac:dyDescent="0.25">
      <c r="A1262" s="1">
        <v>45665.5</v>
      </c>
      <c r="B1262" t="s">
        <v>18</v>
      </c>
      <c r="C1262">
        <v>298.63</v>
      </c>
      <c r="D1262">
        <v>31.46</v>
      </c>
      <c r="E1262" t="s">
        <v>9</v>
      </c>
      <c r="F1262">
        <v>42.02</v>
      </c>
      <c r="G1262" t="s">
        <v>10</v>
      </c>
      <c r="H1262" t="s">
        <v>13</v>
      </c>
    </row>
    <row r="1263" spans="1:8" x14ac:dyDescent="0.25">
      <c r="A1263" s="1">
        <v>45665.541666666664</v>
      </c>
      <c r="B1263" t="s">
        <v>18</v>
      </c>
      <c r="C1263">
        <v>410.79</v>
      </c>
      <c r="D1263">
        <v>74.61</v>
      </c>
      <c r="E1263" t="s">
        <v>9</v>
      </c>
      <c r="F1263">
        <v>77.64</v>
      </c>
      <c r="G1263" t="s">
        <v>10</v>
      </c>
      <c r="H1263" t="s">
        <v>11</v>
      </c>
    </row>
    <row r="1264" spans="1:8" x14ac:dyDescent="0.25">
      <c r="A1264" s="1">
        <v>45665.583333333336</v>
      </c>
      <c r="B1264" t="s">
        <v>18</v>
      </c>
      <c r="C1264">
        <v>372.99</v>
      </c>
      <c r="D1264">
        <v>69.06</v>
      </c>
      <c r="E1264" t="s">
        <v>9</v>
      </c>
      <c r="F1264">
        <v>79.86</v>
      </c>
      <c r="G1264" t="s">
        <v>10</v>
      </c>
      <c r="H1264" t="s">
        <v>11</v>
      </c>
    </row>
    <row r="1265" spans="1:8" x14ac:dyDescent="0.25">
      <c r="A1265" s="1">
        <v>45665.625</v>
      </c>
      <c r="B1265" t="s">
        <v>18</v>
      </c>
      <c r="C1265">
        <v>384.23</v>
      </c>
      <c r="D1265">
        <v>47.55</v>
      </c>
      <c r="E1265" t="s">
        <v>9</v>
      </c>
      <c r="F1265">
        <v>58.41</v>
      </c>
      <c r="G1265" t="s">
        <v>10</v>
      </c>
      <c r="H1265" t="s">
        <v>11</v>
      </c>
    </row>
    <row r="1266" spans="1:8" x14ac:dyDescent="0.25">
      <c r="A1266" s="1">
        <v>45665.666666666664</v>
      </c>
      <c r="B1266" t="s">
        <v>18</v>
      </c>
      <c r="C1266">
        <v>468.47</v>
      </c>
      <c r="D1266">
        <v>41.83</v>
      </c>
      <c r="E1266" t="s">
        <v>9</v>
      </c>
      <c r="F1266">
        <v>87.81</v>
      </c>
      <c r="G1266" t="s">
        <v>10</v>
      </c>
      <c r="H1266" t="s">
        <v>11</v>
      </c>
    </row>
    <row r="1267" spans="1:8" x14ac:dyDescent="0.25">
      <c r="A1267" s="1">
        <v>45665.708333333336</v>
      </c>
      <c r="B1267" t="s">
        <v>18</v>
      </c>
      <c r="C1267">
        <v>50.11</v>
      </c>
      <c r="D1267">
        <v>27.64</v>
      </c>
      <c r="E1267" t="s">
        <v>9</v>
      </c>
      <c r="F1267">
        <v>31.83</v>
      </c>
      <c r="G1267" t="s">
        <v>10</v>
      </c>
      <c r="H1267" t="s">
        <v>12</v>
      </c>
    </row>
    <row r="1268" spans="1:8" x14ac:dyDescent="0.25">
      <c r="A1268" s="1">
        <v>45665.75</v>
      </c>
      <c r="B1268" t="s">
        <v>18</v>
      </c>
      <c r="C1268">
        <v>458.69</v>
      </c>
      <c r="D1268">
        <v>21.85</v>
      </c>
      <c r="E1268" t="s">
        <v>9</v>
      </c>
      <c r="F1268">
        <v>66.38</v>
      </c>
      <c r="G1268" t="s">
        <v>10</v>
      </c>
      <c r="H1268" t="s">
        <v>11</v>
      </c>
    </row>
    <row r="1269" spans="1:8" x14ac:dyDescent="0.25">
      <c r="A1269" s="1">
        <v>45665.791666666664</v>
      </c>
      <c r="B1269" t="s">
        <v>18</v>
      </c>
      <c r="C1269">
        <v>117.43</v>
      </c>
      <c r="D1269">
        <v>35.380000000000003</v>
      </c>
      <c r="E1269" t="s">
        <v>9</v>
      </c>
      <c r="F1269">
        <v>86.87</v>
      </c>
      <c r="G1269" t="s">
        <v>10</v>
      </c>
      <c r="H1269" t="s">
        <v>12</v>
      </c>
    </row>
    <row r="1270" spans="1:8" x14ac:dyDescent="0.25">
      <c r="A1270" s="1">
        <v>45665.833333333336</v>
      </c>
      <c r="B1270" t="s">
        <v>18</v>
      </c>
      <c r="C1270">
        <v>458.46</v>
      </c>
      <c r="D1270">
        <v>38.68</v>
      </c>
      <c r="E1270" t="s">
        <v>9</v>
      </c>
      <c r="F1270">
        <v>62.59</v>
      </c>
      <c r="G1270" t="s">
        <v>10</v>
      </c>
      <c r="H1270" t="s">
        <v>11</v>
      </c>
    </row>
    <row r="1271" spans="1:8" x14ac:dyDescent="0.25">
      <c r="A1271" s="1">
        <v>45665.875</v>
      </c>
      <c r="B1271" t="s">
        <v>18</v>
      </c>
      <c r="C1271">
        <v>322.22000000000003</v>
      </c>
      <c r="D1271">
        <v>63.73</v>
      </c>
      <c r="E1271" t="s">
        <v>9</v>
      </c>
      <c r="F1271">
        <v>61.91</v>
      </c>
      <c r="G1271" t="s">
        <v>10</v>
      </c>
      <c r="H1271" t="s">
        <v>12</v>
      </c>
    </row>
    <row r="1272" spans="1:8" x14ac:dyDescent="0.25">
      <c r="A1272" s="1">
        <v>45665.916666666664</v>
      </c>
      <c r="B1272" t="s">
        <v>18</v>
      </c>
      <c r="C1272">
        <v>310.52</v>
      </c>
      <c r="D1272">
        <v>66.42</v>
      </c>
      <c r="E1272" t="s">
        <v>9</v>
      </c>
      <c r="F1272">
        <v>71.209999999999994</v>
      </c>
      <c r="G1272" t="s">
        <v>10</v>
      </c>
      <c r="H1272" t="s">
        <v>12</v>
      </c>
    </row>
    <row r="1273" spans="1:8" x14ac:dyDescent="0.25">
      <c r="A1273" s="1">
        <v>45665.958333333336</v>
      </c>
      <c r="B1273" t="s">
        <v>18</v>
      </c>
      <c r="C1273">
        <v>190.1</v>
      </c>
      <c r="D1273">
        <v>59.99</v>
      </c>
      <c r="E1273" t="s">
        <v>9</v>
      </c>
      <c r="F1273">
        <v>88.89</v>
      </c>
      <c r="G1273" t="s">
        <v>10</v>
      </c>
      <c r="H1273" t="s">
        <v>13</v>
      </c>
    </row>
    <row r="1274" spans="1:8" x14ac:dyDescent="0.25">
      <c r="A1274" s="1">
        <v>45666</v>
      </c>
      <c r="B1274" t="s">
        <v>18</v>
      </c>
      <c r="C1274">
        <v>51.4</v>
      </c>
      <c r="D1274">
        <v>38.590000000000003</v>
      </c>
      <c r="E1274" t="s">
        <v>9</v>
      </c>
      <c r="F1274">
        <v>36.520000000000003</v>
      </c>
      <c r="G1274" t="s">
        <v>10</v>
      </c>
      <c r="H1274" t="s">
        <v>13</v>
      </c>
    </row>
    <row r="1275" spans="1:8" x14ac:dyDescent="0.25">
      <c r="A1275" s="1">
        <v>45666.041666666664</v>
      </c>
      <c r="B1275" t="s">
        <v>18</v>
      </c>
      <c r="C1275">
        <v>328.95</v>
      </c>
      <c r="D1275">
        <v>20.7</v>
      </c>
      <c r="E1275" t="s">
        <v>9</v>
      </c>
      <c r="F1275">
        <v>79.44</v>
      </c>
      <c r="G1275" t="s">
        <v>10</v>
      </c>
      <c r="H1275" t="s">
        <v>13</v>
      </c>
    </row>
    <row r="1276" spans="1:8" x14ac:dyDescent="0.25">
      <c r="A1276" s="1">
        <v>45666.083333333336</v>
      </c>
      <c r="B1276" t="s">
        <v>18</v>
      </c>
      <c r="C1276">
        <v>472.36</v>
      </c>
      <c r="D1276">
        <v>18.37</v>
      </c>
      <c r="E1276" t="s">
        <v>9</v>
      </c>
      <c r="F1276">
        <v>30.73</v>
      </c>
      <c r="G1276" t="s">
        <v>10</v>
      </c>
      <c r="H1276" t="s">
        <v>11</v>
      </c>
    </row>
    <row r="1277" spans="1:8" x14ac:dyDescent="0.25">
      <c r="A1277" s="1">
        <v>45666.125</v>
      </c>
      <c r="B1277" t="s">
        <v>18</v>
      </c>
      <c r="C1277">
        <v>180.21</v>
      </c>
      <c r="D1277">
        <v>34.54</v>
      </c>
      <c r="E1277" t="s">
        <v>9</v>
      </c>
      <c r="F1277">
        <v>49.85</v>
      </c>
      <c r="G1277" t="s">
        <v>10</v>
      </c>
      <c r="H1277" t="s">
        <v>13</v>
      </c>
    </row>
    <row r="1278" spans="1:8" x14ac:dyDescent="0.25">
      <c r="A1278" s="1">
        <v>45666.166666666664</v>
      </c>
      <c r="B1278" t="s">
        <v>18</v>
      </c>
      <c r="C1278">
        <v>461.15</v>
      </c>
      <c r="D1278">
        <v>52.09</v>
      </c>
      <c r="E1278" t="s">
        <v>9</v>
      </c>
      <c r="F1278">
        <v>64.150000000000006</v>
      </c>
      <c r="G1278" t="s">
        <v>10</v>
      </c>
      <c r="H1278" t="s">
        <v>13</v>
      </c>
    </row>
    <row r="1279" spans="1:8" x14ac:dyDescent="0.25">
      <c r="A1279" s="1">
        <v>45666.208333333336</v>
      </c>
      <c r="B1279" t="s">
        <v>18</v>
      </c>
      <c r="C1279">
        <v>352.72</v>
      </c>
      <c r="D1279">
        <v>45.36</v>
      </c>
      <c r="E1279" t="s">
        <v>9</v>
      </c>
      <c r="F1279">
        <v>45.08</v>
      </c>
      <c r="G1279" t="s">
        <v>10</v>
      </c>
      <c r="H1279" t="s">
        <v>12</v>
      </c>
    </row>
    <row r="1280" spans="1:8" x14ac:dyDescent="0.25">
      <c r="A1280" s="1">
        <v>45666.25</v>
      </c>
      <c r="B1280" t="s">
        <v>18</v>
      </c>
      <c r="C1280">
        <v>383.81</v>
      </c>
      <c r="D1280">
        <v>75.290000000000006</v>
      </c>
      <c r="E1280" t="s">
        <v>9</v>
      </c>
      <c r="F1280">
        <v>70.010000000000005</v>
      </c>
      <c r="G1280" t="s">
        <v>10</v>
      </c>
      <c r="H1280" t="s">
        <v>12</v>
      </c>
    </row>
    <row r="1281" spans="1:8" x14ac:dyDescent="0.25">
      <c r="A1281" s="1">
        <v>45666.291666666664</v>
      </c>
      <c r="B1281" t="s">
        <v>18</v>
      </c>
      <c r="C1281">
        <v>314.64</v>
      </c>
      <c r="D1281">
        <v>60.22</v>
      </c>
      <c r="E1281" t="s">
        <v>9</v>
      </c>
      <c r="F1281">
        <v>59.06</v>
      </c>
      <c r="G1281" t="s">
        <v>10</v>
      </c>
      <c r="H1281" t="s">
        <v>13</v>
      </c>
    </row>
    <row r="1282" spans="1:8" x14ac:dyDescent="0.25">
      <c r="A1282" s="1">
        <v>45666.333333333336</v>
      </c>
      <c r="B1282" t="s">
        <v>18</v>
      </c>
      <c r="C1282">
        <v>50.08</v>
      </c>
      <c r="D1282">
        <v>43.36</v>
      </c>
      <c r="E1282" t="s">
        <v>9</v>
      </c>
      <c r="F1282">
        <v>74.260000000000005</v>
      </c>
      <c r="G1282" t="s">
        <v>10</v>
      </c>
      <c r="H1282" t="s">
        <v>13</v>
      </c>
    </row>
    <row r="1283" spans="1:8" x14ac:dyDescent="0.25">
      <c r="A1283" s="1">
        <v>45666.375</v>
      </c>
      <c r="B1283" t="s">
        <v>18</v>
      </c>
      <c r="C1283">
        <v>99.33</v>
      </c>
      <c r="D1283">
        <v>74.709999999999994</v>
      </c>
      <c r="E1283" t="s">
        <v>9</v>
      </c>
      <c r="F1283">
        <v>38.15</v>
      </c>
      <c r="G1283" t="s">
        <v>10</v>
      </c>
      <c r="H1283" t="s">
        <v>12</v>
      </c>
    </row>
    <row r="1284" spans="1:8" x14ac:dyDescent="0.25">
      <c r="A1284" s="1">
        <v>45666.416666666664</v>
      </c>
      <c r="B1284" t="s">
        <v>18</v>
      </c>
      <c r="C1284">
        <v>305.52</v>
      </c>
      <c r="D1284">
        <v>81.36</v>
      </c>
      <c r="E1284" t="s">
        <v>9</v>
      </c>
      <c r="F1284">
        <v>85.95</v>
      </c>
      <c r="G1284" t="s">
        <v>10</v>
      </c>
      <c r="H1284" t="s">
        <v>11</v>
      </c>
    </row>
    <row r="1285" spans="1:8" x14ac:dyDescent="0.25">
      <c r="A1285" s="1">
        <v>45666.458333333336</v>
      </c>
      <c r="B1285" t="s">
        <v>18</v>
      </c>
      <c r="C1285">
        <v>249.46</v>
      </c>
      <c r="D1285">
        <v>29.08</v>
      </c>
      <c r="E1285" t="s">
        <v>9</v>
      </c>
      <c r="F1285">
        <v>59.12</v>
      </c>
      <c r="G1285" t="s">
        <v>10</v>
      </c>
      <c r="H1285" t="s">
        <v>11</v>
      </c>
    </row>
    <row r="1286" spans="1:8" x14ac:dyDescent="0.25">
      <c r="A1286" s="1">
        <v>45666.5</v>
      </c>
      <c r="B1286" t="s">
        <v>18</v>
      </c>
      <c r="C1286">
        <v>226.72</v>
      </c>
      <c r="D1286">
        <v>63.9</v>
      </c>
      <c r="E1286" t="s">
        <v>9</v>
      </c>
      <c r="F1286">
        <v>37.450000000000003</v>
      </c>
      <c r="G1286" t="s">
        <v>10</v>
      </c>
      <c r="H1286" t="s">
        <v>12</v>
      </c>
    </row>
    <row r="1287" spans="1:8" x14ac:dyDescent="0.25">
      <c r="A1287" s="1">
        <v>45666.541666666664</v>
      </c>
      <c r="B1287" t="s">
        <v>18</v>
      </c>
      <c r="C1287">
        <v>190.4</v>
      </c>
      <c r="D1287">
        <v>87.69</v>
      </c>
      <c r="E1287" t="s">
        <v>14</v>
      </c>
      <c r="F1287">
        <v>82.22</v>
      </c>
      <c r="G1287" t="s">
        <v>10</v>
      </c>
      <c r="H1287" t="s">
        <v>12</v>
      </c>
    </row>
    <row r="1288" spans="1:8" x14ac:dyDescent="0.25">
      <c r="A1288" s="1">
        <v>45666.583333333336</v>
      </c>
      <c r="B1288" t="s">
        <v>18</v>
      </c>
      <c r="C1288">
        <v>196.16</v>
      </c>
      <c r="D1288">
        <v>37.76</v>
      </c>
      <c r="E1288" t="s">
        <v>9</v>
      </c>
      <c r="F1288">
        <v>32.01</v>
      </c>
      <c r="G1288" t="s">
        <v>10</v>
      </c>
      <c r="H1288" t="s">
        <v>13</v>
      </c>
    </row>
    <row r="1289" spans="1:8" x14ac:dyDescent="0.25">
      <c r="A1289" s="1">
        <v>45666.625</v>
      </c>
      <c r="B1289" t="s">
        <v>18</v>
      </c>
      <c r="C1289">
        <v>85.84</v>
      </c>
      <c r="D1289">
        <v>61.25</v>
      </c>
      <c r="E1289" t="s">
        <v>9</v>
      </c>
      <c r="F1289">
        <v>86.87</v>
      </c>
      <c r="G1289" t="s">
        <v>10</v>
      </c>
      <c r="H1289" t="s">
        <v>12</v>
      </c>
    </row>
    <row r="1290" spans="1:8" x14ac:dyDescent="0.25">
      <c r="A1290" s="1">
        <v>45666.666666666664</v>
      </c>
      <c r="B1290" t="s">
        <v>18</v>
      </c>
      <c r="C1290">
        <v>418.43</v>
      </c>
      <c r="D1290">
        <v>24.1</v>
      </c>
      <c r="E1290" t="s">
        <v>9</v>
      </c>
      <c r="F1290">
        <v>81.459999999999994</v>
      </c>
      <c r="G1290" t="s">
        <v>10</v>
      </c>
      <c r="H1290" t="s">
        <v>11</v>
      </c>
    </row>
    <row r="1291" spans="1:8" x14ac:dyDescent="0.25">
      <c r="A1291" s="1">
        <v>45666.708333333336</v>
      </c>
      <c r="B1291" t="s">
        <v>18</v>
      </c>
      <c r="C1291">
        <v>476.02</v>
      </c>
      <c r="D1291">
        <v>46.2</v>
      </c>
      <c r="E1291" t="s">
        <v>9</v>
      </c>
      <c r="F1291">
        <v>43.03</v>
      </c>
      <c r="G1291" t="s">
        <v>10</v>
      </c>
      <c r="H1291" t="s">
        <v>12</v>
      </c>
    </row>
    <row r="1292" spans="1:8" x14ac:dyDescent="0.25">
      <c r="A1292" s="1">
        <v>45666.75</v>
      </c>
      <c r="B1292" t="s">
        <v>18</v>
      </c>
      <c r="C1292">
        <v>384.2</v>
      </c>
      <c r="D1292">
        <v>28.58</v>
      </c>
      <c r="E1292" t="s">
        <v>9</v>
      </c>
      <c r="F1292">
        <v>84.87</v>
      </c>
      <c r="G1292" t="s">
        <v>10</v>
      </c>
      <c r="H1292" t="s">
        <v>12</v>
      </c>
    </row>
    <row r="1293" spans="1:8" x14ac:dyDescent="0.25">
      <c r="A1293" s="1">
        <v>45666.791666666664</v>
      </c>
      <c r="B1293" t="s">
        <v>18</v>
      </c>
      <c r="C1293">
        <v>264.48</v>
      </c>
      <c r="D1293">
        <v>84.13</v>
      </c>
      <c r="E1293" t="s">
        <v>9</v>
      </c>
      <c r="F1293">
        <v>31.93</v>
      </c>
      <c r="G1293" t="s">
        <v>10</v>
      </c>
      <c r="H1293" t="s">
        <v>11</v>
      </c>
    </row>
    <row r="1294" spans="1:8" x14ac:dyDescent="0.25">
      <c r="A1294" s="1">
        <v>45666.833333333336</v>
      </c>
      <c r="B1294" t="s">
        <v>18</v>
      </c>
      <c r="C1294">
        <v>215.83</v>
      </c>
      <c r="D1294">
        <v>18.37</v>
      </c>
      <c r="E1294" t="s">
        <v>9</v>
      </c>
      <c r="F1294">
        <v>75.78</v>
      </c>
      <c r="G1294" t="s">
        <v>10</v>
      </c>
      <c r="H1294" t="s">
        <v>13</v>
      </c>
    </row>
    <row r="1295" spans="1:8" x14ac:dyDescent="0.25">
      <c r="A1295" s="1">
        <v>45666.875</v>
      </c>
      <c r="B1295" t="s">
        <v>18</v>
      </c>
      <c r="C1295">
        <v>378.07</v>
      </c>
      <c r="D1295">
        <v>89.15</v>
      </c>
      <c r="E1295" t="s">
        <v>14</v>
      </c>
      <c r="F1295">
        <v>49.96</v>
      </c>
      <c r="G1295" t="s">
        <v>10</v>
      </c>
      <c r="H1295" t="s">
        <v>12</v>
      </c>
    </row>
    <row r="1296" spans="1:8" x14ac:dyDescent="0.25">
      <c r="A1296" s="1">
        <v>45666.916666666664</v>
      </c>
      <c r="B1296" t="s">
        <v>18</v>
      </c>
      <c r="C1296">
        <v>331.07</v>
      </c>
      <c r="D1296">
        <v>47.77</v>
      </c>
      <c r="E1296" t="s">
        <v>9</v>
      </c>
      <c r="F1296">
        <v>63.61</v>
      </c>
      <c r="G1296" t="s">
        <v>10</v>
      </c>
      <c r="H1296" t="s">
        <v>11</v>
      </c>
    </row>
    <row r="1297" spans="1:8" x14ac:dyDescent="0.25">
      <c r="A1297" s="1">
        <v>45666.958333333336</v>
      </c>
      <c r="B1297" t="s">
        <v>18</v>
      </c>
      <c r="C1297">
        <v>95.36</v>
      </c>
      <c r="D1297">
        <v>35.08</v>
      </c>
      <c r="E1297" t="s">
        <v>9</v>
      </c>
      <c r="F1297">
        <v>40.619999999999997</v>
      </c>
      <c r="G1297" t="s">
        <v>10</v>
      </c>
      <c r="H1297" t="s">
        <v>12</v>
      </c>
    </row>
    <row r="1298" spans="1:8" x14ac:dyDescent="0.25">
      <c r="A1298" s="1">
        <v>45667</v>
      </c>
      <c r="B1298" t="s">
        <v>18</v>
      </c>
      <c r="C1298">
        <v>459.19</v>
      </c>
      <c r="D1298">
        <v>14.67</v>
      </c>
      <c r="E1298" t="s">
        <v>9</v>
      </c>
      <c r="F1298">
        <v>74.16</v>
      </c>
      <c r="G1298" t="s">
        <v>10</v>
      </c>
      <c r="H1298" t="s">
        <v>12</v>
      </c>
    </row>
    <row r="1299" spans="1:8" x14ac:dyDescent="0.25">
      <c r="A1299" s="1">
        <v>45667.041666666664</v>
      </c>
      <c r="B1299" t="s">
        <v>18</v>
      </c>
      <c r="C1299">
        <v>366.05</v>
      </c>
      <c r="D1299">
        <v>36.61</v>
      </c>
      <c r="E1299" t="s">
        <v>9</v>
      </c>
      <c r="F1299">
        <v>64.760000000000005</v>
      </c>
      <c r="G1299" t="s">
        <v>10</v>
      </c>
      <c r="H1299" t="s">
        <v>12</v>
      </c>
    </row>
    <row r="1300" spans="1:8" x14ac:dyDescent="0.25">
      <c r="A1300" s="1">
        <v>45667.083333333336</v>
      </c>
      <c r="B1300" t="s">
        <v>18</v>
      </c>
      <c r="C1300">
        <v>352.51</v>
      </c>
      <c r="D1300">
        <v>14.43</v>
      </c>
      <c r="E1300" t="s">
        <v>9</v>
      </c>
      <c r="F1300">
        <v>89.09</v>
      </c>
      <c r="G1300" t="s">
        <v>10</v>
      </c>
      <c r="H1300" t="s">
        <v>13</v>
      </c>
    </row>
    <row r="1301" spans="1:8" x14ac:dyDescent="0.25">
      <c r="A1301" s="1">
        <v>45667.125</v>
      </c>
      <c r="B1301" t="s">
        <v>18</v>
      </c>
      <c r="C1301">
        <v>452.8</v>
      </c>
      <c r="D1301">
        <v>67.41</v>
      </c>
      <c r="E1301" t="s">
        <v>9</v>
      </c>
      <c r="F1301">
        <v>50.69</v>
      </c>
      <c r="G1301" t="s">
        <v>10</v>
      </c>
      <c r="H1301" t="s">
        <v>12</v>
      </c>
    </row>
    <row r="1302" spans="1:8" x14ac:dyDescent="0.25">
      <c r="A1302" s="1">
        <v>45667.166666666664</v>
      </c>
      <c r="B1302" t="s">
        <v>18</v>
      </c>
      <c r="C1302">
        <v>190.04</v>
      </c>
      <c r="D1302">
        <v>76.37</v>
      </c>
      <c r="E1302" t="s">
        <v>9</v>
      </c>
      <c r="F1302">
        <v>82.01</v>
      </c>
      <c r="G1302" t="s">
        <v>10</v>
      </c>
      <c r="H1302" t="s">
        <v>13</v>
      </c>
    </row>
    <row r="1303" spans="1:8" x14ac:dyDescent="0.25">
      <c r="A1303" s="1">
        <v>45667.208333333336</v>
      </c>
      <c r="B1303" t="s">
        <v>18</v>
      </c>
      <c r="C1303">
        <v>464.88</v>
      </c>
      <c r="D1303">
        <v>25.39</v>
      </c>
      <c r="E1303" t="s">
        <v>9</v>
      </c>
      <c r="F1303">
        <v>43.49</v>
      </c>
      <c r="G1303" t="s">
        <v>10</v>
      </c>
      <c r="H1303" t="s">
        <v>13</v>
      </c>
    </row>
    <row r="1304" spans="1:8" x14ac:dyDescent="0.25">
      <c r="A1304" s="1">
        <v>45667.25</v>
      </c>
      <c r="B1304" t="s">
        <v>18</v>
      </c>
      <c r="C1304">
        <v>330.42</v>
      </c>
      <c r="D1304">
        <v>52.02</v>
      </c>
      <c r="E1304" t="s">
        <v>9</v>
      </c>
      <c r="F1304">
        <v>37</v>
      </c>
      <c r="G1304" t="s">
        <v>10</v>
      </c>
      <c r="H1304" t="s">
        <v>11</v>
      </c>
    </row>
    <row r="1305" spans="1:8" x14ac:dyDescent="0.25">
      <c r="A1305" s="1">
        <v>45667.291666666664</v>
      </c>
      <c r="B1305" t="s">
        <v>18</v>
      </c>
      <c r="C1305">
        <v>50.42</v>
      </c>
      <c r="D1305">
        <v>75.33</v>
      </c>
      <c r="E1305" t="s">
        <v>9</v>
      </c>
      <c r="F1305">
        <v>89.11</v>
      </c>
      <c r="G1305" t="s">
        <v>10</v>
      </c>
      <c r="H1305" t="s">
        <v>11</v>
      </c>
    </row>
    <row r="1306" spans="1:8" x14ac:dyDescent="0.25">
      <c r="A1306" s="1">
        <v>45667.333333333336</v>
      </c>
      <c r="B1306" t="s">
        <v>18</v>
      </c>
      <c r="C1306">
        <v>257.08999999999997</v>
      </c>
      <c r="D1306">
        <v>87.21</v>
      </c>
      <c r="E1306" t="s">
        <v>14</v>
      </c>
      <c r="F1306">
        <v>54.59</v>
      </c>
      <c r="G1306" t="s">
        <v>10</v>
      </c>
      <c r="H1306" t="s">
        <v>13</v>
      </c>
    </row>
    <row r="1307" spans="1:8" x14ac:dyDescent="0.25">
      <c r="A1307" s="1">
        <v>45667.375</v>
      </c>
      <c r="B1307" t="s">
        <v>18</v>
      </c>
      <c r="C1307">
        <v>203.46</v>
      </c>
      <c r="D1307">
        <v>29.21</v>
      </c>
      <c r="E1307" t="s">
        <v>9</v>
      </c>
      <c r="F1307">
        <v>79.27</v>
      </c>
      <c r="G1307" t="s">
        <v>10</v>
      </c>
      <c r="H1307" t="s">
        <v>12</v>
      </c>
    </row>
    <row r="1308" spans="1:8" x14ac:dyDescent="0.25">
      <c r="A1308" s="1">
        <v>45667.416666666664</v>
      </c>
      <c r="B1308" t="s">
        <v>18</v>
      </c>
      <c r="C1308">
        <v>192.52</v>
      </c>
      <c r="D1308">
        <v>34.92</v>
      </c>
      <c r="E1308" t="s">
        <v>9</v>
      </c>
      <c r="F1308">
        <v>32.26</v>
      </c>
      <c r="G1308" t="s">
        <v>10</v>
      </c>
      <c r="H1308" t="s">
        <v>11</v>
      </c>
    </row>
    <row r="1309" spans="1:8" x14ac:dyDescent="0.25">
      <c r="A1309" s="1">
        <v>45667.458333333336</v>
      </c>
      <c r="B1309" t="s">
        <v>18</v>
      </c>
      <c r="C1309">
        <v>323.83999999999997</v>
      </c>
      <c r="D1309">
        <v>70.930000000000007</v>
      </c>
      <c r="E1309" t="s">
        <v>9</v>
      </c>
      <c r="F1309">
        <v>57.17</v>
      </c>
      <c r="G1309" t="s">
        <v>10</v>
      </c>
      <c r="H1309" t="s">
        <v>13</v>
      </c>
    </row>
    <row r="1310" spans="1:8" x14ac:dyDescent="0.25">
      <c r="A1310" s="1">
        <v>45667.5</v>
      </c>
      <c r="B1310" t="s">
        <v>18</v>
      </c>
      <c r="C1310">
        <v>444.82</v>
      </c>
      <c r="D1310">
        <v>74.17</v>
      </c>
      <c r="E1310" t="s">
        <v>9</v>
      </c>
      <c r="F1310">
        <v>83.99</v>
      </c>
      <c r="G1310" t="s">
        <v>10</v>
      </c>
      <c r="H1310" t="s">
        <v>12</v>
      </c>
    </row>
    <row r="1311" spans="1:8" x14ac:dyDescent="0.25">
      <c r="A1311" s="1">
        <v>45667.541666666664</v>
      </c>
      <c r="B1311" t="s">
        <v>18</v>
      </c>
      <c r="C1311">
        <v>471.35</v>
      </c>
      <c r="D1311">
        <v>79.39</v>
      </c>
      <c r="E1311" t="s">
        <v>9</v>
      </c>
      <c r="F1311">
        <v>68.14</v>
      </c>
      <c r="G1311" t="s">
        <v>10</v>
      </c>
      <c r="H1311" t="s">
        <v>13</v>
      </c>
    </row>
    <row r="1312" spans="1:8" x14ac:dyDescent="0.25">
      <c r="A1312" s="1">
        <v>45667.583333333336</v>
      </c>
      <c r="B1312" t="s">
        <v>18</v>
      </c>
      <c r="C1312">
        <v>201.65</v>
      </c>
      <c r="D1312">
        <v>24.46</v>
      </c>
      <c r="E1312" t="s">
        <v>9</v>
      </c>
      <c r="F1312">
        <v>61.39</v>
      </c>
      <c r="G1312" t="s">
        <v>10</v>
      </c>
      <c r="H1312" t="s">
        <v>13</v>
      </c>
    </row>
    <row r="1313" spans="1:8" x14ac:dyDescent="0.25">
      <c r="A1313" s="1">
        <v>45667.625</v>
      </c>
      <c r="B1313" t="s">
        <v>18</v>
      </c>
      <c r="C1313">
        <v>248.97</v>
      </c>
      <c r="D1313">
        <v>18.61</v>
      </c>
      <c r="E1313" t="s">
        <v>9</v>
      </c>
      <c r="F1313">
        <v>88.71</v>
      </c>
      <c r="G1313" t="s">
        <v>10</v>
      </c>
      <c r="H1313" t="s">
        <v>13</v>
      </c>
    </row>
    <row r="1314" spans="1:8" x14ac:dyDescent="0.25">
      <c r="A1314" s="1">
        <v>45667.666666666664</v>
      </c>
      <c r="B1314" t="s">
        <v>18</v>
      </c>
      <c r="C1314">
        <v>59.53</v>
      </c>
      <c r="D1314">
        <v>42.19</v>
      </c>
      <c r="E1314" t="s">
        <v>9</v>
      </c>
      <c r="F1314">
        <v>73.14</v>
      </c>
      <c r="G1314" t="s">
        <v>10</v>
      </c>
      <c r="H1314" t="s">
        <v>12</v>
      </c>
    </row>
    <row r="1315" spans="1:8" x14ac:dyDescent="0.25">
      <c r="A1315" s="1">
        <v>45667.708333333336</v>
      </c>
      <c r="B1315" t="s">
        <v>18</v>
      </c>
      <c r="C1315">
        <v>64.430000000000007</v>
      </c>
      <c r="D1315">
        <v>63.59</v>
      </c>
      <c r="E1315" t="s">
        <v>9</v>
      </c>
      <c r="F1315">
        <v>72.97</v>
      </c>
      <c r="G1315" t="s">
        <v>10</v>
      </c>
      <c r="H1315" t="s">
        <v>13</v>
      </c>
    </row>
    <row r="1316" spans="1:8" x14ac:dyDescent="0.25">
      <c r="A1316" s="1">
        <v>45667.75</v>
      </c>
      <c r="B1316" t="s">
        <v>18</v>
      </c>
      <c r="C1316">
        <v>78.39</v>
      </c>
      <c r="D1316">
        <v>22.73</v>
      </c>
      <c r="E1316" t="s">
        <v>9</v>
      </c>
      <c r="F1316">
        <v>69.02</v>
      </c>
      <c r="G1316" t="s">
        <v>10</v>
      </c>
      <c r="H1316" t="s">
        <v>12</v>
      </c>
    </row>
    <row r="1317" spans="1:8" x14ac:dyDescent="0.25">
      <c r="A1317" s="1">
        <v>45667.791666666664</v>
      </c>
      <c r="B1317" t="s">
        <v>18</v>
      </c>
      <c r="C1317">
        <v>122.64</v>
      </c>
      <c r="D1317">
        <v>44.13</v>
      </c>
      <c r="E1317" t="s">
        <v>9</v>
      </c>
      <c r="F1317">
        <v>80.819999999999993</v>
      </c>
      <c r="G1317" t="s">
        <v>10</v>
      </c>
      <c r="H1317" t="s">
        <v>13</v>
      </c>
    </row>
    <row r="1318" spans="1:8" x14ac:dyDescent="0.25">
      <c r="A1318" s="1">
        <v>45667.833333333336</v>
      </c>
      <c r="B1318" t="s">
        <v>18</v>
      </c>
      <c r="C1318">
        <v>484.45</v>
      </c>
      <c r="D1318">
        <v>47.71</v>
      </c>
      <c r="E1318" t="s">
        <v>9</v>
      </c>
      <c r="F1318">
        <v>45.93</v>
      </c>
      <c r="G1318" t="s">
        <v>10</v>
      </c>
      <c r="H1318" t="s">
        <v>11</v>
      </c>
    </row>
    <row r="1319" spans="1:8" x14ac:dyDescent="0.25">
      <c r="A1319" s="1">
        <v>45667.875</v>
      </c>
      <c r="B1319" t="s">
        <v>18</v>
      </c>
      <c r="C1319">
        <v>158.54</v>
      </c>
      <c r="D1319">
        <v>27.63</v>
      </c>
      <c r="E1319" t="s">
        <v>9</v>
      </c>
      <c r="F1319">
        <v>88.33</v>
      </c>
      <c r="G1319" t="s">
        <v>10</v>
      </c>
      <c r="H1319" t="s">
        <v>13</v>
      </c>
    </row>
    <row r="1320" spans="1:8" x14ac:dyDescent="0.25">
      <c r="A1320" s="1">
        <v>45667.916666666664</v>
      </c>
      <c r="B1320" t="s">
        <v>18</v>
      </c>
      <c r="C1320">
        <v>269.95</v>
      </c>
      <c r="D1320">
        <v>47.05</v>
      </c>
      <c r="E1320" t="s">
        <v>9</v>
      </c>
      <c r="F1320">
        <v>42.68</v>
      </c>
      <c r="G1320" t="s">
        <v>10</v>
      </c>
      <c r="H1320" t="s">
        <v>13</v>
      </c>
    </row>
    <row r="1321" spans="1:8" x14ac:dyDescent="0.25">
      <c r="A1321" s="1">
        <v>45667.958333333336</v>
      </c>
      <c r="B1321" t="s">
        <v>18</v>
      </c>
      <c r="C1321">
        <v>203.5</v>
      </c>
      <c r="D1321">
        <v>57.87</v>
      </c>
      <c r="E1321" t="s">
        <v>9</v>
      </c>
      <c r="F1321">
        <v>70.510000000000005</v>
      </c>
      <c r="G1321" t="s">
        <v>10</v>
      </c>
      <c r="H1321" t="s">
        <v>13</v>
      </c>
    </row>
    <row r="1322" spans="1:8" x14ac:dyDescent="0.25">
      <c r="A1322" s="1">
        <v>45668</v>
      </c>
      <c r="B1322" t="s">
        <v>18</v>
      </c>
      <c r="C1322">
        <v>125.43</v>
      </c>
      <c r="D1322">
        <v>35.29</v>
      </c>
      <c r="E1322" t="s">
        <v>9</v>
      </c>
      <c r="F1322">
        <v>32.14</v>
      </c>
      <c r="G1322" t="s">
        <v>10</v>
      </c>
      <c r="H1322" t="s">
        <v>12</v>
      </c>
    </row>
    <row r="1323" spans="1:8" x14ac:dyDescent="0.25">
      <c r="A1323" s="1">
        <v>45668.041666666664</v>
      </c>
      <c r="B1323" t="s">
        <v>18</v>
      </c>
      <c r="C1323">
        <v>60.91</v>
      </c>
      <c r="D1323">
        <v>64.63</v>
      </c>
      <c r="E1323" t="s">
        <v>9</v>
      </c>
      <c r="F1323">
        <v>45.15</v>
      </c>
      <c r="G1323" t="s">
        <v>10</v>
      </c>
      <c r="H1323" t="s">
        <v>11</v>
      </c>
    </row>
    <row r="1324" spans="1:8" x14ac:dyDescent="0.25">
      <c r="A1324" s="1">
        <v>45668.083333333336</v>
      </c>
      <c r="B1324" t="s">
        <v>18</v>
      </c>
      <c r="C1324">
        <v>96.14</v>
      </c>
      <c r="D1324">
        <v>63.63</v>
      </c>
      <c r="E1324" t="s">
        <v>9</v>
      </c>
      <c r="F1324">
        <v>35.65</v>
      </c>
      <c r="G1324" t="s">
        <v>10</v>
      </c>
      <c r="H1324" t="s">
        <v>12</v>
      </c>
    </row>
    <row r="1325" spans="1:8" x14ac:dyDescent="0.25">
      <c r="A1325" s="1">
        <v>45668.125</v>
      </c>
      <c r="B1325" t="s">
        <v>18</v>
      </c>
      <c r="C1325">
        <v>495.67</v>
      </c>
      <c r="D1325">
        <v>69.33</v>
      </c>
      <c r="E1325" t="s">
        <v>9</v>
      </c>
      <c r="F1325">
        <v>68.61</v>
      </c>
      <c r="G1325" t="s">
        <v>10</v>
      </c>
      <c r="H1325" t="s">
        <v>12</v>
      </c>
    </row>
    <row r="1326" spans="1:8" x14ac:dyDescent="0.25">
      <c r="A1326" s="1">
        <v>45668.166666666664</v>
      </c>
      <c r="B1326" t="s">
        <v>18</v>
      </c>
      <c r="C1326">
        <v>82.84</v>
      </c>
      <c r="D1326">
        <v>80.510000000000005</v>
      </c>
      <c r="E1326" t="s">
        <v>9</v>
      </c>
      <c r="F1326">
        <v>59.58</v>
      </c>
      <c r="G1326" t="s">
        <v>10</v>
      </c>
      <c r="H1326" t="s">
        <v>13</v>
      </c>
    </row>
    <row r="1327" spans="1:8" x14ac:dyDescent="0.25">
      <c r="A1327" s="1">
        <v>45668.208333333336</v>
      </c>
      <c r="B1327" t="s">
        <v>18</v>
      </c>
      <c r="C1327">
        <v>57</v>
      </c>
      <c r="D1327">
        <v>66.33</v>
      </c>
      <c r="E1327" t="s">
        <v>9</v>
      </c>
      <c r="F1327">
        <v>56.09</v>
      </c>
      <c r="G1327" t="s">
        <v>10</v>
      </c>
      <c r="H1327" t="s">
        <v>13</v>
      </c>
    </row>
    <row r="1328" spans="1:8" x14ac:dyDescent="0.25">
      <c r="A1328" s="1">
        <v>45668.25</v>
      </c>
      <c r="B1328" t="s">
        <v>18</v>
      </c>
      <c r="C1328">
        <v>154.55000000000001</v>
      </c>
      <c r="D1328">
        <v>64.540000000000006</v>
      </c>
      <c r="E1328" t="s">
        <v>9</v>
      </c>
      <c r="F1328">
        <v>57.62</v>
      </c>
      <c r="G1328" t="s">
        <v>10</v>
      </c>
      <c r="H1328" t="s">
        <v>11</v>
      </c>
    </row>
    <row r="1329" spans="1:8" x14ac:dyDescent="0.25">
      <c r="A1329" s="1">
        <v>45668.291666666664</v>
      </c>
      <c r="B1329" t="s">
        <v>18</v>
      </c>
      <c r="C1329">
        <v>103.65</v>
      </c>
      <c r="D1329">
        <v>66.58</v>
      </c>
      <c r="E1329" t="s">
        <v>9</v>
      </c>
      <c r="F1329">
        <v>64.03</v>
      </c>
      <c r="G1329" t="s">
        <v>10</v>
      </c>
      <c r="H1329" t="s">
        <v>12</v>
      </c>
    </row>
    <row r="1330" spans="1:8" x14ac:dyDescent="0.25">
      <c r="A1330" s="1">
        <v>45668.333333333336</v>
      </c>
      <c r="B1330" t="s">
        <v>18</v>
      </c>
      <c r="C1330">
        <v>64.34</v>
      </c>
      <c r="D1330">
        <v>52.02</v>
      </c>
      <c r="E1330" t="s">
        <v>9</v>
      </c>
      <c r="F1330">
        <v>85.48</v>
      </c>
      <c r="G1330" t="s">
        <v>10</v>
      </c>
      <c r="H1330" t="s">
        <v>11</v>
      </c>
    </row>
    <row r="1331" spans="1:8" x14ac:dyDescent="0.25">
      <c r="A1331" s="1">
        <v>45668.375</v>
      </c>
      <c r="B1331" t="s">
        <v>18</v>
      </c>
      <c r="C1331">
        <v>331.22</v>
      </c>
      <c r="D1331">
        <v>77.16</v>
      </c>
      <c r="E1331" t="s">
        <v>9</v>
      </c>
      <c r="F1331">
        <v>77.040000000000006</v>
      </c>
      <c r="G1331" t="s">
        <v>10</v>
      </c>
      <c r="H1331" t="s">
        <v>12</v>
      </c>
    </row>
    <row r="1332" spans="1:8" x14ac:dyDescent="0.25">
      <c r="A1332" s="1">
        <v>45668.416666666664</v>
      </c>
      <c r="B1332" t="s">
        <v>18</v>
      </c>
      <c r="C1332">
        <v>434.64</v>
      </c>
      <c r="D1332">
        <v>82.45</v>
      </c>
      <c r="E1332" t="s">
        <v>9</v>
      </c>
      <c r="F1332">
        <v>58.82</v>
      </c>
      <c r="G1332" t="s">
        <v>10</v>
      </c>
      <c r="H1332" t="s">
        <v>12</v>
      </c>
    </row>
    <row r="1333" spans="1:8" x14ac:dyDescent="0.25">
      <c r="A1333" s="1">
        <v>45668.458333333336</v>
      </c>
      <c r="B1333" t="s">
        <v>18</v>
      </c>
      <c r="C1333">
        <v>158.1</v>
      </c>
      <c r="D1333">
        <v>36.700000000000003</v>
      </c>
      <c r="E1333" t="s">
        <v>9</v>
      </c>
      <c r="F1333">
        <v>33.19</v>
      </c>
      <c r="G1333" t="s">
        <v>10</v>
      </c>
      <c r="H1333" t="s">
        <v>11</v>
      </c>
    </row>
    <row r="1334" spans="1:8" x14ac:dyDescent="0.25">
      <c r="A1334" s="1">
        <v>45668.5</v>
      </c>
      <c r="B1334" t="s">
        <v>18</v>
      </c>
      <c r="C1334">
        <v>165.95</v>
      </c>
      <c r="D1334">
        <v>43.66</v>
      </c>
      <c r="E1334" t="s">
        <v>9</v>
      </c>
      <c r="F1334">
        <v>56.05</v>
      </c>
      <c r="G1334" t="s">
        <v>10</v>
      </c>
      <c r="H1334" t="s">
        <v>11</v>
      </c>
    </row>
    <row r="1335" spans="1:8" x14ac:dyDescent="0.25">
      <c r="A1335" s="1">
        <v>45668.541666666664</v>
      </c>
      <c r="B1335" t="s">
        <v>18</v>
      </c>
      <c r="C1335">
        <v>425.26</v>
      </c>
      <c r="D1335">
        <v>58.84</v>
      </c>
      <c r="E1335" t="s">
        <v>9</v>
      </c>
      <c r="F1335">
        <v>66.97</v>
      </c>
      <c r="G1335" t="s">
        <v>10</v>
      </c>
      <c r="H1335" t="s">
        <v>12</v>
      </c>
    </row>
    <row r="1336" spans="1:8" x14ac:dyDescent="0.25">
      <c r="A1336" s="1">
        <v>45668.583333333336</v>
      </c>
      <c r="B1336" t="s">
        <v>18</v>
      </c>
      <c r="C1336">
        <v>226.25</v>
      </c>
      <c r="D1336">
        <v>88.16</v>
      </c>
      <c r="E1336" t="s">
        <v>14</v>
      </c>
      <c r="F1336">
        <v>37.54</v>
      </c>
      <c r="G1336" t="s">
        <v>10</v>
      </c>
      <c r="H1336" t="s">
        <v>12</v>
      </c>
    </row>
    <row r="1337" spans="1:8" x14ac:dyDescent="0.25">
      <c r="A1337" s="1">
        <v>45668.625</v>
      </c>
      <c r="B1337" t="s">
        <v>18</v>
      </c>
      <c r="C1337">
        <v>205.05</v>
      </c>
      <c r="D1337">
        <v>54.36</v>
      </c>
      <c r="E1337" t="s">
        <v>9</v>
      </c>
      <c r="F1337">
        <v>57.46</v>
      </c>
      <c r="G1337" t="s">
        <v>10</v>
      </c>
      <c r="H1337" t="s">
        <v>13</v>
      </c>
    </row>
    <row r="1338" spans="1:8" x14ac:dyDescent="0.25">
      <c r="A1338" s="1">
        <v>45668.666666666664</v>
      </c>
      <c r="B1338" t="s">
        <v>18</v>
      </c>
      <c r="C1338">
        <v>59.54</v>
      </c>
      <c r="D1338">
        <v>32.43</v>
      </c>
      <c r="E1338" t="s">
        <v>9</v>
      </c>
      <c r="F1338">
        <v>58.54</v>
      </c>
      <c r="G1338" t="s">
        <v>10</v>
      </c>
      <c r="H1338" t="s">
        <v>13</v>
      </c>
    </row>
    <row r="1339" spans="1:8" x14ac:dyDescent="0.25">
      <c r="A1339" s="1">
        <v>45668.708333333336</v>
      </c>
      <c r="B1339" t="s">
        <v>18</v>
      </c>
      <c r="C1339">
        <v>132.94999999999999</v>
      </c>
      <c r="D1339">
        <v>19.260000000000002</v>
      </c>
      <c r="E1339" t="s">
        <v>9</v>
      </c>
      <c r="F1339">
        <v>75.760000000000005</v>
      </c>
      <c r="G1339" t="s">
        <v>10</v>
      </c>
      <c r="H1339" t="s">
        <v>13</v>
      </c>
    </row>
    <row r="1340" spans="1:8" x14ac:dyDescent="0.25">
      <c r="A1340" s="1">
        <v>45668.75</v>
      </c>
      <c r="B1340" t="s">
        <v>18</v>
      </c>
      <c r="C1340">
        <v>261.2</v>
      </c>
      <c r="D1340">
        <v>49.6</v>
      </c>
      <c r="E1340" t="s">
        <v>9</v>
      </c>
      <c r="F1340">
        <v>56.78</v>
      </c>
      <c r="G1340" t="s">
        <v>10</v>
      </c>
      <c r="H1340" t="s">
        <v>12</v>
      </c>
    </row>
    <row r="1341" spans="1:8" x14ac:dyDescent="0.25">
      <c r="A1341" s="1">
        <v>45668.791666666664</v>
      </c>
      <c r="B1341" t="s">
        <v>18</v>
      </c>
      <c r="C1341">
        <v>292.36</v>
      </c>
      <c r="D1341">
        <v>34.29</v>
      </c>
      <c r="E1341" t="s">
        <v>9</v>
      </c>
      <c r="F1341">
        <v>83.46</v>
      </c>
      <c r="G1341" t="s">
        <v>10</v>
      </c>
      <c r="H1341" t="s">
        <v>12</v>
      </c>
    </row>
    <row r="1342" spans="1:8" x14ac:dyDescent="0.25">
      <c r="A1342" s="1">
        <v>45668.833333333336</v>
      </c>
      <c r="B1342" t="s">
        <v>18</v>
      </c>
      <c r="C1342">
        <v>272.66000000000003</v>
      </c>
      <c r="D1342">
        <v>82.78</v>
      </c>
      <c r="E1342" t="s">
        <v>9</v>
      </c>
      <c r="F1342">
        <v>82.48</v>
      </c>
      <c r="G1342" t="s">
        <v>10</v>
      </c>
      <c r="H1342" t="s">
        <v>12</v>
      </c>
    </row>
    <row r="1343" spans="1:8" x14ac:dyDescent="0.25">
      <c r="A1343" s="1">
        <v>45668.875</v>
      </c>
      <c r="B1343" t="s">
        <v>18</v>
      </c>
      <c r="C1343">
        <v>240.29</v>
      </c>
      <c r="D1343">
        <v>29.19</v>
      </c>
      <c r="E1343" t="s">
        <v>9</v>
      </c>
      <c r="F1343">
        <v>31.3</v>
      </c>
      <c r="G1343" t="s">
        <v>10</v>
      </c>
      <c r="H1343" t="s">
        <v>11</v>
      </c>
    </row>
    <row r="1344" spans="1:8" x14ac:dyDescent="0.25">
      <c r="A1344" s="1">
        <v>45668.916666666664</v>
      </c>
      <c r="B1344" t="s">
        <v>18</v>
      </c>
      <c r="C1344">
        <v>58.36</v>
      </c>
      <c r="D1344">
        <v>85.98</v>
      </c>
      <c r="E1344" t="s">
        <v>14</v>
      </c>
      <c r="F1344">
        <v>43.61</v>
      </c>
      <c r="G1344" t="s">
        <v>10</v>
      </c>
      <c r="H1344" t="s">
        <v>12</v>
      </c>
    </row>
    <row r="1345" spans="1:8" x14ac:dyDescent="0.25">
      <c r="A1345" s="1">
        <v>45668.958333333336</v>
      </c>
      <c r="B1345" t="s">
        <v>18</v>
      </c>
      <c r="C1345">
        <v>384.63</v>
      </c>
      <c r="D1345">
        <v>93.85</v>
      </c>
      <c r="E1345" t="s">
        <v>14</v>
      </c>
      <c r="F1345">
        <v>70.03</v>
      </c>
      <c r="G1345" t="s">
        <v>10</v>
      </c>
      <c r="H1345" t="s">
        <v>12</v>
      </c>
    </row>
    <row r="1346" spans="1:8" x14ac:dyDescent="0.25">
      <c r="A1346" s="1">
        <v>45669</v>
      </c>
      <c r="B1346" t="s">
        <v>18</v>
      </c>
      <c r="C1346">
        <v>155.38999999999999</v>
      </c>
      <c r="D1346">
        <v>56.23</v>
      </c>
      <c r="E1346" t="s">
        <v>9</v>
      </c>
      <c r="F1346">
        <v>40.33</v>
      </c>
      <c r="G1346" t="s">
        <v>10</v>
      </c>
      <c r="H1346" t="s">
        <v>12</v>
      </c>
    </row>
    <row r="1347" spans="1:8" x14ac:dyDescent="0.25">
      <c r="A1347" s="1">
        <v>45669.041666666664</v>
      </c>
      <c r="B1347" t="s">
        <v>18</v>
      </c>
      <c r="C1347">
        <v>194.66</v>
      </c>
      <c r="D1347">
        <v>26.92</v>
      </c>
      <c r="E1347" t="s">
        <v>9</v>
      </c>
      <c r="F1347">
        <v>42.31</v>
      </c>
      <c r="G1347" t="s">
        <v>10</v>
      </c>
      <c r="H1347" t="s">
        <v>12</v>
      </c>
    </row>
    <row r="1348" spans="1:8" x14ac:dyDescent="0.25">
      <c r="A1348" s="1">
        <v>45669.083333333336</v>
      </c>
      <c r="B1348" t="s">
        <v>18</v>
      </c>
      <c r="C1348">
        <v>340.05</v>
      </c>
      <c r="D1348">
        <v>73</v>
      </c>
      <c r="E1348" t="s">
        <v>9</v>
      </c>
      <c r="F1348">
        <v>58.69</v>
      </c>
      <c r="G1348" t="s">
        <v>10</v>
      </c>
      <c r="H1348" t="s">
        <v>12</v>
      </c>
    </row>
    <row r="1349" spans="1:8" x14ac:dyDescent="0.25">
      <c r="A1349" s="1">
        <v>45669.125</v>
      </c>
      <c r="B1349" t="s">
        <v>18</v>
      </c>
      <c r="C1349">
        <v>433.04</v>
      </c>
      <c r="D1349">
        <v>69.150000000000006</v>
      </c>
      <c r="E1349" t="s">
        <v>9</v>
      </c>
      <c r="F1349">
        <v>83.83</v>
      </c>
      <c r="G1349" t="s">
        <v>10</v>
      </c>
      <c r="H1349" t="s">
        <v>13</v>
      </c>
    </row>
    <row r="1350" spans="1:8" x14ac:dyDescent="0.25">
      <c r="A1350" s="1">
        <v>45669.166666666664</v>
      </c>
      <c r="B1350" t="s">
        <v>18</v>
      </c>
      <c r="C1350">
        <v>457.86</v>
      </c>
      <c r="D1350">
        <v>77.5</v>
      </c>
      <c r="E1350" t="s">
        <v>9</v>
      </c>
      <c r="F1350">
        <v>67.349999999999994</v>
      </c>
      <c r="G1350" t="s">
        <v>10</v>
      </c>
      <c r="H1350" t="s">
        <v>11</v>
      </c>
    </row>
    <row r="1351" spans="1:8" x14ac:dyDescent="0.25">
      <c r="A1351" s="1">
        <v>45669.208333333336</v>
      </c>
      <c r="B1351" t="s">
        <v>18</v>
      </c>
      <c r="C1351">
        <v>124.84</v>
      </c>
      <c r="D1351">
        <v>71.13</v>
      </c>
      <c r="E1351" t="s">
        <v>9</v>
      </c>
      <c r="F1351">
        <v>47.49</v>
      </c>
      <c r="G1351" t="s">
        <v>10</v>
      </c>
      <c r="H1351" t="s">
        <v>13</v>
      </c>
    </row>
    <row r="1352" spans="1:8" x14ac:dyDescent="0.25">
      <c r="A1352" s="1">
        <v>45669.25</v>
      </c>
      <c r="B1352" t="s">
        <v>18</v>
      </c>
      <c r="C1352">
        <v>376.29</v>
      </c>
      <c r="D1352">
        <v>92.17</v>
      </c>
      <c r="E1352" t="s">
        <v>14</v>
      </c>
      <c r="F1352">
        <v>45.62</v>
      </c>
      <c r="G1352" t="s">
        <v>10</v>
      </c>
      <c r="H1352" t="s">
        <v>13</v>
      </c>
    </row>
    <row r="1353" spans="1:8" x14ac:dyDescent="0.25">
      <c r="A1353" s="1">
        <v>45669.291666666664</v>
      </c>
      <c r="B1353" t="s">
        <v>18</v>
      </c>
      <c r="C1353">
        <v>333.94</v>
      </c>
      <c r="D1353">
        <v>52.3</v>
      </c>
      <c r="E1353" t="s">
        <v>9</v>
      </c>
      <c r="F1353">
        <v>70.33</v>
      </c>
      <c r="G1353" t="s">
        <v>10</v>
      </c>
      <c r="H1353" t="s">
        <v>13</v>
      </c>
    </row>
    <row r="1354" spans="1:8" x14ac:dyDescent="0.25">
      <c r="A1354" s="1">
        <v>45669.333333333336</v>
      </c>
      <c r="B1354" t="s">
        <v>18</v>
      </c>
      <c r="C1354">
        <v>137.18</v>
      </c>
      <c r="D1354">
        <v>35.200000000000003</v>
      </c>
      <c r="E1354" t="s">
        <v>9</v>
      </c>
      <c r="F1354">
        <v>60.76</v>
      </c>
      <c r="G1354" t="s">
        <v>10</v>
      </c>
      <c r="H1354" t="s">
        <v>11</v>
      </c>
    </row>
    <row r="1355" spans="1:8" x14ac:dyDescent="0.25">
      <c r="A1355" s="1">
        <v>45669.375</v>
      </c>
      <c r="B1355" t="s">
        <v>18</v>
      </c>
      <c r="C1355">
        <v>315.11</v>
      </c>
      <c r="D1355">
        <v>66.47</v>
      </c>
      <c r="E1355" t="s">
        <v>9</v>
      </c>
      <c r="F1355">
        <v>57.1</v>
      </c>
      <c r="G1355" t="s">
        <v>10</v>
      </c>
      <c r="H1355" t="s">
        <v>11</v>
      </c>
    </row>
    <row r="1356" spans="1:8" x14ac:dyDescent="0.25">
      <c r="A1356" s="1">
        <v>45669.416666666664</v>
      </c>
      <c r="B1356" t="s">
        <v>18</v>
      </c>
      <c r="C1356">
        <v>87.73</v>
      </c>
      <c r="D1356">
        <v>42.12</v>
      </c>
      <c r="E1356" t="s">
        <v>9</v>
      </c>
      <c r="F1356">
        <v>55.14</v>
      </c>
      <c r="G1356" t="s">
        <v>10</v>
      </c>
      <c r="H1356" t="s">
        <v>11</v>
      </c>
    </row>
    <row r="1357" spans="1:8" x14ac:dyDescent="0.25">
      <c r="A1357" s="1">
        <v>45669.458333333336</v>
      </c>
      <c r="B1357" t="s">
        <v>18</v>
      </c>
      <c r="C1357">
        <v>173.56</v>
      </c>
      <c r="D1357">
        <v>58.23</v>
      </c>
      <c r="E1357" t="s">
        <v>9</v>
      </c>
      <c r="F1357">
        <v>42.84</v>
      </c>
      <c r="G1357" t="s">
        <v>10</v>
      </c>
      <c r="H1357" t="s">
        <v>12</v>
      </c>
    </row>
    <row r="1358" spans="1:8" x14ac:dyDescent="0.25">
      <c r="A1358" s="1">
        <v>45669.5</v>
      </c>
      <c r="B1358" t="s">
        <v>18</v>
      </c>
      <c r="C1358">
        <v>193.18</v>
      </c>
      <c r="D1358">
        <v>35.6</v>
      </c>
      <c r="E1358" t="s">
        <v>9</v>
      </c>
      <c r="F1358">
        <v>88.02</v>
      </c>
      <c r="G1358" t="s">
        <v>10</v>
      </c>
      <c r="H1358" t="s">
        <v>13</v>
      </c>
    </row>
    <row r="1359" spans="1:8" x14ac:dyDescent="0.25">
      <c r="A1359" s="1">
        <v>45669.541666666664</v>
      </c>
      <c r="B1359" t="s">
        <v>18</v>
      </c>
      <c r="C1359">
        <v>404.3</v>
      </c>
      <c r="D1359">
        <v>93.72</v>
      </c>
      <c r="E1359" t="s">
        <v>14</v>
      </c>
      <c r="F1359">
        <v>31.19</v>
      </c>
      <c r="G1359" t="s">
        <v>10</v>
      </c>
      <c r="H1359" t="s">
        <v>13</v>
      </c>
    </row>
    <row r="1360" spans="1:8" x14ac:dyDescent="0.25">
      <c r="A1360" s="1">
        <v>45669.583333333336</v>
      </c>
      <c r="B1360" t="s">
        <v>18</v>
      </c>
      <c r="C1360">
        <v>195.1</v>
      </c>
      <c r="D1360">
        <v>89.02</v>
      </c>
      <c r="E1360" t="s">
        <v>14</v>
      </c>
      <c r="F1360">
        <v>77.58</v>
      </c>
      <c r="G1360" t="s">
        <v>10</v>
      </c>
      <c r="H1360" t="s">
        <v>13</v>
      </c>
    </row>
    <row r="1361" spans="1:8" x14ac:dyDescent="0.25">
      <c r="A1361" s="1">
        <v>45669.625</v>
      </c>
      <c r="B1361" t="s">
        <v>18</v>
      </c>
      <c r="C1361">
        <v>470.85</v>
      </c>
      <c r="D1361">
        <v>14.95</v>
      </c>
      <c r="E1361" t="s">
        <v>9</v>
      </c>
      <c r="F1361">
        <v>65.27</v>
      </c>
      <c r="G1361" t="s">
        <v>10</v>
      </c>
      <c r="H1361" t="s">
        <v>13</v>
      </c>
    </row>
    <row r="1362" spans="1:8" x14ac:dyDescent="0.25">
      <c r="A1362" s="1">
        <v>45669.666666666664</v>
      </c>
      <c r="B1362" t="s">
        <v>18</v>
      </c>
      <c r="C1362">
        <v>132.91999999999999</v>
      </c>
      <c r="D1362">
        <v>31.26</v>
      </c>
      <c r="E1362" t="s">
        <v>9</v>
      </c>
      <c r="F1362">
        <v>46.26</v>
      </c>
      <c r="G1362" t="s">
        <v>10</v>
      </c>
      <c r="H1362" t="s">
        <v>11</v>
      </c>
    </row>
    <row r="1363" spans="1:8" x14ac:dyDescent="0.25">
      <c r="A1363" s="1">
        <v>45669.708333333336</v>
      </c>
      <c r="B1363" t="s">
        <v>18</v>
      </c>
      <c r="C1363">
        <v>356.05</v>
      </c>
      <c r="D1363">
        <v>68.2</v>
      </c>
      <c r="E1363" t="s">
        <v>9</v>
      </c>
      <c r="F1363">
        <v>86.54</v>
      </c>
      <c r="G1363" t="s">
        <v>10</v>
      </c>
      <c r="H1363" t="s">
        <v>13</v>
      </c>
    </row>
    <row r="1364" spans="1:8" x14ac:dyDescent="0.25">
      <c r="A1364" s="1">
        <v>45669.75</v>
      </c>
      <c r="B1364" t="s">
        <v>18</v>
      </c>
      <c r="C1364">
        <v>89.8</v>
      </c>
      <c r="D1364">
        <v>91.31</v>
      </c>
      <c r="E1364" t="s">
        <v>14</v>
      </c>
      <c r="F1364">
        <v>85.28</v>
      </c>
      <c r="G1364" t="s">
        <v>10</v>
      </c>
      <c r="H1364" t="s">
        <v>13</v>
      </c>
    </row>
    <row r="1365" spans="1:8" x14ac:dyDescent="0.25">
      <c r="A1365" s="1">
        <v>45669.791666666664</v>
      </c>
      <c r="B1365" t="s">
        <v>18</v>
      </c>
      <c r="C1365">
        <v>189.57</v>
      </c>
      <c r="D1365">
        <v>50.56</v>
      </c>
      <c r="E1365" t="s">
        <v>9</v>
      </c>
      <c r="F1365">
        <v>53.05</v>
      </c>
      <c r="G1365" t="s">
        <v>10</v>
      </c>
      <c r="H1365" t="s">
        <v>13</v>
      </c>
    </row>
    <row r="1366" spans="1:8" x14ac:dyDescent="0.25">
      <c r="A1366" s="1">
        <v>45669.833333333336</v>
      </c>
      <c r="B1366" t="s">
        <v>18</v>
      </c>
      <c r="C1366">
        <v>400.59</v>
      </c>
      <c r="D1366">
        <v>72.25</v>
      </c>
      <c r="E1366" t="s">
        <v>9</v>
      </c>
      <c r="F1366">
        <v>59.81</v>
      </c>
      <c r="G1366" t="s">
        <v>10</v>
      </c>
      <c r="H1366" t="s">
        <v>13</v>
      </c>
    </row>
    <row r="1367" spans="1:8" x14ac:dyDescent="0.25">
      <c r="A1367" s="1">
        <v>45669.875</v>
      </c>
      <c r="B1367" t="s">
        <v>18</v>
      </c>
      <c r="C1367">
        <v>312.92</v>
      </c>
      <c r="D1367">
        <v>17.940000000000001</v>
      </c>
      <c r="E1367" t="s">
        <v>9</v>
      </c>
      <c r="F1367">
        <v>66.22</v>
      </c>
      <c r="G1367" t="s">
        <v>10</v>
      </c>
      <c r="H1367" t="s">
        <v>13</v>
      </c>
    </row>
    <row r="1368" spans="1:8" x14ac:dyDescent="0.25">
      <c r="A1368" s="1">
        <v>45669.916666666664</v>
      </c>
      <c r="B1368" t="s">
        <v>18</v>
      </c>
      <c r="C1368">
        <v>243.69</v>
      </c>
      <c r="D1368">
        <v>47.17</v>
      </c>
      <c r="E1368" t="s">
        <v>9</v>
      </c>
      <c r="F1368">
        <v>52.48</v>
      </c>
      <c r="G1368" t="s">
        <v>10</v>
      </c>
      <c r="H1368" t="s">
        <v>11</v>
      </c>
    </row>
    <row r="1369" spans="1:8" x14ac:dyDescent="0.25">
      <c r="A1369" s="1">
        <v>45669.958333333336</v>
      </c>
      <c r="B1369" t="s">
        <v>18</v>
      </c>
      <c r="C1369">
        <v>386.97</v>
      </c>
      <c r="D1369">
        <v>68.040000000000006</v>
      </c>
      <c r="E1369" t="s">
        <v>9</v>
      </c>
      <c r="F1369">
        <v>89.49</v>
      </c>
      <c r="G1369" t="s">
        <v>10</v>
      </c>
      <c r="H1369" t="s">
        <v>11</v>
      </c>
    </row>
    <row r="1370" spans="1:8" x14ac:dyDescent="0.25">
      <c r="A1370" s="1">
        <v>45670</v>
      </c>
      <c r="B1370" t="s">
        <v>18</v>
      </c>
      <c r="C1370">
        <v>123.81</v>
      </c>
      <c r="D1370">
        <v>91.4</v>
      </c>
      <c r="E1370" t="s">
        <v>14</v>
      </c>
      <c r="F1370">
        <v>70.069999999999993</v>
      </c>
      <c r="G1370" t="s">
        <v>10</v>
      </c>
      <c r="H1370" t="s">
        <v>12</v>
      </c>
    </row>
    <row r="1371" spans="1:8" x14ac:dyDescent="0.25">
      <c r="A1371" s="1">
        <v>45670.041666666664</v>
      </c>
      <c r="B1371" t="s">
        <v>18</v>
      </c>
      <c r="C1371">
        <v>285.07</v>
      </c>
      <c r="D1371">
        <v>14.58</v>
      </c>
      <c r="E1371" t="s">
        <v>9</v>
      </c>
      <c r="F1371">
        <v>49</v>
      </c>
      <c r="G1371" t="s">
        <v>10</v>
      </c>
      <c r="H1371" t="s">
        <v>13</v>
      </c>
    </row>
    <row r="1372" spans="1:8" x14ac:dyDescent="0.25">
      <c r="A1372" s="1">
        <v>45670.083333333336</v>
      </c>
      <c r="B1372" t="s">
        <v>18</v>
      </c>
      <c r="C1372">
        <v>267.82</v>
      </c>
      <c r="D1372">
        <v>93.24</v>
      </c>
      <c r="E1372" t="s">
        <v>14</v>
      </c>
      <c r="F1372">
        <v>82.45</v>
      </c>
      <c r="G1372" t="s">
        <v>10</v>
      </c>
      <c r="H1372" t="s">
        <v>13</v>
      </c>
    </row>
    <row r="1373" spans="1:8" x14ac:dyDescent="0.25">
      <c r="A1373" s="1">
        <v>45670.125</v>
      </c>
      <c r="B1373" t="s">
        <v>18</v>
      </c>
      <c r="C1373">
        <v>162.94</v>
      </c>
      <c r="D1373">
        <v>73.81</v>
      </c>
      <c r="E1373" t="s">
        <v>9</v>
      </c>
      <c r="F1373">
        <v>78.36</v>
      </c>
      <c r="G1373" t="s">
        <v>10</v>
      </c>
      <c r="H1373" t="s">
        <v>12</v>
      </c>
    </row>
    <row r="1374" spans="1:8" x14ac:dyDescent="0.25">
      <c r="A1374" s="1">
        <v>45670.166666666664</v>
      </c>
      <c r="B1374" t="s">
        <v>18</v>
      </c>
      <c r="C1374">
        <v>107.58</v>
      </c>
      <c r="D1374">
        <v>94.84</v>
      </c>
      <c r="E1374" t="s">
        <v>14</v>
      </c>
      <c r="F1374">
        <v>45.52</v>
      </c>
      <c r="G1374" t="s">
        <v>10</v>
      </c>
      <c r="H1374" t="s">
        <v>13</v>
      </c>
    </row>
    <row r="1375" spans="1:8" x14ac:dyDescent="0.25">
      <c r="A1375" s="1">
        <v>45670.208333333336</v>
      </c>
      <c r="B1375" t="s">
        <v>18</v>
      </c>
      <c r="C1375">
        <v>51.61</v>
      </c>
      <c r="D1375">
        <v>17.760000000000002</v>
      </c>
      <c r="E1375" t="s">
        <v>9</v>
      </c>
      <c r="F1375">
        <v>30.26</v>
      </c>
      <c r="G1375" t="s">
        <v>10</v>
      </c>
      <c r="H1375" t="s">
        <v>11</v>
      </c>
    </row>
    <row r="1376" spans="1:8" x14ac:dyDescent="0.25">
      <c r="A1376" s="1">
        <v>45670.25</v>
      </c>
      <c r="B1376" t="s">
        <v>18</v>
      </c>
      <c r="C1376">
        <v>189.27</v>
      </c>
      <c r="D1376">
        <v>93.09</v>
      </c>
      <c r="E1376" t="s">
        <v>14</v>
      </c>
      <c r="F1376">
        <v>46.88</v>
      </c>
      <c r="G1376" t="s">
        <v>10</v>
      </c>
      <c r="H1376" t="s">
        <v>11</v>
      </c>
    </row>
    <row r="1377" spans="1:8" x14ac:dyDescent="0.25">
      <c r="A1377" s="1">
        <v>45670.291666666664</v>
      </c>
      <c r="B1377" t="s">
        <v>18</v>
      </c>
      <c r="C1377">
        <v>136.76</v>
      </c>
      <c r="D1377">
        <v>45.54</v>
      </c>
      <c r="E1377" t="s">
        <v>9</v>
      </c>
      <c r="F1377">
        <v>86.42</v>
      </c>
      <c r="G1377" t="s">
        <v>10</v>
      </c>
      <c r="H1377" t="s">
        <v>13</v>
      </c>
    </row>
    <row r="1378" spans="1:8" x14ac:dyDescent="0.25">
      <c r="A1378" s="1">
        <v>45670.333333333336</v>
      </c>
      <c r="B1378" t="s">
        <v>18</v>
      </c>
      <c r="C1378">
        <v>299.61</v>
      </c>
      <c r="D1378">
        <v>20.52</v>
      </c>
      <c r="E1378" t="s">
        <v>9</v>
      </c>
      <c r="F1378">
        <v>77.41</v>
      </c>
      <c r="G1378" t="s">
        <v>10</v>
      </c>
      <c r="H1378" t="s">
        <v>11</v>
      </c>
    </row>
    <row r="1379" spans="1:8" x14ac:dyDescent="0.25">
      <c r="A1379" s="1">
        <v>45670.375</v>
      </c>
      <c r="B1379" t="s">
        <v>18</v>
      </c>
      <c r="C1379">
        <v>298.77999999999997</v>
      </c>
      <c r="D1379">
        <v>34.520000000000003</v>
      </c>
      <c r="E1379" t="s">
        <v>9</v>
      </c>
      <c r="F1379">
        <v>87.34</v>
      </c>
      <c r="G1379" t="s">
        <v>10</v>
      </c>
      <c r="H1379" t="s">
        <v>11</v>
      </c>
    </row>
    <row r="1380" spans="1:8" x14ac:dyDescent="0.25">
      <c r="A1380" s="1">
        <v>45670.416666666664</v>
      </c>
      <c r="B1380" t="s">
        <v>18</v>
      </c>
      <c r="C1380">
        <v>403.95</v>
      </c>
      <c r="D1380">
        <v>92.88</v>
      </c>
      <c r="E1380" t="s">
        <v>14</v>
      </c>
      <c r="F1380">
        <v>33.58</v>
      </c>
      <c r="G1380" t="s">
        <v>10</v>
      </c>
      <c r="H1380" t="s">
        <v>11</v>
      </c>
    </row>
    <row r="1381" spans="1:8" x14ac:dyDescent="0.25">
      <c r="A1381" s="1">
        <v>45670.458333333336</v>
      </c>
      <c r="B1381" t="s">
        <v>18</v>
      </c>
      <c r="C1381">
        <v>154.72999999999999</v>
      </c>
      <c r="D1381">
        <v>53.8</v>
      </c>
      <c r="E1381" t="s">
        <v>9</v>
      </c>
      <c r="F1381">
        <v>82.35</v>
      </c>
      <c r="G1381" t="s">
        <v>10</v>
      </c>
      <c r="H1381" t="s">
        <v>13</v>
      </c>
    </row>
    <row r="1382" spans="1:8" x14ac:dyDescent="0.25">
      <c r="A1382" s="1">
        <v>45670.5</v>
      </c>
      <c r="B1382" t="s">
        <v>18</v>
      </c>
      <c r="C1382">
        <v>326.05</v>
      </c>
      <c r="D1382">
        <v>42.66</v>
      </c>
      <c r="E1382" t="s">
        <v>9</v>
      </c>
      <c r="F1382">
        <v>50.02</v>
      </c>
      <c r="G1382" t="s">
        <v>10</v>
      </c>
      <c r="H1382" t="s">
        <v>12</v>
      </c>
    </row>
    <row r="1383" spans="1:8" x14ac:dyDescent="0.25">
      <c r="A1383" s="1">
        <v>45670.541666666664</v>
      </c>
      <c r="B1383" t="s">
        <v>18</v>
      </c>
      <c r="C1383">
        <v>124.89</v>
      </c>
      <c r="D1383">
        <v>77.7</v>
      </c>
      <c r="E1383" t="s">
        <v>9</v>
      </c>
      <c r="F1383">
        <v>45</v>
      </c>
      <c r="G1383" t="s">
        <v>10</v>
      </c>
      <c r="H1383" t="s">
        <v>13</v>
      </c>
    </row>
    <row r="1384" spans="1:8" x14ac:dyDescent="0.25">
      <c r="A1384" s="1">
        <v>45670.583333333336</v>
      </c>
      <c r="B1384" t="s">
        <v>18</v>
      </c>
      <c r="C1384">
        <v>401.23</v>
      </c>
      <c r="D1384">
        <v>37.24</v>
      </c>
      <c r="E1384" t="s">
        <v>9</v>
      </c>
      <c r="F1384">
        <v>54.15</v>
      </c>
      <c r="G1384" t="s">
        <v>10</v>
      </c>
      <c r="H1384" t="s">
        <v>13</v>
      </c>
    </row>
    <row r="1385" spans="1:8" x14ac:dyDescent="0.25">
      <c r="A1385" s="1">
        <v>45670.625</v>
      </c>
      <c r="B1385" t="s">
        <v>18</v>
      </c>
      <c r="C1385">
        <v>304.54000000000002</v>
      </c>
      <c r="D1385">
        <v>25.5</v>
      </c>
      <c r="E1385" t="s">
        <v>9</v>
      </c>
      <c r="F1385">
        <v>72.290000000000006</v>
      </c>
      <c r="G1385" t="s">
        <v>10</v>
      </c>
      <c r="H1385" t="s">
        <v>11</v>
      </c>
    </row>
    <row r="1386" spans="1:8" x14ac:dyDescent="0.25">
      <c r="A1386" s="1">
        <v>45670.666666666664</v>
      </c>
      <c r="B1386" t="s">
        <v>18</v>
      </c>
      <c r="C1386">
        <v>245.57</v>
      </c>
      <c r="D1386">
        <v>53.53</v>
      </c>
      <c r="E1386" t="s">
        <v>9</v>
      </c>
      <c r="F1386">
        <v>85.65</v>
      </c>
      <c r="G1386" t="s">
        <v>10</v>
      </c>
      <c r="H1386" t="s">
        <v>13</v>
      </c>
    </row>
    <row r="1387" spans="1:8" x14ac:dyDescent="0.25">
      <c r="A1387" s="1">
        <v>45670.708333333336</v>
      </c>
      <c r="B1387" t="s">
        <v>18</v>
      </c>
      <c r="C1387">
        <v>271.44</v>
      </c>
      <c r="D1387">
        <v>57.04</v>
      </c>
      <c r="E1387" t="s">
        <v>9</v>
      </c>
      <c r="F1387">
        <v>42.08</v>
      </c>
      <c r="G1387" t="s">
        <v>10</v>
      </c>
      <c r="H1387" t="s">
        <v>12</v>
      </c>
    </row>
    <row r="1388" spans="1:8" x14ac:dyDescent="0.25">
      <c r="A1388" s="1">
        <v>45670.75</v>
      </c>
      <c r="B1388" t="s">
        <v>18</v>
      </c>
      <c r="C1388">
        <v>394.32</v>
      </c>
      <c r="D1388">
        <v>52.11</v>
      </c>
      <c r="E1388" t="s">
        <v>9</v>
      </c>
      <c r="F1388">
        <v>49.04</v>
      </c>
      <c r="G1388" t="s">
        <v>10</v>
      </c>
      <c r="H1388" t="s">
        <v>11</v>
      </c>
    </row>
    <row r="1389" spans="1:8" x14ac:dyDescent="0.25">
      <c r="A1389" s="1">
        <v>45670.791666666664</v>
      </c>
      <c r="B1389" t="s">
        <v>18</v>
      </c>
      <c r="C1389">
        <v>403.78</v>
      </c>
      <c r="D1389">
        <v>44.53</v>
      </c>
      <c r="E1389" t="s">
        <v>9</v>
      </c>
      <c r="F1389">
        <v>36.020000000000003</v>
      </c>
      <c r="G1389" t="s">
        <v>10</v>
      </c>
      <c r="H1389" t="s">
        <v>12</v>
      </c>
    </row>
    <row r="1390" spans="1:8" x14ac:dyDescent="0.25">
      <c r="A1390" s="1">
        <v>45670.833333333336</v>
      </c>
      <c r="B1390" t="s">
        <v>18</v>
      </c>
      <c r="C1390">
        <v>446.06</v>
      </c>
      <c r="D1390">
        <v>85.91</v>
      </c>
      <c r="E1390" t="s">
        <v>14</v>
      </c>
      <c r="F1390">
        <v>87.46</v>
      </c>
      <c r="G1390" t="s">
        <v>10</v>
      </c>
      <c r="H1390" t="s">
        <v>11</v>
      </c>
    </row>
    <row r="1391" spans="1:8" x14ac:dyDescent="0.25">
      <c r="A1391" s="1">
        <v>45670.875</v>
      </c>
      <c r="B1391" t="s">
        <v>18</v>
      </c>
      <c r="C1391">
        <v>50.96</v>
      </c>
      <c r="D1391">
        <v>44.8</v>
      </c>
      <c r="E1391" t="s">
        <v>9</v>
      </c>
      <c r="F1391">
        <v>79.11</v>
      </c>
      <c r="G1391" t="s">
        <v>10</v>
      </c>
      <c r="H1391" t="s">
        <v>13</v>
      </c>
    </row>
    <row r="1392" spans="1:8" x14ac:dyDescent="0.25">
      <c r="A1392" s="1">
        <v>45670.916666666664</v>
      </c>
      <c r="B1392" t="s">
        <v>18</v>
      </c>
      <c r="C1392">
        <v>202.23</v>
      </c>
      <c r="D1392">
        <v>79.45</v>
      </c>
      <c r="E1392" t="s">
        <v>9</v>
      </c>
      <c r="F1392">
        <v>37.47</v>
      </c>
      <c r="G1392" t="s">
        <v>10</v>
      </c>
      <c r="H1392" t="s">
        <v>12</v>
      </c>
    </row>
    <row r="1393" spans="1:8" x14ac:dyDescent="0.25">
      <c r="A1393" s="1">
        <v>45670.958333333336</v>
      </c>
      <c r="B1393" t="s">
        <v>18</v>
      </c>
      <c r="C1393">
        <v>457.01</v>
      </c>
      <c r="D1393">
        <v>54.77</v>
      </c>
      <c r="E1393" t="s">
        <v>9</v>
      </c>
      <c r="F1393">
        <v>57.89</v>
      </c>
      <c r="G1393" t="s">
        <v>10</v>
      </c>
      <c r="H1393" t="s">
        <v>12</v>
      </c>
    </row>
    <row r="1394" spans="1:8" x14ac:dyDescent="0.25">
      <c r="A1394" s="1">
        <v>45671</v>
      </c>
      <c r="B1394" t="s">
        <v>18</v>
      </c>
      <c r="C1394">
        <v>316.18</v>
      </c>
      <c r="D1394">
        <v>65.260000000000005</v>
      </c>
      <c r="E1394" t="s">
        <v>9</v>
      </c>
      <c r="F1394">
        <v>33.18</v>
      </c>
      <c r="G1394" t="s">
        <v>10</v>
      </c>
      <c r="H1394" t="s">
        <v>13</v>
      </c>
    </row>
    <row r="1395" spans="1:8" x14ac:dyDescent="0.25">
      <c r="A1395" s="1">
        <v>45671.041666666664</v>
      </c>
      <c r="B1395" t="s">
        <v>18</v>
      </c>
      <c r="C1395">
        <v>407.96</v>
      </c>
      <c r="D1395">
        <v>18.010000000000002</v>
      </c>
      <c r="E1395" t="s">
        <v>9</v>
      </c>
      <c r="F1395">
        <v>81.31</v>
      </c>
      <c r="G1395" t="s">
        <v>10</v>
      </c>
      <c r="H1395" t="s">
        <v>13</v>
      </c>
    </row>
    <row r="1396" spans="1:8" x14ac:dyDescent="0.25">
      <c r="A1396" s="1">
        <v>45671.083333333336</v>
      </c>
      <c r="B1396" t="s">
        <v>18</v>
      </c>
      <c r="C1396">
        <v>164.4</v>
      </c>
      <c r="D1396">
        <v>83.82</v>
      </c>
      <c r="E1396" t="s">
        <v>9</v>
      </c>
      <c r="F1396">
        <v>83.61</v>
      </c>
      <c r="G1396" t="s">
        <v>10</v>
      </c>
      <c r="H1396" t="s">
        <v>12</v>
      </c>
    </row>
    <row r="1397" spans="1:8" x14ac:dyDescent="0.25">
      <c r="A1397" s="1">
        <v>45671.125</v>
      </c>
      <c r="B1397" t="s">
        <v>18</v>
      </c>
      <c r="C1397">
        <v>421.35</v>
      </c>
      <c r="D1397">
        <v>25.56</v>
      </c>
      <c r="E1397" t="s">
        <v>9</v>
      </c>
      <c r="F1397">
        <v>48.57</v>
      </c>
      <c r="G1397" t="s">
        <v>10</v>
      </c>
      <c r="H1397" t="s">
        <v>12</v>
      </c>
    </row>
    <row r="1398" spans="1:8" x14ac:dyDescent="0.25">
      <c r="A1398" s="1">
        <v>45671.166666666664</v>
      </c>
      <c r="B1398" t="s">
        <v>18</v>
      </c>
      <c r="C1398">
        <v>448.87</v>
      </c>
      <c r="D1398">
        <v>57.88</v>
      </c>
      <c r="E1398" t="s">
        <v>9</v>
      </c>
      <c r="F1398">
        <v>68.78</v>
      </c>
      <c r="G1398" t="s">
        <v>10</v>
      </c>
      <c r="H1398" t="s">
        <v>13</v>
      </c>
    </row>
    <row r="1399" spans="1:8" x14ac:dyDescent="0.25">
      <c r="A1399" s="1">
        <v>45671.208333333336</v>
      </c>
      <c r="B1399" t="s">
        <v>18</v>
      </c>
      <c r="C1399">
        <v>385.48</v>
      </c>
      <c r="D1399">
        <v>54.93</v>
      </c>
      <c r="E1399" t="s">
        <v>9</v>
      </c>
      <c r="F1399">
        <v>68.86</v>
      </c>
      <c r="G1399" t="s">
        <v>10</v>
      </c>
      <c r="H1399" t="s">
        <v>11</v>
      </c>
    </row>
    <row r="1400" spans="1:8" x14ac:dyDescent="0.25">
      <c r="A1400" s="1">
        <v>45671.25</v>
      </c>
      <c r="B1400" t="s">
        <v>18</v>
      </c>
      <c r="C1400">
        <v>486.16</v>
      </c>
      <c r="D1400">
        <v>63.3</v>
      </c>
      <c r="E1400" t="s">
        <v>9</v>
      </c>
      <c r="F1400">
        <v>53.96</v>
      </c>
      <c r="G1400" t="s">
        <v>10</v>
      </c>
      <c r="H1400" t="s">
        <v>11</v>
      </c>
    </row>
    <row r="1401" spans="1:8" x14ac:dyDescent="0.25">
      <c r="A1401" s="1">
        <v>45671.291666666664</v>
      </c>
      <c r="B1401" t="s">
        <v>18</v>
      </c>
      <c r="C1401">
        <v>487.84</v>
      </c>
      <c r="D1401">
        <v>26.4</v>
      </c>
      <c r="E1401" t="s">
        <v>9</v>
      </c>
      <c r="F1401">
        <v>46.16</v>
      </c>
      <c r="G1401" t="s">
        <v>10</v>
      </c>
      <c r="H1401" t="s">
        <v>13</v>
      </c>
    </row>
    <row r="1402" spans="1:8" x14ac:dyDescent="0.25">
      <c r="A1402" s="1">
        <v>45671.333333333336</v>
      </c>
      <c r="B1402" t="s">
        <v>18</v>
      </c>
      <c r="C1402">
        <v>68.89</v>
      </c>
      <c r="D1402">
        <v>28.31</v>
      </c>
      <c r="E1402" t="s">
        <v>9</v>
      </c>
      <c r="F1402">
        <v>81.900000000000006</v>
      </c>
      <c r="G1402" t="s">
        <v>10</v>
      </c>
      <c r="H1402" t="s">
        <v>12</v>
      </c>
    </row>
    <row r="1403" spans="1:8" x14ac:dyDescent="0.25">
      <c r="A1403" s="1">
        <v>45671.375</v>
      </c>
      <c r="B1403" t="s">
        <v>18</v>
      </c>
      <c r="C1403">
        <v>403.34</v>
      </c>
      <c r="D1403">
        <v>33.22</v>
      </c>
      <c r="E1403" t="s">
        <v>9</v>
      </c>
      <c r="F1403">
        <v>47.32</v>
      </c>
      <c r="G1403" t="s">
        <v>10</v>
      </c>
      <c r="H1403" t="s">
        <v>11</v>
      </c>
    </row>
    <row r="1404" spans="1:8" x14ac:dyDescent="0.25">
      <c r="A1404" s="1">
        <v>45671.416666666664</v>
      </c>
      <c r="B1404" t="s">
        <v>18</v>
      </c>
      <c r="C1404">
        <v>364.01</v>
      </c>
      <c r="D1404">
        <v>20.66</v>
      </c>
      <c r="E1404" t="s">
        <v>9</v>
      </c>
      <c r="F1404">
        <v>55.1</v>
      </c>
      <c r="G1404" t="s">
        <v>10</v>
      </c>
      <c r="H1404" t="s">
        <v>12</v>
      </c>
    </row>
    <row r="1405" spans="1:8" x14ac:dyDescent="0.25">
      <c r="A1405" s="1">
        <v>45671.458333333336</v>
      </c>
      <c r="B1405" t="s">
        <v>18</v>
      </c>
      <c r="C1405">
        <v>291.33</v>
      </c>
      <c r="D1405">
        <v>36.25</v>
      </c>
      <c r="E1405" t="s">
        <v>9</v>
      </c>
      <c r="F1405">
        <v>58.79</v>
      </c>
      <c r="G1405" t="s">
        <v>10</v>
      </c>
      <c r="H1405" t="s">
        <v>13</v>
      </c>
    </row>
    <row r="1406" spans="1:8" x14ac:dyDescent="0.25">
      <c r="A1406" s="1">
        <v>45671.5</v>
      </c>
      <c r="B1406" t="s">
        <v>18</v>
      </c>
      <c r="C1406">
        <v>197.32</v>
      </c>
      <c r="D1406">
        <v>77.25</v>
      </c>
      <c r="E1406" t="s">
        <v>9</v>
      </c>
      <c r="F1406">
        <v>80.430000000000007</v>
      </c>
      <c r="G1406" t="s">
        <v>10</v>
      </c>
      <c r="H1406" t="s">
        <v>12</v>
      </c>
    </row>
    <row r="1407" spans="1:8" x14ac:dyDescent="0.25">
      <c r="A1407" s="1">
        <v>45671.541666666664</v>
      </c>
      <c r="B1407" t="s">
        <v>18</v>
      </c>
      <c r="C1407">
        <v>427.4</v>
      </c>
      <c r="D1407">
        <v>22.39</v>
      </c>
      <c r="E1407" t="s">
        <v>9</v>
      </c>
      <c r="F1407">
        <v>80.260000000000005</v>
      </c>
      <c r="G1407" t="s">
        <v>10</v>
      </c>
      <c r="H1407" t="s">
        <v>12</v>
      </c>
    </row>
    <row r="1408" spans="1:8" x14ac:dyDescent="0.25">
      <c r="A1408" s="1">
        <v>45671.583333333336</v>
      </c>
      <c r="B1408" t="s">
        <v>18</v>
      </c>
      <c r="C1408">
        <v>87.32</v>
      </c>
      <c r="D1408">
        <v>65.98</v>
      </c>
      <c r="E1408" t="s">
        <v>9</v>
      </c>
      <c r="F1408">
        <v>58.32</v>
      </c>
      <c r="G1408" t="s">
        <v>10</v>
      </c>
      <c r="H1408" t="s">
        <v>13</v>
      </c>
    </row>
    <row r="1409" spans="1:8" x14ac:dyDescent="0.25">
      <c r="A1409" s="1">
        <v>45671.625</v>
      </c>
      <c r="B1409" t="s">
        <v>18</v>
      </c>
      <c r="C1409">
        <v>346.98</v>
      </c>
      <c r="D1409">
        <v>73.42</v>
      </c>
      <c r="E1409" t="s">
        <v>9</v>
      </c>
      <c r="F1409">
        <v>53.32</v>
      </c>
      <c r="G1409" t="s">
        <v>10</v>
      </c>
      <c r="H1409" t="s">
        <v>13</v>
      </c>
    </row>
    <row r="1410" spans="1:8" x14ac:dyDescent="0.25">
      <c r="A1410" s="1">
        <v>45671.666666666664</v>
      </c>
      <c r="B1410" t="s">
        <v>18</v>
      </c>
      <c r="C1410">
        <v>255.18</v>
      </c>
      <c r="D1410">
        <v>41.9</v>
      </c>
      <c r="E1410" t="s">
        <v>9</v>
      </c>
      <c r="F1410">
        <v>71.62</v>
      </c>
      <c r="G1410" t="s">
        <v>10</v>
      </c>
      <c r="H1410" t="s">
        <v>13</v>
      </c>
    </row>
    <row r="1411" spans="1:8" x14ac:dyDescent="0.25">
      <c r="A1411" s="1">
        <v>45671.708333333336</v>
      </c>
      <c r="B1411" t="s">
        <v>18</v>
      </c>
      <c r="C1411">
        <v>330.55</v>
      </c>
      <c r="D1411">
        <v>41.83</v>
      </c>
      <c r="E1411" t="s">
        <v>9</v>
      </c>
      <c r="F1411">
        <v>39.24</v>
      </c>
      <c r="G1411" t="s">
        <v>10</v>
      </c>
      <c r="H1411" t="s">
        <v>13</v>
      </c>
    </row>
    <row r="1412" spans="1:8" x14ac:dyDescent="0.25">
      <c r="A1412" s="1">
        <v>45671.75</v>
      </c>
      <c r="B1412" t="s">
        <v>18</v>
      </c>
      <c r="C1412">
        <v>372.24</v>
      </c>
      <c r="D1412">
        <v>45.93</v>
      </c>
      <c r="E1412" t="s">
        <v>9</v>
      </c>
      <c r="F1412">
        <v>70.62</v>
      </c>
      <c r="G1412" t="s">
        <v>10</v>
      </c>
      <c r="H1412" t="s">
        <v>11</v>
      </c>
    </row>
    <row r="1413" spans="1:8" x14ac:dyDescent="0.25">
      <c r="A1413" s="1">
        <v>45671.791666666664</v>
      </c>
      <c r="B1413" t="s">
        <v>18</v>
      </c>
      <c r="C1413">
        <v>71.72</v>
      </c>
      <c r="D1413">
        <v>14.09</v>
      </c>
      <c r="E1413" t="s">
        <v>9</v>
      </c>
      <c r="F1413">
        <v>66.010000000000005</v>
      </c>
      <c r="G1413" t="s">
        <v>10</v>
      </c>
      <c r="H1413" t="s">
        <v>12</v>
      </c>
    </row>
    <row r="1414" spans="1:8" x14ac:dyDescent="0.25">
      <c r="A1414" s="1">
        <v>45671.833333333336</v>
      </c>
      <c r="B1414" t="s">
        <v>18</v>
      </c>
      <c r="C1414">
        <v>425.74</v>
      </c>
      <c r="D1414">
        <v>87.13</v>
      </c>
      <c r="E1414" t="s">
        <v>14</v>
      </c>
      <c r="F1414">
        <v>78.87</v>
      </c>
      <c r="G1414" t="s">
        <v>10</v>
      </c>
      <c r="H1414" t="s">
        <v>13</v>
      </c>
    </row>
    <row r="1415" spans="1:8" x14ac:dyDescent="0.25">
      <c r="A1415" s="1">
        <v>45671.875</v>
      </c>
      <c r="B1415" t="s">
        <v>18</v>
      </c>
      <c r="C1415">
        <v>171.28</v>
      </c>
      <c r="D1415">
        <v>25.74</v>
      </c>
      <c r="E1415" t="s">
        <v>9</v>
      </c>
      <c r="F1415">
        <v>64.89</v>
      </c>
      <c r="G1415" t="s">
        <v>10</v>
      </c>
      <c r="H1415" t="s">
        <v>11</v>
      </c>
    </row>
    <row r="1416" spans="1:8" x14ac:dyDescent="0.25">
      <c r="A1416" s="1">
        <v>45671.916666666664</v>
      </c>
      <c r="B1416" t="s">
        <v>18</v>
      </c>
      <c r="C1416">
        <v>285.8</v>
      </c>
      <c r="D1416">
        <v>54.91</v>
      </c>
      <c r="E1416" t="s">
        <v>9</v>
      </c>
      <c r="F1416">
        <v>61.52</v>
      </c>
      <c r="G1416" t="s">
        <v>10</v>
      </c>
      <c r="H1416" t="s">
        <v>11</v>
      </c>
    </row>
    <row r="1417" spans="1:8" x14ac:dyDescent="0.25">
      <c r="A1417" s="1">
        <v>45671.958333333336</v>
      </c>
      <c r="B1417" t="s">
        <v>18</v>
      </c>
      <c r="C1417">
        <v>57.56</v>
      </c>
      <c r="D1417">
        <v>56.14</v>
      </c>
      <c r="E1417" t="s">
        <v>9</v>
      </c>
      <c r="F1417">
        <v>71.760000000000005</v>
      </c>
      <c r="G1417" t="s">
        <v>10</v>
      </c>
      <c r="H1417" t="s">
        <v>12</v>
      </c>
    </row>
    <row r="1418" spans="1:8" x14ac:dyDescent="0.25">
      <c r="A1418" s="1">
        <v>45672</v>
      </c>
      <c r="B1418" t="s">
        <v>18</v>
      </c>
      <c r="C1418">
        <v>130.6</v>
      </c>
      <c r="D1418">
        <v>22.37</v>
      </c>
      <c r="E1418" t="s">
        <v>9</v>
      </c>
      <c r="F1418">
        <v>33.130000000000003</v>
      </c>
      <c r="G1418" t="s">
        <v>10</v>
      </c>
      <c r="H1418" t="s">
        <v>13</v>
      </c>
    </row>
    <row r="1419" spans="1:8" x14ac:dyDescent="0.25">
      <c r="A1419" s="1">
        <v>45672.041666666664</v>
      </c>
      <c r="B1419" t="s">
        <v>18</v>
      </c>
      <c r="C1419">
        <v>307.44</v>
      </c>
      <c r="D1419">
        <v>83.1</v>
      </c>
      <c r="E1419" t="s">
        <v>9</v>
      </c>
      <c r="F1419">
        <v>78.36</v>
      </c>
      <c r="G1419" t="s">
        <v>10</v>
      </c>
      <c r="H1419" t="s">
        <v>12</v>
      </c>
    </row>
    <row r="1420" spans="1:8" x14ac:dyDescent="0.25">
      <c r="A1420" s="1">
        <v>45672.083333333336</v>
      </c>
      <c r="B1420" t="s">
        <v>18</v>
      </c>
      <c r="C1420">
        <v>143.76</v>
      </c>
      <c r="D1420">
        <v>51.4</v>
      </c>
      <c r="E1420" t="s">
        <v>9</v>
      </c>
      <c r="F1420">
        <v>84.62</v>
      </c>
      <c r="G1420" t="s">
        <v>10</v>
      </c>
      <c r="H1420" t="s">
        <v>13</v>
      </c>
    </row>
    <row r="1421" spans="1:8" x14ac:dyDescent="0.25">
      <c r="A1421" s="1">
        <v>45672.125</v>
      </c>
      <c r="B1421" t="s">
        <v>18</v>
      </c>
      <c r="C1421">
        <v>72.510000000000005</v>
      </c>
      <c r="D1421">
        <v>53.47</v>
      </c>
      <c r="E1421" t="s">
        <v>9</v>
      </c>
      <c r="F1421">
        <v>51.33</v>
      </c>
      <c r="G1421" t="s">
        <v>10</v>
      </c>
      <c r="H1421" t="s">
        <v>12</v>
      </c>
    </row>
    <row r="1422" spans="1:8" x14ac:dyDescent="0.25">
      <c r="A1422" s="1">
        <v>45672.166666666664</v>
      </c>
      <c r="B1422" t="s">
        <v>18</v>
      </c>
      <c r="C1422">
        <v>386.48</v>
      </c>
      <c r="D1422">
        <v>34.450000000000003</v>
      </c>
      <c r="E1422" t="s">
        <v>9</v>
      </c>
      <c r="F1422">
        <v>54.88</v>
      </c>
      <c r="G1422" t="s">
        <v>10</v>
      </c>
      <c r="H1422" t="s">
        <v>11</v>
      </c>
    </row>
    <row r="1423" spans="1:8" x14ac:dyDescent="0.25">
      <c r="A1423" s="1">
        <v>45672.208333333336</v>
      </c>
      <c r="B1423" t="s">
        <v>18</v>
      </c>
      <c r="C1423">
        <v>72.25</v>
      </c>
      <c r="D1423">
        <v>82.74</v>
      </c>
      <c r="E1423" t="s">
        <v>9</v>
      </c>
      <c r="F1423">
        <v>30.6</v>
      </c>
      <c r="G1423" t="s">
        <v>10</v>
      </c>
      <c r="H1423" t="s">
        <v>13</v>
      </c>
    </row>
    <row r="1424" spans="1:8" x14ac:dyDescent="0.25">
      <c r="A1424" s="1">
        <v>45672.25</v>
      </c>
      <c r="B1424" t="s">
        <v>18</v>
      </c>
      <c r="C1424">
        <v>416.55</v>
      </c>
      <c r="D1424">
        <v>57.22</v>
      </c>
      <c r="E1424" t="s">
        <v>9</v>
      </c>
      <c r="F1424">
        <v>38.47</v>
      </c>
      <c r="G1424" t="s">
        <v>10</v>
      </c>
      <c r="H1424" t="s">
        <v>12</v>
      </c>
    </row>
    <row r="1425" spans="1:8" x14ac:dyDescent="0.25">
      <c r="A1425" s="1">
        <v>45672.291666666664</v>
      </c>
      <c r="B1425" t="s">
        <v>18</v>
      </c>
      <c r="C1425">
        <v>54.05</v>
      </c>
      <c r="D1425">
        <v>33.08</v>
      </c>
      <c r="E1425" t="s">
        <v>9</v>
      </c>
      <c r="F1425">
        <v>38.26</v>
      </c>
      <c r="G1425" t="s">
        <v>10</v>
      </c>
      <c r="H1425" t="s">
        <v>13</v>
      </c>
    </row>
    <row r="1426" spans="1:8" x14ac:dyDescent="0.25">
      <c r="A1426" s="1">
        <v>45672.333333333336</v>
      </c>
      <c r="B1426" t="s">
        <v>18</v>
      </c>
      <c r="C1426">
        <v>186.71</v>
      </c>
      <c r="D1426">
        <v>55.27</v>
      </c>
      <c r="E1426" t="s">
        <v>9</v>
      </c>
      <c r="F1426">
        <v>74.83</v>
      </c>
      <c r="G1426" t="s">
        <v>10</v>
      </c>
      <c r="H1426" t="s">
        <v>13</v>
      </c>
    </row>
    <row r="1427" spans="1:8" x14ac:dyDescent="0.25">
      <c r="A1427" s="1">
        <v>45672.375</v>
      </c>
      <c r="B1427" t="s">
        <v>18</v>
      </c>
      <c r="C1427">
        <v>184.12</v>
      </c>
      <c r="D1427">
        <v>16.84</v>
      </c>
      <c r="E1427" t="s">
        <v>9</v>
      </c>
      <c r="F1427">
        <v>32.24</v>
      </c>
      <c r="G1427" t="s">
        <v>10</v>
      </c>
      <c r="H1427" t="s">
        <v>12</v>
      </c>
    </row>
    <row r="1428" spans="1:8" x14ac:dyDescent="0.25">
      <c r="A1428" s="1">
        <v>45672.416666666664</v>
      </c>
      <c r="B1428" t="s">
        <v>18</v>
      </c>
      <c r="C1428">
        <v>79.67</v>
      </c>
      <c r="D1428">
        <v>57.07</v>
      </c>
      <c r="E1428" t="s">
        <v>9</v>
      </c>
      <c r="F1428">
        <v>33.729999999999997</v>
      </c>
      <c r="G1428" t="s">
        <v>10</v>
      </c>
      <c r="H1428" t="s">
        <v>11</v>
      </c>
    </row>
    <row r="1429" spans="1:8" x14ac:dyDescent="0.25">
      <c r="A1429" s="1">
        <v>45672.458333333336</v>
      </c>
      <c r="B1429" t="s">
        <v>18</v>
      </c>
      <c r="C1429">
        <v>244.28</v>
      </c>
      <c r="D1429">
        <v>50.68</v>
      </c>
      <c r="E1429" t="s">
        <v>9</v>
      </c>
      <c r="F1429">
        <v>60.77</v>
      </c>
      <c r="G1429" t="s">
        <v>10</v>
      </c>
      <c r="H1429" t="s">
        <v>12</v>
      </c>
    </row>
    <row r="1430" spans="1:8" x14ac:dyDescent="0.25">
      <c r="A1430" s="1">
        <v>45672.5</v>
      </c>
      <c r="B1430" t="s">
        <v>18</v>
      </c>
      <c r="C1430">
        <v>173.08</v>
      </c>
      <c r="D1430">
        <v>23.85</v>
      </c>
      <c r="E1430" t="s">
        <v>9</v>
      </c>
      <c r="F1430">
        <v>63.36</v>
      </c>
      <c r="G1430" t="s">
        <v>10</v>
      </c>
      <c r="H1430" t="s">
        <v>12</v>
      </c>
    </row>
    <row r="1431" spans="1:8" x14ac:dyDescent="0.25">
      <c r="A1431" s="1">
        <v>45672.541666666664</v>
      </c>
      <c r="B1431" t="s">
        <v>18</v>
      </c>
      <c r="C1431">
        <v>364.32</v>
      </c>
      <c r="D1431">
        <v>77.2</v>
      </c>
      <c r="E1431" t="s">
        <v>9</v>
      </c>
      <c r="F1431">
        <v>49.81</v>
      </c>
      <c r="G1431" t="s">
        <v>10</v>
      </c>
      <c r="H1431" t="s">
        <v>11</v>
      </c>
    </row>
    <row r="1432" spans="1:8" x14ac:dyDescent="0.25">
      <c r="A1432" s="1">
        <v>45672.583333333336</v>
      </c>
      <c r="B1432" t="s">
        <v>18</v>
      </c>
      <c r="C1432">
        <v>329.13</v>
      </c>
      <c r="D1432">
        <v>58.08</v>
      </c>
      <c r="E1432" t="s">
        <v>9</v>
      </c>
      <c r="F1432">
        <v>74.39</v>
      </c>
      <c r="G1432" t="s">
        <v>10</v>
      </c>
      <c r="H1432" t="s">
        <v>13</v>
      </c>
    </row>
    <row r="1433" spans="1:8" x14ac:dyDescent="0.25">
      <c r="A1433" s="1">
        <v>45672.625</v>
      </c>
      <c r="B1433" t="s">
        <v>18</v>
      </c>
      <c r="C1433">
        <v>473.57</v>
      </c>
      <c r="D1433">
        <v>62.53</v>
      </c>
      <c r="E1433" t="s">
        <v>9</v>
      </c>
      <c r="F1433">
        <v>89.53</v>
      </c>
      <c r="G1433" t="s">
        <v>10</v>
      </c>
      <c r="H1433" t="s">
        <v>12</v>
      </c>
    </row>
    <row r="1434" spans="1:8" x14ac:dyDescent="0.25">
      <c r="A1434" s="1">
        <v>45672.666666666664</v>
      </c>
      <c r="B1434" t="s">
        <v>18</v>
      </c>
      <c r="C1434">
        <v>106.95</v>
      </c>
      <c r="D1434">
        <v>80.959999999999994</v>
      </c>
      <c r="E1434" t="s">
        <v>9</v>
      </c>
      <c r="F1434">
        <v>81.89</v>
      </c>
      <c r="G1434" t="s">
        <v>10</v>
      </c>
      <c r="H1434" t="s">
        <v>13</v>
      </c>
    </row>
    <row r="1435" spans="1:8" x14ac:dyDescent="0.25">
      <c r="A1435" s="1">
        <v>45672.708333333336</v>
      </c>
      <c r="B1435" t="s">
        <v>18</v>
      </c>
      <c r="C1435">
        <v>81.95</v>
      </c>
      <c r="D1435">
        <v>86.27</v>
      </c>
      <c r="E1435" t="s">
        <v>14</v>
      </c>
      <c r="F1435">
        <v>31.85</v>
      </c>
      <c r="G1435" t="s">
        <v>10</v>
      </c>
      <c r="H1435" t="s">
        <v>11</v>
      </c>
    </row>
    <row r="1436" spans="1:8" x14ac:dyDescent="0.25">
      <c r="A1436" s="1">
        <v>45672.75</v>
      </c>
      <c r="B1436" t="s">
        <v>18</v>
      </c>
      <c r="C1436">
        <v>308.27999999999997</v>
      </c>
      <c r="D1436">
        <v>83.14</v>
      </c>
      <c r="E1436" t="s">
        <v>9</v>
      </c>
      <c r="F1436">
        <v>53.89</v>
      </c>
      <c r="G1436" t="s">
        <v>10</v>
      </c>
      <c r="H1436" t="s">
        <v>11</v>
      </c>
    </row>
    <row r="1437" spans="1:8" x14ac:dyDescent="0.25">
      <c r="A1437" s="1">
        <v>45672.791666666664</v>
      </c>
      <c r="B1437" t="s">
        <v>18</v>
      </c>
      <c r="C1437">
        <v>318.58999999999997</v>
      </c>
      <c r="D1437">
        <v>48.65</v>
      </c>
      <c r="E1437" t="s">
        <v>9</v>
      </c>
      <c r="F1437">
        <v>49.84</v>
      </c>
      <c r="G1437" t="s">
        <v>10</v>
      </c>
      <c r="H1437" t="s">
        <v>12</v>
      </c>
    </row>
    <row r="1438" spans="1:8" x14ac:dyDescent="0.25">
      <c r="A1438" s="1">
        <v>45672.833333333336</v>
      </c>
      <c r="B1438" t="s">
        <v>18</v>
      </c>
      <c r="C1438">
        <v>481.81</v>
      </c>
      <c r="D1438">
        <v>61.97</v>
      </c>
      <c r="E1438" t="s">
        <v>9</v>
      </c>
      <c r="F1438">
        <v>79.17</v>
      </c>
      <c r="G1438" t="s">
        <v>10</v>
      </c>
      <c r="H1438" t="s">
        <v>12</v>
      </c>
    </row>
    <row r="1439" spans="1:8" x14ac:dyDescent="0.25">
      <c r="A1439" s="1">
        <v>45672.875</v>
      </c>
      <c r="B1439" t="s">
        <v>18</v>
      </c>
      <c r="C1439">
        <v>79.88</v>
      </c>
      <c r="D1439">
        <v>27.84</v>
      </c>
      <c r="E1439" t="s">
        <v>9</v>
      </c>
      <c r="F1439">
        <v>48.67</v>
      </c>
      <c r="G1439" t="s">
        <v>10</v>
      </c>
      <c r="H1439" t="s">
        <v>13</v>
      </c>
    </row>
    <row r="1440" spans="1:8" x14ac:dyDescent="0.25">
      <c r="A1440" s="1">
        <v>45672.916666666664</v>
      </c>
      <c r="B1440" t="s">
        <v>18</v>
      </c>
      <c r="C1440">
        <v>234.26</v>
      </c>
      <c r="D1440">
        <v>91.2</v>
      </c>
      <c r="E1440" t="s">
        <v>14</v>
      </c>
      <c r="F1440">
        <v>81.93</v>
      </c>
      <c r="G1440" t="s">
        <v>10</v>
      </c>
      <c r="H1440" t="s">
        <v>13</v>
      </c>
    </row>
    <row r="1441" spans="1:8" x14ac:dyDescent="0.25">
      <c r="A1441" s="1">
        <v>45672.958333333336</v>
      </c>
      <c r="B1441" t="s">
        <v>18</v>
      </c>
      <c r="C1441">
        <v>145.07</v>
      </c>
      <c r="D1441">
        <v>44.94</v>
      </c>
      <c r="E1441" t="s">
        <v>9</v>
      </c>
      <c r="F1441">
        <v>62.62</v>
      </c>
      <c r="G1441" t="s">
        <v>10</v>
      </c>
      <c r="H1441" t="s">
        <v>12</v>
      </c>
    </row>
    <row r="1442" spans="1:8" x14ac:dyDescent="0.25">
      <c r="A1442" s="1">
        <v>45658</v>
      </c>
      <c r="B1442" t="s">
        <v>19</v>
      </c>
      <c r="C1442">
        <v>107.28</v>
      </c>
      <c r="D1442">
        <v>66.61</v>
      </c>
      <c r="E1442" t="s">
        <v>9</v>
      </c>
      <c r="F1442">
        <v>34.380000000000003</v>
      </c>
      <c r="G1442" t="s">
        <v>20</v>
      </c>
      <c r="H1442" t="s">
        <v>12</v>
      </c>
    </row>
    <row r="1443" spans="1:8" x14ac:dyDescent="0.25">
      <c r="A1443" s="1">
        <v>45658.041666666664</v>
      </c>
      <c r="B1443" t="s">
        <v>19</v>
      </c>
      <c r="C1443">
        <v>97.17</v>
      </c>
      <c r="D1443">
        <v>83.52</v>
      </c>
      <c r="E1443" t="s">
        <v>9</v>
      </c>
      <c r="F1443">
        <v>48.59</v>
      </c>
      <c r="G1443" t="s">
        <v>20</v>
      </c>
      <c r="H1443" t="s">
        <v>13</v>
      </c>
    </row>
    <row r="1444" spans="1:8" x14ac:dyDescent="0.25">
      <c r="A1444" s="1">
        <v>45658.083333333336</v>
      </c>
      <c r="B1444" t="s">
        <v>19</v>
      </c>
      <c r="C1444">
        <v>103.04</v>
      </c>
      <c r="D1444">
        <v>91.62</v>
      </c>
      <c r="E1444" t="s">
        <v>14</v>
      </c>
      <c r="F1444">
        <v>35.46</v>
      </c>
      <c r="G1444" t="s">
        <v>20</v>
      </c>
      <c r="H1444" t="s">
        <v>13</v>
      </c>
    </row>
    <row r="1445" spans="1:8" x14ac:dyDescent="0.25">
      <c r="A1445" s="1">
        <v>45658.125</v>
      </c>
      <c r="B1445" t="s">
        <v>19</v>
      </c>
      <c r="C1445">
        <v>284.52</v>
      </c>
      <c r="D1445">
        <v>94.78</v>
      </c>
      <c r="E1445" t="s">
        <v>14</v>
      </c>
      <c r="F1445">
        <v>61.49</v>
      </c>
      <c r="G1445" t="s">
        <v>20</v>
      </c>
      <c r="H1445" t="s">
        <v>12</v>
      </c>
    </row>
    <row r="1446" spans="1:8" x14ac:dyDescent="0.25">
      <c r="A1446" s="1">
        <v>45658.166666666664</v>
      </c>
      <c r="B1446" t="s">
        <v>19</v>
      </c>
      <c r="C1446">
        <v>245.33</v>
      </c>
      <c r="D1446">
        <v>89.2</v>
      </c>
      <c r="E1446" t="s">
        <v>14</v>
      </c>
      <c r="F1446">
        <v>65.42</v>
      </c>
      <c r="G1446" t="s">
        <v>20</v>
      </c>
      <c r="H1446" t="s">
        <v>13</v>
      </c>
    </row>
    <row r="1447" spans="1:8" x14ac:dyDescent="0.25">
      <c r="A1447" s="1">
        <v>45658.208333333336</v>
      </c>
      <c r="B1447" t="s">
        <v>19</v>
      </c>
      <c r="C1447">
        <v>204.54</v>
      </c>
      <c r="D1447">
        <v>51.24</v>
      </c>
      <c r="E1447" t="s">
        <v>9</v>
      </c>
      <c r="F1447">
        <v>41.52</v>
      </c>
      <c r="G1447" t="s">
        <v>20</v>
      </c>
      <c r="H1447" t="s">
        <v>11</v>
      </c>
    </row>
    <row r="1448" spans="1:8" x14ac:dyDescent="0.25">
      <c r="A1448" s="1">
        <v>45658.25</v>
      </c>
      <c r="B1448" t="s">
        <v>19</v>
      </c>
      <c r="C1448">
        <v>172.2</v>
      </c>
      <c r="D1448">
        <v>50.4</v>
      </c>
      <c r="E1448" t="s">
        <v>9</v>
      </c>
      <c r="F1448">
        <v>69.17</v>
      </c>
      <c r="G1448" t="s">
        <v>20</v>
      </c>
      <c r="H1448" t="s">
        <v>13</v>
      </c>
    </row>
    <row r="1449" spans="1:8" x14ac:dyDescent="0.25">
      <c r="A1449" s="1">
        <v>45658.291666666664</v>
      </c>
      <c r="B1449" t="s">
        <v>19</v>
      </c>
      <c r="C1449">
        <v>420.68</v>
      </c>
      <c r="D1449">
        <v>47.19</v>
      </c>
      <c r="E1449" t="s">
        <v>9</v>
      </c>
      <c r="F1449">
        <v>89.45</v>
      </c>
      <c r="G1449" t="s">
        <v>20</v>
      </c>
      <c r="H1449" t="s">
        <v>11</v>
      </c>
    </row>
    <row r="1450" spans="1:8" x14ac:dyDescent="0.25">
      <c r="A1450" s="1">
        <v>45658.333333333336</v>
      </c>
      <c r="B1450" t="s">
        <v>19</v>
      </c>
      <c r="C1450">
        <v>54.44</v>
      </c>
      <c r="D1450">
        <v>68.900000000000006</v>
      </c>
      <c r="E1450" t="s">
        <v>9</v>
      </c>
      <c r="F1450">
        <v>58.63</v>
      </c>
      <c r="G1450" t="s">
        <v>20</v>
      </c>
      <c r="H1450" t="s">
        <v>11</v>
      </c>
    </row>
    <row r="1451" spans="1:8" x14ac:dyDescent="0.25">
      <c r="A1451" s="1">
        <v>45658.375</v>
      </c>
      <c r="B1451" t="s">
        <v>19</v>
      </c>
      <c r="C1451">
        <v>194.46</v>
      </c>
      <c r="D1451">
        <v>32.22</v>
      </c>
      <c r="E1451" t="s">
        <v>9</v>
      </c>
      <c r="F1451">
        <v>82.67</v>
      </c>
      <c r="G1451" t="s">
        <v>20</v>
      </c>
      <c r="H1451" t="s">
        <v>13</v>
      </c>
    </row>
    <row r="1452" spans="1:8" x14ac:dyDescent="0.25">
      <c r="A1452" s="1">
        <v>45658.416666666664</v>
      </c>
      <c r="B1452" t="s">
        <v>19</v>
      </c>
      <c r="C1452">
        <v>399.55</v>
      </c>
      <c r="D1452">
        <v>64.69</v>
      </c>
      <c r="E1452" t="s">
        <v>9</v>
      </c>
      <c r="F1452">
        <v>54.55</v>
      </c>
      <c r="G1452" t="s">
        <v>20</v>
      </c>
      <c r="H1452" t="s">
        <v>11</v>
      </c>
    </row>
    <row r="1453" spans="1:8" x14ac:dyDescent="0.25">
      <c r="A1453" s="1">
        <v>45658.458333333336</v>
      </c>
      <c r="B1453" t="s">
        <v>19</v>
      </c>
      <c r="C1453">
        <v>273</v>
      </c>
      <c r="D1453">
        <v>15.44</v>
      </c>
      <c r="E1453" t="s">
        <v>9</v>
      </c>
      <c r="F1453">
        <v>50.08</v>
      </c>
      <c r="G1453" t="s">
        <v>20</v>
      </c>
      <c r="H1453" t="s">
        <v>13</v>
      </c>
    </row>
    <row r="1454" spans="1:8" x14ac:dyDescent="0.25">
      <c r="A1454" s="1">
        <v>45658.5</v>
      </c>
      <c r="B1454" t="s">
        <v>19</v>
      </c>
      <c r="C1454">
        <v>324.31</v>
      </c>
      <c r="D1454">
        <v>21.38</v>
      </c>
      <c r="E1454" t="s">
        <v>9</v>
      </c>
      <c r="F1454">
        <v>58.44</v>
      </c>
      <c r="G1454" t="s">
        <v>20</v>
      </c>
      <c r="H1454" t="s">
        <v>11</v>
      </c>
    </row>
    <row r="1455" spans="1:8" x14ac:dyDescent="0.25">
      <c r="A1455" s="1">
        <v>45658.541666666664</v>
      </c>
      <c r="B1455" t="s">
        <v>19</v>
      </c>
      <c r="C1455">
        <v>144.78</v>
      </c>
      <c r="D1455">
        <v>90.86</v>
      </c>
      <c r="E1455" t="s">
        <v>14</v>
      </c>
      <c r="F1455">
        <v>50.13</v>
      </c>
      <c r="G1455" t="s">
        <v>20</v>
      </c>
      <c r="H1455" t="s">
        <v>13</v>
      </c>
    </row>
    <row r="1456" spans="1:8" x14ac:dyDescent="0.25">
      <c r="A1456" s="1">
        <v>45658.583333333336</v>
      </c>
      <c r="B1456" t="s">
        <v>19</v>
      </c>
      <c r="C1456">
        <v>231.69</v>
      </c>
      <c r="D1456">
        <v>30.83</v>
      </c>
      <c r="E1456" t="s">
        <v>9</v>
      </c>
      <c r="F1456">
        <v>68.92</v>
      </c>
      <c r="G1456" t="s">
        <v>20</v>
      </c>
      <c r="H1456" t="s">
        <v>13</v>
      </c>
    </row>
    <row r="1457" spans="1:8" x14ac:dyDescent="0.25">
      <c r="A1457" s="1">
        <v>45658.625</v>
      </c>
      <c r="B1457" t="s">
        <v>19</v>
      </c>
      <c r="C1457">
        <v>60.88</v>
      </c>
      <c r="D1457">
        <v>38.82</v>
      </c>
      <c r="E1457" t="s">
        <v>9</v>
      </c>
      <c r="F1457">
        <v>69.97</v>
      </c>
      <c r="G1457" t="s">
        <v>20</v>
      </c>
      <c r="H1457" t="s">
        <v>12</v>
      </c>
    </row>
    <row r="1458" spans="1:8" x14ac:dyDescent="0.25">
      <c r="A1458" s="1">
        <v>45658.666666666664</v>
      </c>
      <c r="B1458" t="s">
        <v>19</v>
      </c>
      <c r="C1458">
        <v>388.34</v>
      </c>
      <c r="D1458">
        <v>25.34</v>
      </c>
      <c r="E1458" t="s">
        <v>9</v>
      </c>
      <c r="F1458">
        <v>50.9</v>
      </c>
      <c r="G1458" t="s">
        <v>20</v>
      </c>
      <c r="H1458" t="s">
        <v>12</v>
      </c>
    </row>
    <row r="1459" spans="1:8" x14ac:dyDescent="0.25">
      <c r="A1459" s="1">
        <v>45658.708333333336</v>
      </c>
      <c r="B1459" t="s">
        <v>19</v>
      </c>
      <c r="C1459">
        <v>410.45</v>
      </c>
      <c r="D1459">
        <v>46.17</v>
      </c>
      <c r="E1459" t="s">
        <v>9</v>
      </c>
      <c r="F1459">
        <v>42.73</v>
      </c>
      <c r="G1459" t="s">
        <v>20</v>
      </c>
      <c r="H1459" t="s">
        <v>13</v>
      </c>
    </row>
    <row r="1460" spans="1:8" x14ac:dyDescent="0.25">
      <c r="A1460" s="1">
        <v>45658.75</v>
      </c>
      <c r="B1460" t="s">
        <v>19</v>
      </c>
      <c r="C1460">
        <v>127.76</v>
      </c>
      <c r="D1460">
        <v>42.96</v>
      </c>
      <c r="E1460" t="s">
        <v>9</v>
      </c>
      <c r="F1460">
        <v>47.44</v>
      </c>
      <c r="G1460" t="s">
        <v>20</v>
      </c>
      <c r="H1460" t="s">
        <v>12</v>
      </c>
    </row>
    <row r="1461" spans="1:8" x14ac:dyDescent="0.25">
      <c r="A1461" s="1">
        <v>45658.791666666664</v>
      </c>
      <c r="B1461" t="s">
        <v>19</v>
      </c>
      <c r="C1461">
        <v>228.61</v>
      </c>
      <c r="D1461">
        <v>38.57</v>
      </c>
      <c r="E1461" t="s">
        <v>9</v>
      </c>
      <c r="F1461">
        <v>72.86</v>
      </c>
      <c r="G1461" t="s">
        <v>20</v>
      </c>
      <c r="H1461" t="s">
        <v>13</v>
      </c>
    </row>
    <row r="1462" spans="1:8" x14ac:dyDescent="0.25">
      <c r="A1462" s="1">
        <v>45658.833333333336</v>
      </c>
      <c r="B1462" t="s">
        <v>19</v>
      </c>
      <c r="C1462">
        <v>143.75</v>
      </c>
      <c r="D1462">
        <v>56.5</v>
      </c>
      <c r="E1462" t="s">
        <v>9</v>
      </c>
      <c r="F1462">
        <v>63.3</v>
      </c>
      <c r="G1462" t="s">
        <v>20</v>
      </c>
      <c r="H1462" t="s">
        <v>12</v>
      </c>
    </row>
    <row r="1463" spans="1:8" x14ac:dyDescent="0.25">
      <c r="A1463" s="1">
        <v>45658.875</v>
      </c>
      <c r="B1463" t="s">
        <v>19</v>
      </c>
      <c r="C1463">
        <v>148.94999999999999</v>
      </c>
      <c r="D1463">
        <v>43.83</v>
      </c>
      <c r="E1463" t="s">
        <v>9</v>
      </c>
      <c r="F1463">
        <v>51.84</v>
      </c>
      <c r="G1463" t="s">
        <v>20</v>
      </c>
      <c r="H1463" t="s">
        <v>11</v>
      </c>
    </row>
    <row r="1464" spans="1:8" x14ac:dyDescent="0.25">
      <c r="A1464" s="1">
        <v>45658.916666666664</v>
      </c>
      <c r="B1464" t="s">
        <v>19</v>
      </c>
      <c r="C1464">
        <v>249.78</v>
      </c>
      <c r="D1464">
        <v>75.16</v>
      </c>
      <c r="E1464" t="s">
        <v>9</v>
      </c>
      <c r="F1464">
        <v>75.05</v>
      </c>
      <c r="G1464" t="s">
        <v>20</v>
      </c>
      <c r="H1464" t="s">
        <v>12</v>
      </c>
    </row>
    <row r="1465" spans="1:8" x14ac:dyDescent="0.25">
      <c r="A1465" s="1">
        <v>45658.958333333336</v>
      </c>
      <c r="B1465" t="s">
        <v>19</v>
      </c>
      <c r="C1465">
        <v>125.56</v>
      </c>
      <c r="D1465">
        <v>47.98</v>
      </c>
      <c r="E1465" t="s">
        <v>9</v>
      </c>
      <c r="F1465">
        <v>59.1</v>
      </c>
      <c r="G1465" t="s">
        <v>20</v>
      </c>
      <c r="H1465" t="s">
        <v>11</v>
      </c>
    </row>
    <row r="1466" spans="1:8" x14ac:dyDescent="0.25">
      <c r="A1466" s="1">
        <v>45659</v>
      </c>
      <c r="B1466" t="s">
        <v>19</v>
      </c>
      <c r="C1466">
        <v>475.3</v>
      </c>
      <c r="D1466">
        <v>31.37</v>
      </c>
      <c r="E1466" t="s">
        <v>9</v>
      </c>
      <c r="F1466">
        <v>34.450000000000003</v>
      </c>
      <c r="G1466" t="s">
        <v>20</v>
      </c>
      <c r="H1466" t="s">
        <v>11</v>
      </c>
    </row>
    <row r="1467" spans="1:8" x14ac:dyDescent="0.25">
      <c r="A1467" s="1">
        <v>45659.041666666664</v>
      </c>
      <c r="B1467" t="s">
        <v>19</v>
      </c>
      <c r="C1467">
        <v>261.63</v>
      </c>
      <c r="D1467">
        <v>51.17</v>
      </c>
      <c r="E1467" t="s">
        <v>9</v>
      </c>
      <c r="F1467">
        <v>89.02</v>
      </c>
      <c r="G1467" t="s">
        <v>20</v>
      </c>
      <c r="H1467" t="s">
        <v>12</v>
      </c>
    </row>
    <row r="1468" spans="1:8" x14ac:dyDescent="0.25">
      <c r="A1468" s="1">
        <v>45659.083333333336</v>
      </c>
      <c r="B1468" t="s">
        <v>19</v>
      </c>
      <c r="C1468">
        <v>471.51</v>
      </c>
      <c r="D1468">
        <v>80.98</v>
      </c>
      <c r="E1468" t="s">
        <v>9</v>
      </c>
      <c r="F1468">
        <v>80.67</v>
      </c>
      <c r="G1468" t="s">
        <v>20</v>
      </c>
      <c r="H1468" t="s">
        <v>12</v>
      </c>
    </row>
    <row r="1469" spans="1:8" x14ac:dyDescent="0.25">
      <c r="A1469" s="1">
        <v>45659.125</v>
      </c>
      <c r="B1469" t="s">
        <v>19</v>
      </c>
      <c r="C1469">
        <v>273.52999999999997</v>
      </c>
      <c r="D1469">
        <v>62.6</v>
      </c>
      <c r="E1469" t="s">
        <v>9</v>
      </c>
      <c r="F1469">
        <v>40.85</v>
      </c>
      <c r="G1469" t="s">
        <v>20</v>
      </c>
      <c r="H1469" t="s">
        <v>12</v>
      </c>
    </row>
    <row r="1470" spans="1:8" x14ac:dyDescent="0.25">
      <c r="A1470" s="1">
        <v>45659.166666666664</v>
      </c>
      <c r="B1470" t="s">
        <v>19</v>
      </c>
      <c r="C1470">
        <v>292.47000000000003</v>
      </c>
      <c r="D1470">
        <v>50.14</v>
      </c>
      <c r="E1470" t="s">
        <v>9</v>
      </c>
      <c r="F1470">
        <v>63.89</v>
      </c>
      <c r="G1470" t="s">
        <v>20</v>
      </c>
      <c r="H1470" t="s">
        <v>13</v>
      </c>
    </row>
    <row r="1471" spans="1:8" x14ac:dyDescent="0.25">
      <c r="A1471" s="1">
        <v>45659.208333333336</v>
      </c>
      <c r="B1471" t="s">
        <v>19</v>
      </c>
      <c r="C1471">
        <v>371.66</v>
      </c>
      <c r="D1471">
        <v>73.150000000000006</v>
      </c>
      <c r="E1471" t="s">
        <v>9</v>
      </c>
      <c r="F1471">
        <v>60.75</v>
      </c>
      <c r="G1471" t="s">
        <v>20</v>
      </c>
      <c r="H1471" t="s">
        <v>11</v>
      </c>
    </row>
    <row r="1472" spans="1:8" x14ac:dyDescent="0.25">
      <c r="A1472" s="1">
        <v>45659.25</v>
      </c>
      <c r="B1472" t="s">
        <v>19</v>
      </c>
      <c r="C1472">
        <v>240.21</v>
      </c>
      <c r="D1472">
        <v>66.78</v>
      </c>
      <c r="E1472" t="s">
        <v>9</v>
      </c>
      <c r="F1472">
        <v>45.54</v>
      </c>
      <c r="G1472" t="s">
        <v>20</v>
      </c>
      <c r="H1472" t="s">
        <v>13</v>
      </c>
    </row>
    <row r="1473" spans="1:8" x14ac:dyDescent="0.25">
      <c r="A1473" s="1">
        <v>45659.291666666664</v>
      </c>
      <c r="B1473" t="s">
        <v>19</v>
      </c>
      <c r="C1473">
        <v>367.06</v>
      </c>
      <c r="D1473">
        <v>22.03</v>
      </c>
      <c r="E1473" t="s">
        <v>9</v>
      </c>
      <c r="F1473">
        <v>84.53</v>
      </c>
      <c r="G1473" t="s">
        <v>20</v>
      </c>
      <c r="H1473" t="s">
        <v>12</v>
      </c>
    </row>
    <row r="1474" spans="1:8" x14ac:dyDescent="0.25">
      <c r="A1474" s="1">
        <v>45659.333333333336</v>
      </c>
      <c r="B1474" t="s">
        <v>19</v>
      </c>
      <c r="C1474">
        <v>377.47</v>
      </c>
      <c r="D1474">
        <v>19.96</v>
      </c>
      <c r="E1474" t="s">
        <v>9</v>
      </c>
      <c r="F1474">
        <v>43.36</v>
      </c>
      <c r="G1474" t="s">
        <v>20</v>
      </c>
      <c r="H1474" t="s">
        <v>12</v>
      </c>
    </row>
    <row r="1475" spans="1:8" x14ac:dyDescent="0.25">
      <c r="A1475" s="1">
        <v>45659.375</v>
      </c>
      <c r="B1475" t="s">
        <v>19</v>
      </c>
      <c r="C1475">
        <v>246.71</v>
      </c>
      <c r="D1475">
        <v>71.13</v>
      </c>
      <c r="E1475" t="s">
        <v>9</v>
      </c>
      <c r="F1475">
        <v>64.05</v>
      </c>
      <c r="G1475" t="s">
        <v>20</v>
      </c>
      <c r="H1475" t="s">
        <v>12</v>
      </c>
    </row>
    <row r="1476" spans="1:8" x14ac:dyDescent="0.25">
      <c r="A1476" s="1">
        <v>45659.416666666664</v>
      </c>
      <c r="B1476" t="s">
        <v>19</v>
      </c>
      <c r="C1476">
        <v>319.01</v>
      </c>
      <c r="D1476">
        <v>15.21</v>
      </c>
      <c r="E1476" t="s">
        <v>9</v>
      </c>
      <c r="F1476">
        <v>51.17</v>
      </c>
      <c r="G1476" t="s">
        <v>20</v>
      </c>
      <c r="H1476" t="s">
        <v>13</v>
      </c>
    </row>
    <row r="1477" spans="1:8" x14ac:dyDescent="0.25">
      <c r="A1477" s="1">
        <v>45659.458333333336</v>
      </c>
      <c r="B1477" t="s">
        <v>19</v>
      </c>
      <c r="C1477">
        <v>466.09</v>
      </c>
      <c r="D1477">
        <v>22.42</v>
      </c>
      <c r="E1477" t="s">
        <v>9</v>
      </c>
      <c r="F1477">
        <v>53.26</v>
      </c>
      <c r="G1477" t="s">
        <v>20</v>
      </c>
      <c r="H1477" t="s">
        <v>11</v>
      </c>
    </row>
    <row r="1478" spans="1:8" x14ac:dyDescent="0.25">
      <c r="A1478" s="1">
        <v>45659.5</v>
      </c>
      <c r="B1478" t="s">
        <v>19</v>
      </c>
      <c r="C1478">
        <v>431.02</v>
      </c>
      <c r="D1478">
        <v>39</v>
      </c>
      <c r="E1478" t="s">
        <v>9</v>
      </c>
      <c r="F1478">
        <v>89.51</v>
      </c>
      <c r="G1478" t="s">
        <v>20</v>
      </c>
      <c r="H1478" t="s">
        <v>13</v>
      </c>
    </row>
    <row r="1479" spans="1:8" x14ac:dyDescent="0.25">
      <c r="A1479" s="1">
        <v>45659.541666666664</v>
      </c>
      <c r="B1479" t="s">
        <v>19</v>
      </c>
      <c r="C1479">
        <v>107.72</v>
      </c>
      <c r="D1479">
        <v>32.200000000000003</v>
      </c>
      <c r="E1479" t="s">
        <v>9</v>
      </c>
      <c r="F1479">
        <v>78.67</v>
      </c>
      <c r="G1479" t="s">
        <v>20</v>
      </c>
      <c r="H1479" t="s">
        <v>11</v>
      </c>
    </row>
    <row r="1480" spans="1:8" x14ac:dyDescent="0.25">
      <c r="A1480" s="1">
        <v>45659.583333333336</v>
      </c>
      <c r="B1480" t="s">
        <v>19</v>
      </c>
      <c r="C1480">
        <v>414.26</v>
      </c>
      <c r="D1480">
        <v>92.39</v>
      </c>
      <c r="E1480" t="s">
        <v>14</v>
      </c>
      <c r="F1480">
        <v>58.67</v>
      </c>
      <c r="G1480" t="s">
        <v>20</v>
      </c>
      <c r="H1480" t="s">
        <v>13</v>
      </c>
    </row>
    <row r="1481" spans="1:8" x14ac:dyDescent="0.25">
      <c r="A1481" s="1">
        <v>45659.625</v>
      </c>
      <c r="B1481" t="s">
        <v>19</v>
      </c>
      <c r="C1481">
        <v>216.82</v>
      </c>
      <c r="D1481">
        <v>28.94</v>
      </c>
      <c r="E1481" t="s">
        <v>9</v>
      </c>
      <c r="F1481">
        <v>56.58</v>
      </c>
      <c r="G1481" t="s">
        <v>20</v>
      </c>
      <c r="H1481" t="s">
        <v>11</v>
      </c>
    </row>
    <row r="1482" spans="1:8" x14ac:dyDescent="0.25">
      <c r="A1482" s="1">
        <v>45659.666666666664</v>
      </c>
      <c r="B1482" t="s">
        <v>19</v>
      </c>
      <c r="C1482">
        <v>168.65</v>
      </c>
      <c r="D1482">
        <v>19.27</v>
      </c>
      <c r="E1482" t="s">
        <v>9</v>
      </c>
      <c r="F1482">
        <v>52.13</v>
      </c>
      <c r="G1482" t="s">
        <v>20</v>
      </c>
      <c r="H1482" t="s">
        <v>12</v>
      </c>
    </row>
    <row r="1483" spans="1:8" x14ac:dyDescent="0.25">
      <c r="A1483" s="1">
        <v>45659.708333333336</v>
      </c>
      <c r="B1483" t="s">
        <v>19</v>
      </c>
      <c r="C1483">
        <v>331.91</v>
      </c>
      <c r="D1483">
        <v>57.58</v>
      </c>
      <c r="E1483" t="s">
        <v>9</v>
      </c>
      <c r="F1483">
        <v>69.73</v>
      </c>
      <c r="G1483" t="s">
        <v>20</v>
      </c>
      <c r="H1483" t="s">
        <v>13</v>
      </c>
    </row>
    <row r="1484" spans="1:8" x14ac:dyDescent="0.25">
      <c r="A1484" s="1">
        <v>45659.75</v>
      </c>
      <c r="B1484" t="s">
        <v>19</v>
      </c>
      <c r="C1484">
        <v>299.76</v>
      </c>
      <c r="D1484">
        <v>37.26</v>
      </c>
      <c r="E1484" t="s">
        <v>9</v>
      </c>
      <c r="F1484">
        <v>86.41</v>
      </c>
      <c r="G1484" t="s">
        <v>20</v>
      </c>
      <c r="H1484" t="s">
        <v>13</v>
      </c>
    </row>
    <row r="1485" spans="1:8" x14ac:dyDescent="0.25">
      <c r="A1485" s="1">
        <v>45659.791666666664</v>
      </c>
      <c r="B1485" t="s">
        <v>19</v>
      </c>
      <c r="C1485">
        <v>454.05</v>
      </c>
      <c r="D1485">
        <v>33.659999999999997</v>
      </c>
      <c r="E1485" t="s">
        <v>9</v>
      </c>
      <c r="F1485">
        <v>51.19</v>
      </c>
      <c r="G1485" t="s">
        <v>20</v>
      </c>
      <c r="H1485" t="s">
        <v>11</v>
      </c>
    </row>
    <row r="1486" spans="1:8" x14ac:dyDescent="0.25">
      <c r="A1486" s="1">
        <v>45659.833333333336</v>
      </c>
      <c r="B1486" t="s">
        <v>19</v>
      </c>
      <c r="C1486">
        <v>137.94</v>
      </c>
      <c r="D1486">
        <v>14.9</v>
      </c>
      <c r="E1486" t="s">
        <v>9</v>
      </c>
      <c r="F1486">
        <v>44.54</v>
      </c>
      <c r="G1486" t="s">
        <v>20</v>
      </c>
      <c r="H1486" t="s">
        <v>13</v>
      </c>
    </row>
    <row r="1487" spans="1:8" x14ac:dyDescent="0.25">
      <c r="A1487" s="1">
        <v>45659.875</v>
      </c>
      <c r="B1487" t="s">
        <v>19</v>
      </c>
      <c r="C1487">
        <v>198.08</v>
      </c>
      <c r="D1487">
        <v>21.69</v>
      </c>
      <c r="E1487" t="s">
        <v>9</v>
      </c>
      <c r="F1487">
        <v>89.81</v>
      </c>
      <c r="G1487" t="s">
        <v>20</v>
      </c>
      <c r="H1487" t="s">
        <v>13</v>
      </c>
    </row>
    <row r="1488" spans="1:8" x14ac:dyDescent="0.25">
      <c r="A1488" s="1">
        <v>45659.916666666664</v>
      </c>
      <c r="B1488" t="s">
        <v>19</v>
      </c>
      <c r="C1488">
        <v>362.19</v>
      </c>
      <c r="D1488">
        <v>45.97</v>
      </c>
      <c r="E1488" t="s">
        <v>9</v>
      </c>
      <c r="F1488">
        <v>52.35</v>
      </c>
      <c r="G1488" t="s">
        <v>20</v>
      </c>
      <c r="H1488" t="s">
        <v>11</v>
      </c>
    </row>
    <row r="1489" spans="1:8" x14ac:dyDescent="0.25">
      <c r="A1489" s="1">
        <v>45659.958333333336</v>
      </c>
      <c r="B1489" t="s">
        <v>19</v>
      </c>
      <c r="C1489">
        <v>129.66999999999999</v>
      </c>
      <c r="D1489">
        <v>65.349999999999994</v>
      </c>
      <c r="E1489" t="s">
        <v>9</v>
      </c>
      <c r="F1489">
        <v>51.85</v>
      </c>
      <c r="G1489" t="s">
        <v>20</v>
      </c>
      <c r="H1489" t="s">
        <v>11</v>
      </c>
    </row>
    <row r="1490" spans="1:8" x14ac:dyDescent="0.25">
      <c r="A1490" s="1">
        <v>45660</v>
      </c>
      <c r="B1490" t="s">
        <v>19</v>
      </c>
      <c r="C1490">
        <v>321.75</v>
      </c>
      <c r="D1490">
        <v>25.77</v>
      </c>
      <c r="E1490" t="s">
        <v>9</v>
      </c>
      <c r="F1490">
        <v>77.91</v>
      </c>
      <c r="G1490" t="s">
        <v>20</v>
      </c>
      <c r="H1490" t="s">
        <v>11</v>
      </c>
    </row>
    <row r="1491" spans="1:8" x14ac:dyDescent="0.25">
      <c r="A1491" s="1">
        <v>45660.041666666664</v>
      </c>
      <c r="B1491" t="s">
        <v>19</v>
      </c>
      <c r="C1491">
        <v>144.47</v>
      </c>
      <c r="D1491">
        <v>76.87</v>
      </c>
      <c r="E1491" t="s">
        <v>9</v>
      </c>
      <c r="F1491">
        <v>59.18</v>
      </c>
      <c r="G1491" t="s">
        <v>20</v>
      </c>
      <c r="H1491" t="s">
        <v>12</v>
      </c>
    </row>
    <row r="1492" spans="1:8" x14ac:dyDescent="0.25">
      <c r="A1492" s="1">
        <v>45660.083333333336</v>
      </c>
      <c r="B1492" t="s">
        <v>19</v>
      </c>
      <c r="C1492">
        <v>271.44</v>
      </c>
      <c r="D1492">
        <v>45.91</v>
      </c>
      <c r="E1492" t="s">
        <v>9</v>
      </c>
      <c r="F1492">
        <v>66.680000000000007</v>
      </c>
      <c r="G1492" t="s">
        <v>20</v>
      </c>
      <c r="H1492" t="s">
        <v>11</v>
      </c>
    </row>
    <row r="1493" spans="1:8" x14ac:dyDescent="0.25">
      <c r="A1493" s="1">
        <v>45660.125</v>
      </c>
      <c r="B1493" t="s">
        <v>19</v>
      </c>
      <c r="C1493">
        <v>153.04</v>
      </c>
      <c r="D1493">
        <v>56.66</v>
      </c>
      <c r="E1493" t="s">
        <v>9</v>
      </c>
      <c r="F1493">
        <v>57.09</v>
      </c>
      <c r="G1493" t="s">
        <v>20</v>
      </c>
      <c r="H1493" t="s">
        <v>12</v>
      </c>
    </row>
    <row r="1494" spans="1:8" x14ac:dyDescent="0.25">
      <c r="A1494" s="1">
        <v>45660.166666666664</v>
      </c>
      <c r="B1494" t="s">
        <v>19</v>
      </c>
      <c r="C1494">
        <v>58.31</v>
      </c>
      <c r="D1494">
        <v>81.37</v>
      </c>
      <c r="E1494" t="s">
        <v>9</v>
      </c>
      <c r="F1494">
        <v>40.479999999999997</v>
      </c>
      <c r="G1494" t="s">
        <v>20</v>
      </c>
      <c r="H1494" t="s">
        <v>11</v>
      </c>
    </row>
    <row r="1495" spans="1:8" x14ac:dyDescent="0.25">
      <c r="A1495" s="1">
        <v>45660.208333333336</v>
      </c>
      <c r="B1495" t="s">
        <v>19</v>
      </c>
      <c r="C1495">
        <v>56.91</v>
      </c>
      <c r="D1495">
        <v>48.54</v>
      </c>
      <c r="E1495" t="s">
        <v>9</v>
      </c>
      <c r="F1495">
        <v>66.37</v>
      </c>
      <c r="G1495" t="s">
        <v>20</v>
      </c>
      <c r="H1495" t="s">
        <v>13</v>
      </c>
    </row>
    <row r="1496" spans="1:8" x14ac:dyDescent="0.25">
      <c r="A1496" s="1">
        <v>45660.25</v>
      </c>
      <c r="B1496" t="s">
        <v>19</v>
      </c>
      <c r="C1496">
        <v>376.07</v>
      </c>
      <c r="D1496">
        <v>37.08</v>
      </c>
      <c r="E1496" t="s">
        <v>9</v>
      </c>
      <c r="F1496">
        <v>75.150000000000006</v>
      </c>
      <c r="G1496" t="s">
        <v>20</v>
      </c>
      <c r="H1496" t="s">
        <v>13</v>
      </c>
    </row>
    <row r="1497" spans="1:8" x14ac:dyDescent="0.25">
      <c r="A1497" s="1">
        <v>45660.291666666664</v>
      </c>
      <c r="B1497" t="s">
        <v>19</v>
      </c>
      <c r="C1497">
        <v>132.19</v>
      </c>
      <c r="D1497">
        <v>74.790000000000006</v>
      </c>
      <c r="E1497" t="s">
        <v>9</v>
      </c>
      <c r="F1497">
        <v>50.35</v>
      </c>
      <c r="G1497" t="s">
        <v>20</v>
      </c>
      <c r="H1497" t="s">
        <v>11</v>
      </c>
    </row>
    <row r="1498" spans="1:8" x14ac:dyDescent="0.25">
      <c r="A1498" s="1">
        <v>45660.333333333336</v>
      </c>
      <c r="B1498" t="s">
        <v>19</v>
      </c>
      <c r="C1498">
        <v>133.72</v>
      </c>
      <c r="D1498">
        <v>89.69</v>
      </c>
      <c r="E1498" t="s">
        <v>14</v>
      </c>
      <c r="F1498">
        <v>88.61</v>
      </c>
      <c r="G1498" t="s">
        <v>20</v>
      </c>
      <c r="H1498" t="s">
        <v>11</v>
      </c>
    </row>
    <row r="1499" spans="1:8" x14ac:dyDescent="0.25">
      <c r="A1499" s="1">
        <v>45660.375</v>
      </c>
      <c r="B1499" t="s">
        <v>19</v>
      </c>
      <c r="C1499">
        <v>163.49</v>
      </c>
      <c r="D1499">
        <v>35.1</v>
      </c>
      <c r="E1499" t="s">
        <v>9</v>
      </c>
      <c r="F1499">
        <v>68.75</v>
      </c>
      <c r="G1499" t="s">
        <v>20</v>
      </c>
      <c r="H1499" t="s">
        <v>11</v>
      </c>
    </row>
    <row r="1500" spans="1:8" x14ac:dyDescent="0.25">
      <c r="A1500" s="1">
        <v>45660.416666666664</v>
      </c>
      <c r="B1500" t="s">
        <v>19</v>
      </c>
      <c r="C1500">
        <v>209.1</v>
      </c>
      <c r="D1500">
        <v>53.08</v>
      </c>
      <c r="E1500" t="s">
        <v>9</v>
      </c>
      <c r="F1500">
        <v>65.84</v>
      </c>
      <c r="G1500" t="s">
        <v>20</v>
      </c>
      <c r="H1500" t="s">
        <v>11</v>
      </c>
    </row>
    <row r="1501" spans="1:8" x14ac:dyDescent="0.25">
      <c r="A1501" s="1">
        <v>45660.458333333336</v>
      </c>
      <c r="B1501" t="s">
        <v>19</v>
      </c>
      <c r="C1501">
        <v>273.08</v>
      </c>
      <c r="D1501">
        <v>76.48</v>
      </c>
      <c r="E1501" t="s">
        <v>9</v>
      </c>
      <c r="F1501">
        <v>30.13</v>
      </c>
      <c r="G1501" t="s">
        <v>20</v>
      </c>
      <c r="H1501" t="s">
        <v>12</v>
      </c>
    </row>
    <row r="1502" spans="1:8" x14ac:dyDescent="0.25">
      <c r="A1502" s="1">
        <v>45660.5</v>
      </c>
      <c r="B1502" t="s">
        <v>19</v>
      </c>
      <c r="C1502">
        <v>146.27000000000001</v>
      </c>
      <c r="D1502">
        <v>14.47</v>
      </c>
      <c r="E1502" t="s">
        <v>9</v>
      </c>
      <c r="F1502">
        <v>48.06</v>
      </c>
      <c r="G1502" t="s">
        <v>20</v>
      </c>
      <c r="H1502" t="s">
        <v>11</v>
      </c>
    </row>
    <row r="1503" spans="1:8" x14ac:dyDescent="0.25">
      <c r="A1503" s="1">
        <v>45660.541666666664</v>
      </c>
      <c r="B1503" t="s">
        <v>19</v>
      </c>
      <c r="C1503">
        <v>249.13</v>
      </c>
      <c r="D1503">
        <v>54</v>
      </c>
      <c r="E1503" t="s">
        <v>9</v>
      </c>
      <c r="F1503">
        <v>48.73</v>
      </c>
      <c r="G1503" t="s">
        <v>20</v>
      </c>
      <c r="H1503" t="s">
        <v>11</v>
      </c>
    </row>
    <row r="1504" spans="1:8" x14ac:dyDescent="0.25">
      <c r="A1504" s="1">
        <v>45660.583333333336</v>
      </c>
      <c r="B1504" t="s">
        <v>19</v>
      </c>
      <c r="C1504">
        <v>462.64</v>
      </c>
      <c r="D1504">
        <v>71.239999999999995</v>
      </c>
      <c r="E1504" t="s">
        <v>9</v>
      </c>
      <c r="F1504">
        <v>73.349999999999994</v>
      </c>
      <c r="G1504" t="s">
        <v>20</v>
      </c>
      <c r="H1504" t="s">
        <v>13</v>
      </c>
    </row>
    <row r="1505" spans="1:8" x14ac:dyDescent="0.25">
      <c r="A1505" s="1">
        <v>45660.625</v>
      </c>
      <c r="B1505" t="s">
        <v>19</v>
      </c>
      <c r="C1505">
        <v>334.67</v>
      </c>
      <c r="D1505">
        <v>32.81</v>
      </c>
      <c r="E1505" t="s">
        <v>9</v>
      </c>
      <c r="F1505">
        <v>83.85</v>
      </c>
      <c r="G1505" t="s">
        <v>20</v>
      </c>
      <c r="H1505" t="s">
        <v>13</v>
      </c>
    </row>
    <row r="1506" spans="1:8" x14ac:dyDescent="0.25">
      <c r="A1506" s="1">
        <v>45660.666666666664</v>
      </c>
      <c r="B1506" t="s">
        <v>19</v>
      </c>
      <c r="C1506">
        <v>205</v>
      </c>
      <c r="D1506">
        <v>77.72</v>
      </c>
      <c r="E1506" t="s">
        <v>9</v>
      </c>
      <c r="F1506">
        <v>50.34</v>
      </c>
      <c r="G1506" t="s">
        <v>20</v>
      </c>
      <c r="H1506" t="s">
        <v>11</v>
      </c>
    </row>
    <row r="1507" spans="1:8" x14ac:dyDescent="0.25">
      <c r="A1507" s="1">
        <v>45660.708333333336</v>
      </c>
      <c r="B1507" t="s">
        <v>19</v>
      </c>
      <c r="C1507">
        <v>368.27</v>
      </c>
      <c r="D1507">
        <v>68.400000000000006</v>
      </c>
      <c r="E1507" t="s">
        <v>9</v>
      </c>
      <c r="F1507">
        <v>41.77</v>
      </c>
      <c r="G1507" t="s">
        <v>20</v>
      </c>
      <c r="H1507" t="s">
        <v>13</v>
      </c>
    </row>
    <row r="1508" spans="1:8" x14ac:dyDescent="0.25">
      <c r="A1508" s="1">
        <v>45660.75</v>
      </c>
      <c r="B1508" t="s">
        <v>19</v>
      </c>
      <c r="C1508">
        <v>233.82</v>
      </c>
      <c r="D1508">
        <v>42.24</v>
      </c>
      <c r="E1508" t="s">
        <v>9</v>
      </c>
      <c r="F1508">
        <v>75.819999999999993</v>
      </c>
      <c r="G1508" t="s">
        <v>20</v>
      </c>
      <c r="H1508" t="s">
        <v>11</v>
      </c>
    </row>
    <row r="1509" spans="1:8" x14ac:dyDescent="0.25">
      <c r="A1509" s="1">
        <v>45660.791666666664</v>
      </c>
      <c r="B1509" t="s">
        <v>19</v>
      </c>
      <c r="C1509">
        <v>340.16</v>
      </c>
      <c r="D1509">
        <v>47.28</v>
      </c>
      <c r="E1509" t="s">
        <v>9</v>
      </c>
      <c r="F1509">
        <v>61.54</v>
      </c>
      <c r="G1509" t="s">
        <v>20</v>
      </c>
      <c r="H1509" t="s">
        <v>12</v>
      </c>
    </row>
    <row r="1510" spans="1:8" x14ac:dyDescent="0.25">
      <c r="A1510" s="1">
        <v>45660.833333333336</v>
      </c>
      <c r="B1510" t="s">
        <v>19</v>
      </c>
      <c r="C1510">
        <v>474.05</v>
      </c>
      <c r="D1510">
        <v>93.88</v>
      </c>
      <c r="E1510" t="s">
        <v>14</v>
      </c>
      <c r="F1510">
        <v>35.31</v>
      </c>
      <c r="G1510" t="s">
        <v>20</v>
      </c>
      <c r="H1510" t="s">
        <v>12</v>
      </c>
    </row>
    <row r="1511" spans="1:8" x14ac:dyDescent="0.25">
      <c r="A1511" s="1">
        <v>45660.875</v>
      </c>
      <c r="B1511" t="s">
        <v>19</v>
      </c>
      <c r="C1511">
        <v>217.58</v>
      </c>
      <c r="D1511">
        <v>76.89</v>
      </c>
      <c r="E1511" t="s">
        <v>9</v>
      </c>
      <c r="F1511">
        <v>65.760000000000005</v>
      </c>
      <c r="G1511" t="s">
        <v>20</v>
      </c>
      <c r="H1511" t="s">
        <v>11</v>
      </c>
    </row>
    <row r="1512" spans="1:8" x14ac:dyDescent="0.25">
      <c r="A1512" s="1">
        <v>45660.916666666664</v>
      </c>
      <c r="B1512" t="s">
        <v>19</v>
      </c>
      <c r="C1512">
        <v>194.56</v>
      </c>
      <c r="D1512">
        <v>42.87</v>
      </c>
      <c r="E1512" t="s">
        <v>9</v>
      </c>
      <c r="F1512">
        <v>45.37</v>
      </c>
      <c r="G1512" t="s">
        <v>20</v>
      </c>
      <c r="H1512" t="s">
        <v>11</v>
      </c>
    </row>
    <row r="1513" spans="1:8" x14ac:dyDescent="0.25">
      <c r="A1513" s="1">
        <v>45660.958333333336</v>
      </c>
      <c r="B1513" t="s">
        <v>19</v>
      </c>
      <c r="C1513">
        <v>367.53</v>
      </c>
      <c r="D1513">
        <v>60.76</v>
      </c>
      <c r="E1513" t="s">
        <v>9</v>
      </c>
      <c r="F1513">
        <v>83.38</v>
      </c>
      <c r="G1513" t="s">
        <v>20</v>
      </c>
      <c r="H1513" t="s">
        <v>11</v>
      </c>
    </row>
    <row r="1514" spans="1:8" x14ac:dyDescent="0.25">
      <c r="A1514" s="1">
        <v>45661</v>
      </c>
      <c r="B1514" t="s">
        <v>19</v>
      </c>
      <c r="C1514">
        <v>375.01</v>
      </c>
      <c r="D1514">
        <v>72.48</v>
      </c>
      <c r="E1514" t="s">
        <v>9</v>
      </c>
      <c r="F1514">
        <v>69.989999999999995</v>
      </c>
      <c r="G1514" t="s">
        <v>20</v>
      </c>
      <c r="H1514" t="s">
        <v>13</v>
      </c>
    </row>
    <row r="1515" spans="1:8" x14ac:dyDescent="0.25">
      <c r="A1515" s="1">
        <v>45661.041666666664</v>
      </c>
      <c r="B1515" t="s">
        <v>19</v>
      </c>
      <c r="C1515">
        <v>233.6</v>
      </c>
      <c r="D1515">
        <v>22.64</v>
      </c>
      <c r="E1515" t="s">
        <v>9</v>
      </c>
      <c r="F1515">
        <v>79</v>
      </c>
      <c r="G1515" t="s">
        <v>20</v>
      </c>
      <c r="H1515" t="s">
        <v>13</v>
      </c>
    </row>
    <row r="1516" spans="1:8" x14ac:dyDescent="0.25">
      <c r="A1516" s="1">
        <v>45661.083333333336</v>
      </c>
      <c r="B1516" t="s">
        <v>19</v>
      </c>
      <c r="C1516">
        <v>277.8</v>
      </c>
      <c r="D1516">
        <v>16.07</v>
      </c>
      <c r="E1516" t="s">
        <v>9</v>
      </c>
      <c r="F1516">
        <v>85.48</v>
      </c>
      <c r="G1516" t="s">
        <v>20</v>
      </c>
      <c r="H1516" t="s">
        <v>11</v>
      </c>
    </row>
    <row r="1517" spans="1:8" x14ac:dyDescent="0.25">
      <c r="A1517" s="1">
        <v>45661.125</v>
      </c>
      <c r="B1517" t="s">
        <v>19</v>
      </c>
      <c r="C1517">
        <v>97.9</v>
      </c>
      <c r="D1517">
        <v>92.52</v>
      </c>
      <c r="E1517" t="s">
        <v>14</v>
      </c>
      <c r="F1517">
        <v>41.98</v>
      </c>
      <c r="G1517" t="s">
        <v>20</v>
      </c>
      <c r="H1517" t="s">
        <v>12</v>
      </c>
    </row>
    <row r="1518" spans="1:8" x14ac:dyDescent="0.25">
      <c r="A1518" s="1">
        <v>45661.166666666664</v>
      </c>
      <c r="B1518" t="s">
        <v>19</v>
      </c>
      <c r="C1518">
        <v>213.53</v>
      </c>
      <c r="D1518">
        <v>34.68</v>
      </c>
      <c r="E1518" t="s">
        <v>9</v>
      </c>
      <c r="F1518">
        <v>60.4</v>
      </c>
      <c r="G1518" t="s">
        <v>20</v>
      </c>
      <c r="H1518" t="s">
        <v>13</v>
      </c>
    </row>
    <row r="1519" spans="1:8" x14ac:dyDescent="0.25">
      <c r="A1519" s="1">
        <v>45661.208333333336</v>
      </c>
      <c r="B1519" t="s">
        <v>19</v>
      </c>
      <c r="C1519">
        <v>69.69</v>
      </c>
      <c r="D1519">
        <v>59.92</v>
      </c>
      <c r="E1519" t="s">
        <v>9</v>
      </c>
      <c r="F1519">
        <v>53.89</v>
      </c>
      <c r="G1519" t="s">
        <v>20</v>
      </c>
      <c r="H1519" t="s">
        <v>12</v>
      </c>
    </row>
    <row r="1520" spans="1:8" x14ac:dyDescent="0.25">
      <c r="A1520" s="1">
        <v>45661.25</v>
      </c>
      <c r="B1520" t="s">
        <v>19</v>
      </c>
      <c r="C1520">
        <v>263.86</v>
      </c>
      <c r="D1520">
        <v>83.23</v>
      </c>
      <c r="E1520" t="s">
        <v>9</v>
      </c>
      <c r="F1520">
        <v>58.28</v>
      </c>
      <c r="G1520" t="s">
        <v>20</v>
      </c>
      <c r="H1520" t="s">
        <v>13</v>
      </c>
    </row>
    <row r="1521" spans="1:8" x14ac:dyDescent="0.25">
      <c r="A1521" s="1">
        <v>45661.291666666664</v>
      </c>
      <c r="B1521" t="s">
        <v>19</v>
      </c>
      <c r="C1521">
        <v>285.20999999999998</v>
      </c>
      <c r="D1521">
        <v>58.55</v>
      </c>
      <c r="E1521" t="s">
        <v>9</v>
      </c>
      <c r="F1521">
        <v>35.83</v>
      </c>
      <c r="G1521" t="s">
        <v>20</v>
      </c>
      <c r="H1521" t="s">
        <v>12</v>
      </c>
    </row>
    <row r="1522" spans="1:8" x14ac:dyDescent="0.25">
      <c r="A1522" s="1">
        <v>45661.333333333336</v>
      </c>
      <c r="B1522" t="s">
        <v>19</v>
      </c>
      <c r="C1522">
        <v>354.65</v>
      </c>
      <c r="D1522">
        <v>68.680000000000007</v>
      </c>
      <c r="E1522" t="s">
        <v>9</v>
      </c>
      <c r="F1522">
        <v>88.75</v>
      </c>
      <c r="G1522" t="s">
        <v>20</v>
      </c>
      <c r="H1522" t="s">
        <v>12</v>
      </c>
    </row>
    <row r="1523" spans="1:8" x14ac:dyDescent="0.25">
      <c r="A1523" s="1">
        <v>45661.375</v>
      </c>
      <c r="B1523" t="s">
        <v>19</v>
      </c>
      <c r="C1523">
        <v>275.44</v>
      </c>
      <c r="D1523">
        <v>44.37</v>
      </c>
      <c r="E1523" t="s">
        <v>9</v>
      </c>
      <c r="F1523">
        <v>67.55</v>
      </c>
      <c r="G1523" t="s">
        <v>20</v>
      </c>
      <c r="H1523" t="s">
        <v>11</v>
      </c>
    </row>
    <row r="1524" spans="1:8" x14ac:dyDescent="0.25">
      <c r="A1524" s="1">
        <v>45661.416666666664</v>
      </c>
      <c r="B1524" t="s">
        <v>19</v>
      </c>
      <c r="C1524">
        <v>176.27</v>
      </c>
      <c r="D1524">
        <v>59.11</v>
      </c>
      <c r="E1524" t="s">
        <v>9</v>
      </c>
      <c r="F1524">
        <v>72.52</v>
      </c>
      <c r="G1524" t="s">
        <v>20</v>
      </c>
      <c r="H1524" t="s">
        <v>12</v>
      </c>
    </row>
    <row r="1525" spans="1:8" x14ac:dyDescent="0.25">
      <c r="A1525" s="1">
        <v>45661.458333333336</v>
      </c>
      <c r="B1525" t="s">
        <v>19</v>
      </c>
      <c r="C1525">
        <v>300.55</v>
      </c>
      <c r="D1525">
        <v>47.32</v>
      </c>
      <c r="E1525" t="s">
        <v>9</v>
      </c>
      <c r="F1525">
        <v>57.62</v>
      </c>
      <c r="G1525" t="s">
        <v>20</v>
      </c>
      <c r="H1525" t="s">
        <v>11</v>
      </c>
    </row>
    <row r="1526" spans="1:8" x14ac:dyDescent="0.25">
      <c r="A1526" s="1">
        <v>45661.5</v>
      </c>
      <c r="B1526" t="s">
        <v>19</v>
      </c>
      <c r="C1526">
        <v>352.81</v>
      </c>
      <c r="D1526">
        <v>49.03</v>
      </c>
      <c r="E1526" t="s">
        <v>9</v>
      </c>
      <c r="F1526">
        <v>79.010000000000005</v>
      </c>
      <c r="G1526" t="s">
        <v>20</v>
      </c>
      <c r="H1526" t="s">
        <v>13</v>
      </c>
    </row>
    <row r="1527" spans="1:8" x14ac:dyDescent="0.25">
      <c r="A1527" s="1">
        <v>45661.541666666664</v>
      </c>
      <c r="B1527" t="s">
        <v>19</v>
      </c>
      <c r="C1527">
        <v>67.41</v>
      </c>
      <c r="D1527">
        <v>75.040000000000006</v>
      </c>
      <c r="E1527" t="s">
        <v>9</v>
      </c>
      <c r="F1527">
        <v>61.51</v>
      </c>
      <c r="G1527" t="s">
        <v>20</v>
      </c>
      <c r="H1527" t="s">
        <v>13</v>
      </c>
    </row>
    <row r="1528" spans="1:8" x14ac:dyDescent="0.25">
      <c r="A1528" s="1">
        <v>45661.583333333336</v>
      </c>
      <c r="B1528" t="s">
        <v>19</v>
      </c>
      <c r="C1528">
        <v>79.63</v>
      </c>
      <c r="D1528">
        <v>64.400000000000006</v>
      </c>
      <c r="E1528" t="s">
        <v>9</v>
      </c>
      <c r="F1528">
        <v>65.11</v>
      </c>
      <c r="G1528" t="s">
        <v>20</v>
      </c>
      <c r="H1528" t="s">
        <v>13</v>
      </c>
    </row>
    <row r="1529" spans="1:8" x14ac:dyDescent="0.25">
      <c r="A1529" s="1">
        <v>45661.625</v>
      </c>
      <c r="B1529" t="s">
        <v>19</v>
      </c>
      <c r="C1529">
        <v>459.6</v>
      </c>
      <c r="D1529">
        <v>38.619999999999997</v>
      </c>
      <c r="E1529" t="s">
        <v>9</v>
      </c>
      <c r="F1529">
        <v>56.98</v>
      </c>
      <c r="G1529" t="s">
        <v>20</v>
      </c>
      <c r="H1529" t="s">
        <v>12</v>
      </c>
    </row>
    <row r="1530" spans="1:8" x14ac:dyDescent="0.25">
      <c r="A1530" s="1">
        <v>45661.666666666664</v>
      </c>
      <c r="B1530" t="s">
        <v>19</v>
      </c>
      <c r="C1530">
        <v>95.1</v>
      </c>
      <c r="D1530">
        <v>89.51</v>
      </c>
      <c r="E1530" t="s">
        <v>14</v>
      </c>
      <c r="F1530">
        <v>52.47</v>
      </c>
      <c r="G1530" t="s">
        <v>20</v>
      </c>
      <c r="H1530" t="s">
        <v>11</v>
      </c>
    </row>
    <row r="1531" spans="1:8" x14ac:dyDescent="0.25">
      <c r="A1531" s="1">
        <v>45661.708333333336</v>
      </c>
      <c r="B1531" t="s">
        <v>19</v>
      </c>
      <c r="C1531">
        <v>300.13</v>
      </c>
      <c r="D1531">
        <v>46.81</v>
      </c>
      <c r="E1531" t="s">
        <v>9</v>
      </c>
      <c r="F1531">
        <v>42.63</v>
      </c>
      <c r="G1531" t="s">
        <v>20</v>
      </c>
      <c r="H1531" t="s">
        <v>12</v>
      </c>
    </row>
    <row r="1532" spans="1:8" x14ac:dyDescent="0.25">
      <c r="A1532" s="1">
        <v>45661.75</v>
      </c>
      <c r="B1532" t="s">
        <v>19</v>
      </c>
      <c r="C1532">
        <v>362.54</v>
      </c>
      <c r="D1532">
        <v>18.5</v>
      </c>
      <c r="E1532" t="s">
        <v>9</v>
      </c>
      <c r="F1532">
        <v>47.07</v>
      </c>
      <c r="G1532" t="s">
        <v>20</v>
      </c>
      <c r="H1532" t="s">
        <v>13</v>
      </c>
    </row>
    <row r="1533" spans="1:8" x14ac:dyDescent="0.25">
      <c r="A1533" s="1">
        <v>45661.791666666664</v>
      </c>
      <c r="B1533" t="s">
        <v>19</v>
      </c>
      <c r="C1533">
        <v>379.22</v>
      </c>
      <c r="D1533">
        <v>34.81</v>
      </c>
      <c r="E1533" t="s">
        <v>9</v>
      </c>
      <c r="F1533">
        <v>40.51</v>
      </c>
      <c r="G1533" t="s">
        <v>20</v>
      </c>
      <c r="H1533" t="s">
        <v>13</v>
      </c>
    </row>
    <row r="1534" spans="1:8" x14ac:dyDescent="0.25">
      <c r="A1534" s="1">
        <v>45661.833333333336</v>
      </c>
      <c r="B1534" t="s">
        <v>19</v>
      </c>
      <c r="C1534">
        <v>425.5</v>
      </c>
      <c r="D1534">
        <v>43.23</v>
      </c>
      <c r="E1534" t="s">
        <v>9</v>
      </c>
      <c r="F1534">
        <v>66.73</v>
      </c>
      <c r="G1534" t="s">
        <v>20</v>
      </c>
      <c r="H1534" t="s">
        <v>11</v>
      </c>
    </row>
    <row r="1535" spans="1:8" x14ac:dyDescent="0.25">
      <c r="A1535" s="1">
        <v>45661.875</v>
      </c>
      <c r="B1535" t="s">
        <v>19</v>
      </c>
      <c r="C1535">
        <v>186.24</v>
      </c>
      <c r="D1535">
        <v>54.07</v>
      </c>
      <c r="E1535" t="s">
        <v>9</v>
      </c>
      <c r="F1535">
        <v>37.92</v>
      </c>
      <c r="G1535" t="s">
        <v>20</v>
      </c>
      <c r="H1535" t="s">
        <v>12</v>
      </c>
    </row>
    <row r="1536" spans="1:8" x14ac:dyDescent="0.25">
      <c r="A1536" s="1">
        <v>45661.916666666664</v>
      </c>
      <c r="B1536" t="s">
        <v>19</v>
      </c>
      <c r="C1536">
        <v>190.58</v>
      </c>
      <c r="D1536">
        <v>55.67</v>
      </c>
      <c r="E1536" t="s">
        <v>9</v>
      </c>
      <c r="F1536">
        <v>65.33</v>
      </c>
      <c r="G1536" t="s">
        <v>20</v>
      </c>
      <c r="H1536" t="s">
        <v>12</v>
      </c>
    </row>
    <row r="1537" spans="1:8" x14ac:dyDescent="0.25">
      <c r="A1537" s="1">
        <v>45661.958333333336</v>
      </c>
      <c r="B1537" t="s">
        <v>19</v>
      </c>
      <c r="C1537">
        <v>406.48</v>
      </c>
      <c r="D1537">
        <v>54.07</v>
      </c>
      <c r="E1537" t="s">
        <v>9</v>
      </c>
      <c r="F1537">
        <v>48</v>
      </c>
      <c r="G1537" t="s">
        <v>20</v>
      </c>
      <c r="H1537" t="s">
        <v>11</v>
      </c>
    </row>
    <row r="1538" spans="1:8" x14ac:dyDescent="0.25">
      <c r="A1538" s="1">
        <v>45662</v>
      </c>
      <c r="B1538" t="s">
        <v>19</v>
      </c>
      <c r="C1538">
        <v>263.20999999999998</v>
      </c>
      <c r="D1538">
        <v>47.57</v>
      </c>
      <c r="E1538" t="s">
        <v>9</v>
      </c>
      <c r="F1538">
        <v>80.53</v>
      </c>
      <c r="G1538" t="s">
        <v>20</v>
      </c>
      <c r="H1538" t="s">
        <v>12</v>
      </c>
    </row>
    <row r="1539" spans="1:8" x14ac:dyDescent="0.25">
      <c r="A1539" s="1">
        <v>45662.041666666664</v>
      </c>
      <c r="B1539" t="s">
        <v>19</v>
      </c>
      <c r="C1539">
        <v>131.01</v>
      </c>
      <c r="D1539">
        <v>49.12</v>
      </c>
      <c r="E1539" t="s">
        <v>9</v>
      </c>
      <c r="F1539">
        <v>78.41</v>
      </c>
      <c r="G1539" t="s">
        <v>20</v>
      </c>
      <c r="H1539" t="s">
        <v>11</v>
      </c>
    </row>
    <row r="1540" spans="1:8" x14ac:dyDescent="0.25">
      <c r="A1540" s="1">
        <v>45662.083333333336</v>
      </c>
      <c r="B1540" t="s">
        <v>19</v>
      </c>
      <c r="C1540">
        <v>450.55</v>
      </c>
      <c r="D1540">
        <v>83.59</v>
      </c>
      <c r="E1540" t="s">
        <v>9</v>
      </c>
      <c r="F1540">
        <v>34.6</v>
      </c>
      <c r="G1540" t="s">
        <v>20</v>
      </c>
      <c r="H1540" t="s">
        <v>13</v>
      </c>
    </row>
    <row r="1541" spans="1:8" x14ac:dyDescent="0.25">
      <c r="A1541" s="1">
        <v>45662.125</v>
      </c>
      <c r="B1541" t="s">
        <v>19</v>
      </c>
      <c r="C1541">
        <v>77.099999999999994</v>
      </c>
      <c r="D1541">
        <v>20.61</v>
      </c>
      <c r="E1541" t="s">
        <v>9</v>
      </c>
      <c r="F1541">
        <v>68.58</v>
      </c>
      <c r="G1541" t="s">
        <v>20</v>
      </c>
      <c r="H1541" t="s">
        <v>12</v>
      </c>
    </row>
    <row r="1542" spans="1:8" x14ac:dyDescent="0.25">
      <c r="A1542" s="1">
        <v>45662.166666666664</v>
      </c>
      <c r="B1542" t="s">
        <v>19</v>
      </c>
      <c r="C1542">
        <v>372.56</v>
      </c>
      <c r="D1542">
        <v>62.19</v>
      </c>
      <c r="E1542" t="s">
        <v>9</v>
      </c>
      <c r="F1542">
        <v>49.49</v>
      </c>
      <c r="G1542" t="s">
        <v>20</v>
      </c>
      <c r="H1542" t="s">
        <v>11</v>
      </c>
    </row>
    <row r="1543" spans="1:8" x14ac:dyDescent="0.25">
      <c r="A1543" s="1">
        <v>45662.208333333336</v>
      </c>
      <c r="B1543" t="s">
        <v>19</v>
      </c>
      <c r="C1543">
        <v>236.5</v>
      </c>
      <c r="D1543">
        <v>22.64</v>
      </c>
      <c r="E1543" t="s">
        <v>9</v>
      </c>
      <c r="F1543">
        <v>85.39</v>
      </c>
      <c r="G1543" t="s">
        <v>20</v>
      </c>
      <c r="H1543" t="s">
        <v>11</v>
      </c>
    </row>
    <row r="1544" spans="1:8" x14ac:dyDescent="0.25">
      <c r="A1544" s="1">
        <v>45662.25</v>
      </c>
      <c r="B1544" t="s">
        <v>19</v>
      </c>
      <c r="C1544">
        <v>309.68</v>
      </c>
      <c r="D1544">
        <v>84.7</v>
      </c>
      <c r="E1544" t="s">
        <v>9</v>
      </c>
      <c r="F1544">
        <v>81.819999999999993</v>
      </c>
      <c r="G1544" t="s">
        <v>20</v>
      </c>
      <c r="H1544" t="s">
        <v>12</v>
      </c>
    </row>
    <row r="1545" spans="1:8" x14ac:dyDescent="0.25">
      <c r="A1545" s="1">
        <v>45662.291666666664</v>
      </c>
      <c r="B1545" t="s">
        <v>19</v>
      </c>
      <c r="C1545">
        <v>183.52</v>
      </c>
      <c r="D1545">
        <v>61.36</v>
      </c>
      <c r="E1545" t="s">
        <v>9</v>
      </c>
      <c r="F1545">
        <v>55.25</v>
      </c>
      <c r="G1545" t="s">
        <v>20</v>
      </c>
      <c r="H1545" t="s">
        <v>11</v>
      </c>
    </row>
    <row r="1546" spans="1:8" x14ac:dyDescent="0.25">
      <c r="A1546" s="1">
        <v>45662.333333333336</v>
      </c>
      <c r="B1546" t="s">
        <v>19</v>
      </c>
      <c r="C1546">
        <v>136.41999999999999</v>
      </c>
      <c r="D1546">
        <v>87.26</v>
      </c>
      <c r="E1546" t="s">
        <v>14</v>
      </c>
      <c r="F1546">
        <v>41.89</v>
      </c>
      <c r="G1546" t="s">
        <v>20</v>
      </c>
      <c r="H1546" t="s">
        <v>13</v>
      </c>
    </row>
    <row r="1547" spans="1:8" x14ac:dyDescent="0.25">
      <c r="A1547" s="1">
        <v>45662.375</v>
      </c>
      <c r="B1547" t="s">
        <v>19</v>
      </c>
      <c r="C1547">
        <v>266.33</v>
      </c>
      <c r="D1547">
        <v>14.23</v>
      </c>
      <c r="E1547" t="s">
        <v>9</v>
      </c>
      <c r="F1547">
        <v>44.57</v>
      </c>
      <c r="G1547" t="s">
        <v>20</v>
      </c>
      <c r="H1547" t="s">
        <v>11</v>
      </c>
    </row>
    <row r="1548" spans="1:8" x14ac:dyDescent="0.25">
      <c r="A1548" s="1">
        <v>45662.416666666664</v>
      </c>
      <c r="B1548" t="s">
        <v>19</v>
      </c>
      <c r="C1548">
        <v>189.97</v>
      </c>
      <c r="D1548">
        <v>39.92</v>
      </c>
      <c r="E1548" t="s">
        <v>9</v>
      </c>
      <c r="F1548">
        <v>50.37</v>
      </c>
      <c r="G1548" t="s">
        <v>20</v>
      </c>
      <c r="H1548" t="s">
        <v>12</v>
      </c>
    </row>
    <row r="1549" spans="1:8" x14ac:dyDescent="0.25">
      <c r="A1549" s="1">
        <v>45662.458333333336</v>
      </c>
      <c r="B1549" t="s">
        <v>19</v>
      </c>
      <c r="C1549">
        <v>421.59</v>
      </c>
      <c r="D1549">
        <v>42.48</v>
      </c>
      <c r="E1549" t="s">
        <v>9</v>
      </c>
      <c r="F1549">
        <v>84.35</v>
      </c>
      <c r="G1549" t="s">
        <v>20</v>
      </c>
      <c r="H1549" t="s">
        <v>12</v>
      </c>
    </row>
    <row r="1550" spans="1:8" x14ac:dyDescent="0.25">
      <c r="A1550" s="1">
        <v>45662.5</v>
      </c>
      <c r="B1550" t="s">
        <v>19</v>
      </c>
      <c r="C1550">
        <v>499.85</v>
      </c>
      <c r="D1550">
        <v>27.9</v>
      </c>
      <c r="E1550" t="s">
        <v>9</v>
      </c>
      <c r="F1550">
        <v>76.290000000000006</v>
      </c>
      <c r="G1550" t="s">
        <v>20</v>
      </c>
      <c r="H1550" t="s">
        <v>11</v>
      </c>
    </row>
    <row r="1551" spans="1:8" x14ac:dyDescent="0.25">
      <c r="A1551" s="1">
        <v>45662.541666666664</v>
      </c>
      <c r="B1551" t="s">
        <v>19</v>
      </c>
      <c r="C1551">
        <v>134.22</v>
      </c>
      <c r="D1551">
        <v>16.649999999999999</v>
      </c>
      <c r="E1551" t="s">
        <v>9</v>
      </c>
      <c r="F1551">
        <v>86.75</v>
      </c>
      <c r="G1551" t="s">
        <v>20</v>
      </c>
      <c r="H1551" t="s">
        <v>11</v>
      </c>
    </row>
    <row r="1552" spans="1:8" x14ac:dyDescent="0.25">
      <c r="A1552" s="1">
        <v>45662.583333333336</v>
      </c>
      <c r="B1552" t="s">
        <v>19</v>
      </c>
      <c r="C1552">
        <v>231.61</v>
      </c>
      <c r="D1552">
        <v>70.900000000000006</v>
      </c>
      <c r="E1552" t="s">
        <v>9</v>
      </c>
      <c r="F1552">
        <v>63.42</v>
      </c>
      <c r="G1552" t="s">
        <v>20</v>
      </c>
      <c r="H1552" t="s">
        <v>13</v>
      </c>
    </row>
    <row r="1553" spans="1:8" x14ac:dyDescent="0.25">
      <c r="A1553" s="1">
        <v>45662.625</v>
      </c>
      <c r="B1553" t="s">
        <v>19</v>
      </c>
      <c r="C1553">
        <v>191.78</v>
      </c>
      <c r="D1553">
        <v>56.43</v>
      </c>
      <c r="E1553" t="s">
        <v>9</v>
      </c>
      <c r="F1553">
        <v>59.12</v>
      </c>
      <c r="G1553" t="s">
        <v>20</v>
      </c>
      <c r="H1553" t="s">
        <v>12</v>
      </c>
    </row>
    <row r="1554" spans="1:8" x14ac:dyDescent="0.25">
      <c r="A1554" s="1">
        <v>45662.666666666664</v>
      </c>
      <c r="B1554" t="s">
        <v>19</v>
      </c>
      <c r="C1554">
        <v>466.77</v>
      </c>
      <c r="D1554">
        <v>44.69</v>
      </c>
      <c r="E1554" t="s">
        <v>9</v>
      </c>
      <c r="F1554">
        <v>40.409999999999997</v>
      </c>
      <c r="G1554" t="s">
        <v>20</v>
      </c>
      <c r="H1554" t="s">
        <v>13</v>
      </c>
    </row>
    <row r="1555" spans="1:8" x14ac:dyDescent="0.25">
      <c r="A1555" s="1">
        <v>45662.708333333336</v>
      </c>
      <c r="B1555" t="s">
        <v>19</v>
      </c>
      <c r="C1555">
        <v>309.61</v>
      </c>
      <c r="D1555">
        <v>67.260000000000005</v>
      </c>
      <c r="E1555" t="s">
        <v>9</v>
      </c>
      <c r="F1555">
        <v>41.68</v>
      </c>
      <c r="G1555" t="s">
        <v>20</v>
      </c>
      <c r="H1555" t="s">
        <v>12</v>
      </c>
    </row>
    <row r="1556" spans="1:8" x14ac:dyDescent="0.25">
      <c r="A1556" s="1">
        <v>45662.75</v>
      </c>
      <c r="B1556" t="s">
        <v>19</v>
      </c>
      <c r="C1556">
        <v>225.22</v>
      </c>
      <c r="D1556">
        <v>47.34</v>
      </c>
      <c r="E1556" t="s">
        <v>9</v>
      </c>
      <c r="F1556">
        <v>39.53</v>
      </c>
      <c r="G1556" t="s">
        <v>20</v>
      </c>
      <c r="H1556" t="s">
        <v>13</v>
      </c>
    </row>
    <row r="1557" spans="1:8" x14ac:dyDescent="0.25">
      <c r="A1557" s="1">
        <v>45662.791666666664</v>
      </c>
      <c r="B1557" t="s">
        <v>19</v>
      </c>
      <c r="C1557">
        <v>251.66</v>
      </c>
      <c r="D1557">
        <v>89.94</v>
      </c>
      <c r="E1557" t="s">
        <v>14</v>
      </c>
      <c r="F1557">
        <v>74.2</v>
      </c>
      <c r="G1557" t="s">
        <v>20</v>
      </c>
      <c r="H1557" t="s">
        <v>13</v>
      </c>
    </row>
    <row r="1558" spans="1:8" x14ac:dyDescent="0.25">
      <c r="A1558" s="1">
        <v>45662.833333333336</v>
      </c>
      <c r="B1558" t="s">
        <v>19</v>
      </c>
      <c r="C1558">
        <v>306.2</v>
      </c>
      <c r="D1558">
        <v>70.11</v>
      </c>
      <c r="E1558" t="s">
        <v>9</v>
      </c>
      <c r="F1558">
        <v>65.53</v>
      </c>
      <c r="G1558" t="s">
        <v>20</v>
      </c>
      <c r="H1558" t="s">
        <v>11</v>
      </c>
    </row>
    <row r="1559" spans="1:8" x14ac:dyDescent="0.25">
      <c r="A1559" s="1">
        <v>45662.875</v>
      </c>
      <c r="B1559" t="s">
        <v>19</v>
      </c>
      <c r="C1559">
        <v>230.11</v>
      </c>
      <c r="D1559">
        <v>69.87</v>
      </c>
      <c r="E1559" t="s">
        <v>9</v>
      </c>
      <c r="F1559">
        <v>84.37</v>
      </c>
      <c r="G1559" t="s">
        <v>20</v>
      </c>
      <c r="H1559" t="s">
        <v>12</v>
      </c>
    </row>
    <row r="1560" spans="1:8" x14ac:dyDescent="0.25">
      <c r="A1560" s="1">
        <v>45662.916666666664</v>
      </c>
      <c r="B1560" t="s">
        <v>19</v>
      </c>
      <c r="C1560">
        <v>69.36</v>
      </c>
      <c r="D1560">
        <v>84.47</v>
      </c>
      <c r="E1560" t="s">
        <v>9</v>
      </c>
      <c r="F1560">
        <v>70.7</v>
      </c>
      <c r="G1560" t="s">
        <v>20</v>
      </c>
      <c r="H1560" t="s">
        <v>11</v>
      </c>
    </row>
    <row r="1561" spans="1:8" x14ac:dyDescent="0.25">
      <c r="A1561" s="1">
        <v>45662.958333333336</v>
      </c>
      <c r="B1561" t="s">
        <v>19</v>
      </c>
      <c r="C1561">
        <v>81.61</v>
      </c>
      <c r="D1561">
        <v>69.8</v>
      </c>
      <c r="E1561" t="s">
        <v>9</v>
      </c>
      <c r="F1561">
        <v>40.5</v>
      </c>
      <c r="G1561" t="s">
        <v>20</v>
      </c>
      <c r="H1561" t="s">
        <v>11</v>
      </c>
    </row>
    <row r="1562" spans="1:8" x14ac:dyDescent="0.25">
      <c r="A1562" s="1">
        <v>45663</v>
      </c>
      <c r="B1562" t="s">
        <v>19</v>
      </c>
      <c r="C1562">
        <v>441.68</v>
      </c>
      <c r="D1562">
        <v>43.12</v>
      </c>
      <c r="E1562" t="s">
        <v>9</v>
      </c>
      <c r="F1562">
        <v>85.6</v>
      </c>
      <c r="G1562" t="s">
        <v>20</v>
      </c>
      <c r="H1562" t="s">
        <v>12</v>
      </c>
    </row>
    <row r="1563" spans="1:8" x14ac:dyDescent="0.25">
      <c r="A1563" s="1">
        <v>45663.041666666664</v>
      </c>
      <c r="B1563" t="s">
        <v>19</v>
      </c>
      <c r="C1563">
        <v>283.02999999999997</v>
      </c>
      <c r="D1563">
        <v>86.14</v>
      </c>
      <c r="E1563" t="s">
        <v>14</v>
      </c>
      <c r="F1563">
        <v>65.290000000000006</v>
      </c>
      <c r="G1563" t="s">
        <v>20</v>
      </c>
      <c r="H1563" t="s">
        <v>11</v>
      </c>
    </row>
    <row r="1564" spans="1:8" x14ac:dyDescent="0.25">
      <c r="A1564" s="1">
        <v>45663.083333333336</v>
      </c>
      <c r="B1564" t="s">
        <v>19</v>
      </c>
      <c r="C1564">
        <v>112.05</v>
      </c>
      <c r="D1564">
        <v>61.9</v>
      </c>
      <c r="E1564" t="s">
        <v>9</v>
      </c>
      <c r="F1564">
        <v>48.89</v>
      </c>
      <c r="G1564" t="s">
        <v>20</v>
      </c>
      <c r="H1564" t="s">
        <v>12</v>
      </c>
    </row>
    <row r="1565" spans="1:8" x14ac:dyDescent="0.25">
      <c r="A1565" s="1">
        <v>45663.125</v>
      </c>
      <c r="B1565" t="s">
        <v>19</v>
      </c>
      <c r="C1565">
        <v>295.14999999999998</v>
      </c>
      <c r="D1565">
        <v>25.39</v>
      </c>
      <c r="E1565" t="s">
        <v>9</v>
      </c>
      <c r="F1565">
        <v>82.18</v>
      </c>
      <c r="G1565" t="s">
        <v>20</v>
      </c>
      <c r="H1565" t="s">
        <v>13</v>
      </c>
    </row>
    <row r="1566" spans="1:8" x14ac:dyDescent="0.25">
      <c r="A1566" s="1">
        <v>45663.166666666664</v>
      </c>
      <c r="B1566" t="s">
        <v>19</v>
      </c>
      <c r="C1566">
        <v>354.23</v>
      </c>
      <c r="D1566">
        <v>42.91</v>
      </c>
      <c r="E1566" t="s">
        <v>9</v>
      </c>
      <c r="F1566">
        <v>60.76</v>
      </c>
      <c r="G1566" t="s">
        <v>20</v>
      </c>
      <c r="H1566" t="s">
        <v>11</v>
      </c>
    </row>
    <row r="1567" spans="1:8" x14ac:dyDescent="0.25">
      <c r="A1567" s="1">
        <v>45663.208333333336</v>
      </c>
      <c r="B1567" t="s">
        <v>19</v>
      </c>
      <c r="C1567">
        <v>444.72</v>
      </c>
      <c r="D1567">
        <v>46.02</v>
      </c>
      <c r="E1567" t="s">
        <v>9</v>
      </c>
      <c r="F1567">
        <v>57.98</v>
      </c>
      <c r="G1567" t="s">
        <v>20</v>
      </c>
      <c r="H1567" t="s">
        <v>11</v>
      </c>
    </row>
    <row r="1568" spans="1:8" x14ac:dyDescent="0.25">
      <c r="A1568" s="1">
        <v>45663.25</v>
      </c>
      <c r="B1568" t="s">
        <v>19</v>
      </c>
      <c r="C1568">
        <v>465.84</v>
      </c>
      <c r="D1568">
        <v>68.31</v>
      </c>
      <c r="E1568" t="s">
        <v>9</v>
      </c>
      <c r="F1568">
        <v>85.88</v>
      </c>
      <c r="G1568" t="s">
        <v>20</v>
      </c>
      <c r="H1568" t="s">
        <v>13</v>
      </c>
    </row>
    <row r="1569" spans="1:8" x14ac:dyDescent="0.25">
      <c r="A1569" s="1">
        <v>45663.291666666664</v>
      </c>
      <c r="B1569" t="s">
        <v>19</v>
      </c>
      <c r="C1569">
        <v>63.98</v>
      </c>
      <c r="D1569">
        <v>86.52</v>
      </c>
      <c r="E1569" t="s">
        <v>14</v>
      </c>
      <c r="F1569">
        <v>33.03</v>
      </c>
      <c r="G1569" t="s">
        <v>20</v>
      </c>
      <c r="H1569" t="s">
        <v>11</v>
      </c>
    </row>
    <row r="1570" spans="1:8" x14ac:dyDescent="0.25">
      <c r="A1570" s="1">
        <v>45663.333333333336</v>
      </c>
      <c r="B1570" t="s">
        <v>19</v>
      </c>
      <c r="C1570">
        <v>268.01</v>
      </c>
      <c r="D1570">
        <v>51.28</v>
      </c>
      <c r="E1570" t="s">
        <v>9</v>
      </c>
      <c r="F1570">
        <v>63.99</v>
      </c>
      <c r="G1570" t="s">
        <v>20</v>
      </c>
      <c r="H1570" t="s">
        <v>11</v>
      </c>
    </row>
    <row r="1571" spans="1:8" x14ac:dyDescent="0.25">
      <c r="A1571" s="1">
        <v>45663.375</v>
      </c>
      <c r="B1571" t="s">
        <v>19</v>
      </c>
      <c r="C1571">
        <v>259.67</v>
      </c>
      <c r="D1571">
        <v>21.58</v>
      </c>
      <c r="E1571" t="s">
        <v>9</v>
      </c>
      <c r="F1571">
        <v>72.41</v>
      </c>
      <c r="G1571" t="s">
        <v>20</v>
      </c>
      <c r="H1571" t="s">
        <v>12</v>
      </c>
    </row>
    <row r="1572" spans="1:8" x14ac:dyDescent="0.25">
      <c r="A1572" s="1">
        <v>45663.416666666664</v>
      </c>
      <c r="B1572" t="s">
        <v>19</v>
      </c>
      <c r="C1572">
        <v>135.93</v>
      </c>
      <c r="D1572">
        <v>15.28</v>
      </c>
      <c r="E1572" t="s">
        <v>9</v>
      </c>
      <c r="F1572">
        <v>55.08</v>
      </c>
      <c r="G1572" t="s">
        <v>20</v>
      </c>
      <c r="H1572" t="s">
        <v>13</v>
      </c>
    </row>
    <row r="1573" spans="1:8" x14ac:dyDescent="0.25">
      <c r="A1573" s="1">
        <v>45663.458333333336</v>
      </c>
      <c r="B1573" t="s">
        <v>19</v>
      </c>
      <c r="C1573">
        <v>92.38</v>
      </c>
      <c r="D1573">
        <v>35.65</v>
      </c>
      <c r="E1573" t="s">
        <v>9</v>
      </c>
      <c r="F1573">
        <v>67.83</v>
      </c>
      <c r="G1573" t="s">
        <v>20</v>
      </c>
      <c r="H1573" t="s">
        <v>12</v>
      </c>
    </row>
    <row r="1574" spans="1:8" x14ac:dyDescent="0.25">
      <c r="A1574" s="1">
        <v>45663.5</v>
      </c>
      <c r="B1574" t="s">
        <v>19</v>
      </c>
      <c r="C1574">
        <v>485.79</v>
      </c>
      <c r="D1574">
        <v>85.86</v>
      </c>
      <c r="E1574" t="s">
        <v>14</v>
      </c>
      <c r="F1574">
        <v>45.55</v>
      </c>
      <c r="G1574" t="s">
        <v>20</v>
      </c>
      <c r="H1574" t="s">
        <v>11</v>
      </c>
    </row>
    <row r="1575" spans="1:8" x14ac:dyDescent="0.25">
      <c r="A1575" s="1">
        <v>45663.541666666664</v>
      </c>
      <c r="B1575" t="s">
        <v>19</v>
      </c>
      <c r="C1575">
        <v>370.58</v>
      </c>
      <c r="D1575">
        <v>43.84</v>
      </c>
      <c r="E1575" t="s">
        <v>9</v>
      </c>
      <c r="F1575">
        <v>72.78</v>
      </c>
      <c r="G1575" t="s">
        <v>20</v>
      </c>
      <c r="H1575" t="s">
        <v>11</v>
      </c>
    </row>
    <row r="1576" spans="1:8" x14ac:dyDescent="0.25">
      <c r="A1576" s="1">
        <v>45663.583333333336</v>
      </c>
      <c r="B1576" t="s">
        <v>19</v>
      </c>
      <c r="C1576">
        <v>223.89</v>
      </c>
      <c r="D1576">
        <v>46.9</v>
      </c>
      <c r="E1576" t="s">
        <v>9</v>
      </c>
      <c r="F1576">
        <v>40.01</v>
      </c>
      <c r="G1576" t="s">
        <v>20</v>
      </c>
      <c r="H1576" t="s">
        <v>13</v>
      </c>
    </row>
    <row r="1577" spans="1:8" x14ac:dyDescent="0.25">
      <c r="A1577" s="1">
        <v>45663.625</v>
      </c>
      <c r="B1577" t="s">
        <v>19</v>
      </c>
      <c r="C1577">
        <v>387.25</v>
      </c>
      <c r="D1577">
        <v>57.69</v>
      </c>
      <c r="E1577" t="s">
        <v>9</v>
      </c>
      <c r="F1577">
        <v>81.95</v>
      </c>
      <c r="G1577" t="s">
        <v>20</v>
      </c>
      <c r="H1577" t="s">
        <v>12</v>
      </c>
    </row>
    <row r="1578" spans="1:8" x14ac:dyDescent="0.25">
      <c r="A1578" s="1">
        <v>45663.666666666664</v>
      </c>
      <c r="B1578" t="s">
        <v>19</v>
      </c>
      <c r="C1578">
        <v>317.97000000000003</v>
      </c>
      <c r="D1578">
        <v>50.4</v>
      </c>
      <c r="E1578" t="s">
        <v>9</v>
      </c>
      <c r="F1578">
        <v>55.34</v>
      </c>
      <c r="G1578" t="s">
        <v>20</v>
      </c>
      <c r="H1578" t="s">
        <v>11</v>
      </c>
    </row>
    <row r="1579" spans="1:8" x14ac:dyDescent="0.25">
      <c r="A1579" s="1">
        <v>45663.708333333336</v>
      </c>
      <c r="B1579" t="s">
        <v>19</v>
      </c>
      <c r="C1579">
        <v>217.53</v>
      </c>
      <c r="D1579">
        <v>22.77</v>
      </c>
      <c r="E1579" t="s">
        <v>9</v>
      </c>
      <c r="F1579">
        <v>45.1</v>
      </c>
      <c r="G1579" t="s">
        <v>20</v>
      </c>
      <c r="H1579" t="s">
        <v>13</v>
      </c>
    </row>
    <row r="1580" spans="1:8" x14ac:dyDescent="0.25">
      <c r="A1580" s="1">
        <v>45663.75</v>
      </c>
      <c r="B1580" t="s">
        <v>19</v>
      </c>
      <c r="C1580">
        <v>374.3</v>
      </c>
      <c r="D1580">
        <v>17.920000000000002</v>
      </c>
      <c r="E1580" t="s">
        <v>9</v>
      </c>
      <c r="F1580">
        <v>69.069999999999993</v>
      </c>
      <c r="G1580" t="s">
        <v>20</v>
      </c>
      <c r="H1580" t="s">
        <v>13</v>
      </c>
    </row>
    <row r="1581" spans="1:8" x14ac:dyDescent="0.25">
      <c r="A1581" s="1">
        <v>45663.791666666664</v>
      </c>
      <c r="B1581" t="s">
        <v>19</v>
      </c>
      <c r="C1581">
        <v>72.11</v>
      </c>
      <c r="D1581">
        <v>41.11</v>
      </c>
      <c r="E1581" t="s">
        <v>9</v>
      </c>
      <c r="F1581">
        <v>60.56</v>
      </c>
      <c r="G1581" t="s">
        <v>20</v>
      </c>
      <c r="H1581" t="s">
        <v>12</v>
      </c>
    </row>
    <row r="1582" spans="1:8" x14ac:dyDescent="0.25">
      <c r="A1582" s="1">
        <v>45663.833333333336</v>
      </c>
      <c r="B1582" t="s">
        <v>19</v>
      </c>
      <c r="C1582">
        <v>298.41000000000003</v>
      </c>
      <c r="D1582">
        <v>42.94</v>
      </c>
      <c r="E1582" t="s">
        <v>9</v>
      </c>
      <c r="F1582">
        <v>87.96</v>
      </c>
      <c r="G1582" t="s">
        <v>20</v>
      </c>
      <c r="H1582" t="s">
        <v>13</v>
      </c>
    </row>
    <row r="1583" spans="1:8" x14ac:dyDescent="0.25">
      <c r="A1583" s="1">
        <v>45663.875</v>
      </c>
      <c r="B1583" t="s">
        <v>19</v>
      </c>
      <c r="C1583">
        <v>70.5</v>
      </c>
      <c r="D1583">
        <v>38.32</v>
      </c>
      <c r="E1583" t="s">
        <v>9</v>
      </c>
      <c r="F1583">
        <v>61.87</v>
      </c>
      <c r="G1583" t="s">
        <v>20</v>
      </c>
      <c r="H1583" t="s">
        <v>12</v>
      </c>
    </row>
    <row r="1584" spans="1:8" x14ac:dyDescent="0.25">
      <c r="A1584" s="1">
        <v>45663.916666666664</v>
      </c>
      <c r="B1584" t="s">
        <v>19</v>
      </c>
      <c r="C1584">
        <v>173.23</v>
      </c>
      <c r="D1584">
        <v>24.64</v>
      </c>
      <c r="E1584" t="s">
        <v>9</v>
      </c>
      <c r="F1584">
        <v>79.150000000000006</v>
      </c>
      <c r="G1584" t="s">
        <v>20</v>
      </c>
      <c r="H1584" t="s">
        <v>12</v>
      </c>
    </row>
    <row r="1585" spans="1:8" x14ac:dyDescent="0.25">
      <c r="A1585" s="1">
        <v>45663.958333333336</v>
      </c>
      <c r="B1585" t="s">
        <v>19</v>
      </c>
      <c r="C1585">
        <v>198.29</v>
      </c>
      <c r="D1585">
        <v>44.91</v>
      </c>
      <c r="E1585" t="s">
        <v>9</v>
      </c>
      <c r="F1585">
        <v>67.08</v>
      </c>
      <c r="G1585" t="s">
        <v>20</v>
      </c>
      <c r="H1585" t="s">
        <v>12</v>
      </c>
    </row>
    <row r="1586" spans="1:8" x14ac:dyDescent="0.25">
      <c r="A1586" s="1">
        <v>45664</v>
      </c>
      <c r="B1586" t="s">
        <v>19</v>
      </c>
      <c r="C1586">
        <v>247.99</v>
      </c>
      <c r="D1586">
        <v>52.09</v>
      </c>
      <c r="E1586" t="s">
        <v>9</v>
      </c>
      <c r="F1586">
        <v>76.17</v>
      </c>
      <c r="G1586" t="s">
        <v>20</v>
      </c>
      <c r="H1586" t="s">
        <v>12</v>
      </c>
    </row>
    <row r="1587" spans="1:8" x14ac:dyDescent="0.25">
      <c r="A1587" s="1">
        <v>45664.041666666664</v>
      </c>
      <c r="B1587" t="s">
        <v>19</v>
      </c>
      <c r="C1587">
        <v>252.68</v>
      </c>
      <c r="D1587">
        <v>66.38</v>
      </c>
      <c r="E1587" t="s">
        <v>9</v>
      </c>
      <c r="F1587">
        <v>87.17</v>
      </c>
      <c r="G1587" t="s">
        <v>20</v>
      </c>
      <c r="H1587" t="s">
        <v>11</v>
      </c>
    </row>
    <row r="1588" spans="1:8" x14ac:dyDescent="0.25">
      <c r="A1588" s="1">
        <v>45664.083333333336</v>
      </c>
      <c r="B1588" t="s">
        <v>19</v>
      </c>
      <c r="C1588">
        <v>380.51</v>
      </c>
      <c r="D1588">
        <v>52.12</v>
      </c>
      <c r="E1588" t="s">
        <v>9</v>
      </c>
      <c r="F1588">
        <v>42.68</v>
      </c>
      <c r="G1588" t="s">
        <v>20</v>
      </c>
      <c r="H1588" t="s">
        <v>12</v>
      </c>
    </row>
    <row r="1589" spans="1:8" x14ac:dyDescent="0.25">
      <c r="A1589" s="1">
        <v>45664.125</v>
      </c>
      <c r="B1589" t="s">
        <v>19</v>
      </c>
      <c r="C1589">
        <v>191.53</v>
      </c>
      <c r="D1589">
        <v>70.72</v>
      </c>
      <c r="E1589" t="s">
        <v>9</v>
      </c>
      <c r="F1589">
        <v>79.58</v>
      </c>
      <c r="G1589" t="s">
        <v>20</v>
      </c>
      <c r="H1589" t="s">
        <v>13</v>
      </c>
    </row>
    <row r="1590" spans="1:8" x14ac:dyDescent="0.25">
      <c r="A1590" s="1">
        <v>45664.166666666664</v>
      </c>
      <c r="B1590" t="s">
        <v>19</v>
      </c>
      <c r="C1590">
        <v>76.87</v>
      </c>
      <c r="D1590">
        <v>94.42</v>
      </c>
      <c r="E1590" t="s">
        <v>14</v>
      </c>
      <c r="F1590">
        <v>34.32</v>
      </c>
      <c r="G1590" t="s">
        <v>20</v>
      </c>
      <c r="H1590" t="s">
        <v>13</v>
      </c>
    </row>
    <row r="1591" spans="1:8" x14ac:dyDescent="0.25">
      <c r="A1591" s="1">
        <v>45664.208333333336</v>
      </c>
      <c r="B1591" t="s">
        <v>19</v>
      </c>
      <c r="C1591">
        <v>208.86</v>
      </c>
      <c r="D1591">
        <v>92.52</v>
      </c>
      <c r="E1591" t="s">
        <v>14</v>
      </c>
      <c r="F1591">
        <v>49.12</v>
      </c>
      <c r="G1591" t="s">
        <v>20</v>
      </c>
      <c r="H1591" t="s">
        <v>11</v>
      </c>
    </row>
    <row r="1592" spans="1:8" x14ac:dyDescent="0.25">
      <c r="A1592" s="1">
        <v>45664.25</v>
      </c>
      <c r="B1592" t="s">
        <v>19</v>
      </c>
      <c r="C1592">
        <v>405.2</v>
      </c>
      <c r="D1592">
        <v>57.11</v>
      </c>
      <c r="E1592" t="s">
        <v>9</v>
      </c>
      <c r="F1592">
        <v>47.54</v>
      </c>
      <c r="G1592" t="s">
        <v>20</v>
      </c>
      <c r="H1592" t="s">
        <v>11</v>
      </c>
    </row>
    <row r="1593" spans="1:8" x14ac:dyDescent="0.25">
      <c r="A1593" s="1">
        <v>45664.291666666664</v>
      </c>
      <c r="B1593" t="s">
        <v>19</v>
      </c>
      <c r="C1593">
        <v>283.75</v>
      </c>
      <c r="D1593">
        <v>51.82</v>
      </c>
      <c r="E1593" t="s">
        <v>9</v>
      </c>
      <c r="F1593">
        <v>81.64</v>
      </c>
      <c r="G1593" t="s">
        <v>20</v>
      </c>
      <c r="H1593" t="s">
        <v>12</v>
      </c>
    </row>
    <row r="1594" spans="1:8" x14ac:dyDescent="0.25">
      <c r="A1594" s="1">
        <v>45664.333333333336</v>
      </c>
      <c r="B1594" t="s">
        <v>19</v>
      </c>
      <c r="C1594">
        <v>245.13</v>
      </c>
      <c r="D1594">
        <v>60.13</v>
      </c>
      <c r="E1594" t="s">
        <v>9</v>
      </c>
      <c r="F1594">
        <v>82.6</v>
      </c>
      <c r="G1594" t="s">
        <v>20</v>
      </c>
      <c r="H1594" t="s">
        <v>11</v>
      </c>
    </row>
    <row r="1595" spans="1:8" x14ac:dyDescent="0.25">
      <c r="A1595" s="1">
        <v>45664.375</v>
      </c>
      <c r="B1595" t="s">
        <v>19</v>
      </c>
      <c r="C1595">
        <v>287.95999999999998</v>
      </c>
      <c r="D1595">
        <v>75.06</v>
      </c>
      <c r="E1595" t="s">
        <v>9</v>
      </c>
      <c r="F1595">
        <v>56.36</v>
      </c>
      <c r="G1595" t="s">
        <v>20</v>
      </c>
      <c r="H1595" t="s">
        <v>11</v>
      </c>
    </row>
    <row r="1596" spans="1:8" x14ac:dyDescent="0.25">
      <c r="A1596" s="1">
        <v>45664.416666666664</v>
      </c>
      <c r="B1596" t="s">
        <v>19</v>
      </c>
      <c r="C1596">
        <v>142.16</v>
      </c>
      <c r="D1596">
        <v>44.06</v>
      </c>
      <c r="E1596" t="s">
        <v>9</v>
      </c>
      <c r="F1596">
        <v>68.05</v>
      </c>
      <c r="G1596" t="s">
        <v>20</v>
      </c>
      <c r="H1596" t="s">
        <v>11</v>
      </c>
    </row>
    <row r="1597" spans="1:8" x14ac:dyDescent="0.25">
      <c r="A1597" s="1">
        <v>45664.458333333336</v>
      </c>
      <c r="B1597" t="s">
        <v>19</v>
      </c>
      <c r="C1597">
        <v>450</v>
      </c>
      <c r="D1597">
        <v>65.97</v>
      </c>
      <c r="E1597" t="s">
        <v>9</v>
      </c>
      <c r="F1597">
        <v>68.61</v>
      </c>
      <c r="G1597" t="s">
        <v>20</v>
      </c>
      <c r="H1597" t="s">
        <v>13</v>
      </c>
    </row>
    <row r="1598" spans="1:8" x14ac:dyDescent="0.25">
      <c r="A1598" s="1">
        <v>45664.5</v>
      </c>
      <c r="B1598" t="s">
        <v>19</v>
      </c>
      <c r="C1598">
        <v>278.76</v>
      </c>
      <c r="D1598">
        <v>47.25</v>
      </c>
      <c r="E1598" t="s">
        <v>9</v>
      </c>
      <c r="F1598">
        <v>81.97</v>
      </c>
      <c r="G1598" t="s">
        <v>20</v>
      </c>
      <c r="H1598" t="s">
        <v>12</v>
      </c>
    </row>
    <row r="1599" spans="1:8" x14ac:dyDescent="0.25">
      <c r="A1599" s="1">
        <v>45664.541666666664</v>
      </c>
      <c r="B1599" t="s">
        <v>19</v>
      </c>
      <c r="C1599">
        <v>195.79</v>
      </c>
      <c r="D1599">
        <v>68.989999999999995</v>
      </c>
      <c r="E1599" t="s">
        <v>9</v>
      </c>
      <c r="F1599">
        <v>63.79</v>
      </c>
      <c r="G1599" t="s">
        <v>20</v>
      </c>
      <c r="H1599" t="s">
        <v>11</v>
      </c>
    </row>
    <row r="1600" spans="1:8" x14ac:dyDescent="0.25">
      <c r="A1600" s="1">
        <v>45664.583333333336</v>
      </c>
      <c r="B1600" t="s">
        <v>19</v>
      </c>
      <c r="C1600">
        <v>189.47</v>
      </c>
      <c r="D1600">
        <v>86.9</v>
      </c>
      <c r="E1600" t="s">
        <v>14</v>
      </c>
      <c r="F1600">
        <v>71.290000000000006</v>
      </c>
      <c r="G1600" t="s">
        <v>20</v>
      </c>
      <c r="H1600" t="s">
        <v>13</v>
      </c>
    </row>
    <row r="1601" spans="1:8" x14ac:dyDescent="0.25">
      <c r="A1601" s="1">
        <v>45664.625</v>
      </c>
      <c r="B1601" t="s">
        <v>19</v>
      </c>
      <c r="C1601">
        <v>403.75</v>
      </c>
      <c r="D1601">
        <v>23.85</v>
      </c>
      <c r="E1601" t="s">
        <v>9</v>
      </c>
      <c r="F1601">
        <v>36.979999999999997</v>
      </c>
      <c r="G1601" t="s">
        <v>20</v>
      </c>
      <c r="H1601" t="s">
        <v>13</v>
      </c>
    </row>
    <row r="1602" spans="1:8" x14ac:dyDescent="0.25">
      <c r="A1602" s="1">
        <v>45664.666666666664</v>
      </c>
      <c r="B1602" t="s">
        <v>19</v>
      </c>
      <c r="C1602">
        <v>397.17</v>
      </c>
      <c r="D1602">
        <v>15.64</v>
      </c>
      <c r="E1602" t="s">
        <v>9</v>
      </c>
      <c r="F1602">
        <v>70.25</v>
      </c>
      <c r="G1602" t="s">
        <v>20</v>
      </c>
      <c r="H1602" t="s">
        <v>13</v>
      </c>
    </row>
    <row r="1603" spans="1:8" x14ac:dyDescent="0.25">
      <c r="A1603" s="1">
        <v>45664.708333333336</v>
      </c>
      <c r="B1603" t="s">
        <v>19</v>
      </c>
      <c r="C1603">
        <v>121.98</v>
      </c>
      <c r="D1603">
        <v>15.15</v>
      </c>
      <c r="E1603" t="s">
        <v>9</v>
      </c>
      <c r="F1603">
        <v>76.930000000000007</v>
      </c>
      <c r="G1603" t="s">
        <v>20</v>
      </c>
      <c r="H1603" t="s">
        <v>11</v>
      </c>
    </row>
    <row r="1604" spans="1:8" x14ac:dyDescent="0.25">
      <c r="A1604" s="1">
        <v>45664.75</v>
      </c>
      <c r="B1604" t="s">
        <v>19</v>
      </c>
      <c r="C1604">
        <v>60.04</v>
      </c>
      <c r="D1604">
        <v>63.37</v>
      </c>
      <c r="E1604" t="s">
        <v>9</v>
      </c>
      <c r="F1604">
        <v>52.07</v>
      </c>
      <c r="G1604" t="s">
        <v>20</v>
      </c>
      <c r="H1604" t="s">
        <v>13</v>
      </c>
    </row>
    <row r="1605" spans="1:8" x14ac:dyDescent="0.25">
      <c r="A1605" s="1">
        <v>45664.791666666664</v>
      </c>
      <c r="B1605" t="s">
        <v>19</v>
      </c>
      <c r="C1605">
        <v>157.82</v>
      </c>
      <c r="D1605">
        <v>64.33</v>
      </c>
      <c r="E1605" t="s">
        <v>9</v>
      </c>
      <c r="F1605">
        <v>40.71</v>
      </c>
      <c r="G1605" t="s">
        <v>20</v>
      </c>
      <c r="H1605" t="s">
        <v>12</v>
      </c>
    </row>
    <row r="1606" spans="1:8" x14ac:dyDescent="0.25">
      <c r="A1606" s="1">
        <v>45664.833333333336</v>
      </c>
      <c r="B1606" t="s">
        <v>19</v>
      </c>
      <c r="C1606">
        <v>130.84</v>
      </c>
      <c r="D1606">
        <v>67.680000000000007</v>
      </c>
      <c r="E1606" t="s">
        <v>9</v>
      </c>
      <c r="F1606">
        <v>70.33</v>
      </c>
      <c r="G1606" t="s">
        <v>20</v>
      </c>
      <c r="H1606" t="s">
        <v>12</v>
      </c>
    </row>
    <row r="1607" spans="1:8" x14ac:dyDescent="0.25">
      <c r="A1607" s="1">
        <v>45664.875</v>
      </c>
      <c r="B1607" t="s">
        <v>19</v>
      </c>
      <c r="C1607">
        <v>196.14</v>
      </c>
      <c r="D1607">
        <v>81.63</v>
      </c>
      <c r="E1607" t="s">
        <v>9</v>
      </c>
      <c r="F1607">
        <v>75.709999999999994</v>
      </c>
      <c r="G1607" t="s">
        <v>20</v>
      </c>
      <c r="H1607" t="s">
        <v>13</v>
      </c>
    </row>
    <row r="1608" spans="1:8" x14ac:dyDescent="0.25">
      <c r="A1608" s="1">
        <v>45664.916666666664</v>
      </c>
      <c r="B1608" t="s">
        <v>19</v>
      </c>
      <c r="C1608">
        <v>290.27999999999997</v>
      </c>
      <c r="D1608">
        <v>19</v>
      </c>
      <c r="E1608" t="s">
        <v>9</v>
      </c>
      <c r="F1608">
        <v>42.52</v>
      </c>
      <c r="G1608" t="s">
        <v>20</v>
      </c>
      <c r="H1608" t="s">
        <v>12</v>
      </c>
    </row>
    <row r="1609" spans="1:8" x14ac:dyDescent="0.25">
      <c r="A1609" s="1">
        <v>45664.958333333336</v>
      </c>
      <c r="B1609" t="s">
        <v>19</v>
      </c>
      <c r="C1609">
        <v>88.69</v>
      </c>
      <c r="D1609">
        <v>82.31</v>
      </c>
      <c r="E1609" t="s">
        <v>9</v>
      </c>
      <c r="F1609">
        <v>73.08</v>
      </c>
      <c r="G1609" t="s">
        <v>20</v>
      </c>
      <c r="H1609" t="s">
        <v>12</v>
      </c>
    </row>
    <row r="1610" spans="1:8" x14ac:dyDescent="0.25">
      <c r="A1610" s="1">
        <v>45665</v>
      </c>
      <c r="B1610" t="s">
        <v>19</v>
      </c>
      <c r="C1610">
        <v>202.43</v>
      </c>
      <c r="D1610">
        <v>59.5</v>
      </c>
      <c r="E1610" t="s">
        <v>9</v>
      </c>
      <c r="F1610">
        <v>65.59</v>
      </c>
      <c r="G1610" t="s">
        <v>20</v>
      </c>
      <c r="H1610" t="s">
        <v>11</v>
      </c>
    </row>
    <row r="1611" spans="1:8" x14ac:dyDescent="0.25">
      <c r="A1611" s="1">
        <v>45665.041666666664</v>
      </c>
      <c r="B1611" t="s">
        <v>19</v>
      </c>
      <c r="C1611">
        <v>320.10000000000002</v>
      </c>
      <c r="D1611">
        <v>93.13</v>
      </c>
      <c r="E1611" t="s">
        <v>14</v>
      </c>
      <c r="F1611">
        <v>68.53</v>
      </c>
      <c r="G1611" t="s">
        <v>20</v>
      </c>
      <c r="H1611" t="s">
        <v>12</v>
      </c>
    </row>
    <row r="1612" spans="1:8" x14ac:dyDescent="0.25">
      <c r="A1612" s="1">
        <v>45665.083333333336</v>
      </c>
      <c r="B1612" t="s">
        <v>19</v>
      </c>
      <c r="C1612">
        <v>196.43</v>
      </c>
      <c r="D1612">
        <v>30.15</v>
      </c>
      <c r="E1612" t="s">
        <v>9</v>
      </c>
      <c r="F1612">
        <v>68.03</v>
      </c>
      <c r="G1612" t="s">
        <v>20</v>
      </c>
      <c r="H1612" t="s">
        <v>12</v>
      </c>
    </row>
    <row r="1613" spans="1:8" x14ac:dyDescent="0.25">
      <c r="A1613" s="1">
        <v>45665.125</v>
      </c>
      <c r="B1613" t="s">
        <v>19</v>
      </c>
      <c r="C1613">
        <v>312.72000000000003</v>
      </c>
      <c r="D1613">
        <v>68.38</v>
      </c>
      <c r="E1613" t="s">
        <v>9</v>
      </c>
      <c r="F1613">
        <v>89.41</v>
      </c>
      <c r="G1613" t="s">
        <v>20</v>
      </c>
      <c r="H1613" t="s">
        <v>12</v>
      </c>
    </row>
    <row r="1614" spans="1:8" x14ac:dyDescent="0.25">
      <c r="A1614" s="1">
        <v>45665.166666666664</v>
      </c>
      <c r="B1614" t="s">
        <v>19</v>
      </c>
      <c r="C1614">
        <v>290.95999999999998</v>
      </c>
      <c r="D1614">
        <v>88.43</v>
      </c>
      <c r="E1614" t="s">
        <v>14</v>
      </c>
      <c r="F1614">
        <v>71.14</v>
      </c>
      <c r="G1614" t="s">
        <v>20</v>
      </c>
      <c r="H1614" t="s">
        <v>13</v>
      </c>
    </row>
    <row r="1615" spans="1:8" x14ac:dyDescent="0.25">
      <c r="A1615" s="1">
        <v>45665.208333333336</v>
      </c>
      <c r="B1615" t="s">
        <v>19</v>
      </c>
      <c r="C1615">
        <v>323.43</v>
      </c>
      <c r="D1615">
        <v>26.44</v>
      </c>
      <c r="E1615" t="s">
        <v>9</v>
      </c>
      <c r="F1615">
        <v>42.4</v>
      </c>
      <c r="G1615" t="s">
        <v>20</v>
      </c>
      <c r="H1615" t="s">
        <v>11</v>
      </c>
    </row>
    <row r="1616" spans="1:8" x14ac:dyDescent="0.25">
      <c r="A1616" s="1">
        <v>45665.25</v>
      </c>
      <c r="B1616" t="s">
        <v>19</v>
      </c>
      <c r="C1616">
        <v>330.15</v>
      </c>
      <c r="D1616">
        <v>29.28</v>
      </c>
      <c r="E1616" t="s">
        <v>9</v>
      </c>
      <c r="F1616">
        <v>64.14</v>
      </c>
      <c r="G1616" t="s">
        <v>20</v>
      </c>
      <c r="H1616" t="s">
        <v>11</v>
      </c>
    </row>
    <row r="1617" spans="1:8" x14ac:dyDescent="0.25">
      <c r="A1617" s="1">
        <v>45665.291666666664</v>
      </c>
      <c r="B1617" t="s">
        <v>19</v>
      </c>
      <c r="C1617">
        <v>197.19</v>
      </c>
      <c r="D1617">
        <v>53.53</v>
      </c>
      <c r="E1617" t="s">
        <v>9</v>
      </c>
      <c r="F1617">
        <v>86.47</v>
      </c>
      <c r="G1617" t="s">
        <v>20</v>
      </c>
      <c r="H1617" t="s">
        <v>11</v>
      </c>
    </row>
    <row r="1618" spans="1:8" x14ac:dyDescent="0.25">
      <c r="A1618" s="1">
        <v>45665.333333333336</v>
      </c>
      <c r="B1618" t="s">
        <v>19</v>
      </c>
      <c r="C1618">
        <v>418.77</v>
      </c>
      <c r="D1618">
        <v>75.67</v>
      </c>
      <c r="E1618" t="s">
        <v>9</v>
      </c>
      <c r="F1618">
        <v>89.28</v>
      </c>
      <c r="G1618" t="s">
        <v>20</v>
      </c>
      <c r="H1618" t="s">
        <v>11</v>
      </c>
    </row>
    <row r="1619" spans="1:8" x14ac:dyDescent="0.25">
      <c r="A1619" s="1">
        <v>45665.375</v>
      </c>
      <c r="B1619" t="s">
        <v>19</v>
      </c>
      <c r="C1619">
        <v>461.96</v>
      </c>
      <c r="D1619">
        <v>76.91</v>
      </c>
      <c r="E1619" t="s">
        <v>9</v>
      </c>
      <c r="F1619">
        <v>43.7</v>
      </c>
      <c r="G1619" t="s">
        <v>20</v>
      </c>
      <c r="H1619" t="s">
        <v>12</v>
      </c>
    </row>
    <row r="1620" spans="1:8" x14ac:dyDescent="0.25">
      <c r="A1620" s="1">
        <v>45665.416666666664</v>
      </c>
      <c r="B1620" t="s">
        <v>19</v>
      </c>
      <c r="C1620">
        <v>460.18</v>
      </c>
      <c r="D1620">
        <v>94.84</v>
      </c>
      <c r="E1620" t="s">
        <v>14</v>
      </c>
      <c r="F1620">
        <v>40.840000000000003</v>
      </c>
      <c r="G1620" t="s">
        <v>20</v>
      </c>
      <c r="H1620" t="s">
        <v>13</v>
      </c>
    </row>
    <row r="1621" spans="1:8" x14ac:dyDescent="0.25">
      <c r="A1621" s="1">
        <v>45665.458333333336</v>
      </c>
      <c r="B1621" t="s">
        <v>19</v>
      </c>
      <c r="C1621">
        <v>347.51</v>
      </c>
      <c r="D1621">
        <v>17.559999999999999</v>
      </c>
      <c r="E1621" t="s">
        <v>9</v>
      </c>
      <c r="F1621">
        <v>80.2</v>
      </c>
      <c r="G1621" t="s">
        <v>20</v>
      </c>
      <c r="H1621" t="s">
        <v>12</v>
      </c>
    </row>
    <row r="1622" spans="1:8" x14ac:dyDescent="0.25">
      <c r="A1622" s="1">
        <v>45665.5</v>
      </c>
      <c r="B1622" t="s">
        <v>19</v>
      </c>
      <c r="C1622">
        <v>75.61</v>
      </c>
      <c r="D1622">
        <v>18.25</v>
      </c>
      <c r="E1622" t="s">
        <v>9</v>
      </c>
      <c r="F1622">
        <v>55.65</v>
      </c>
      <c r="G1622" t="s">
        <v>20</v>
      </c>
      <c r="H1622" t="s">
        <v>13</v>
      </c>
    </row>
    <row r="1623" spans="1:8" x14ac:dyDescent="0.25">
      <c r="A1623" s="1">
        <v>45665.541666666664</v>
      </c>
      <c r="B1623" t="s">
        <v>19</v>
      </c>
      <c r="C1623">
        <v>248.58</v>
      </c>
      <c r="D1623">
        <v>19.309999999999999</v>
      </c>
      <c r="E1623" t="s">
        <v>9</v>
      </c>
      <c r="F1623">
        <v>54.09</v>
      </c>
      <c r="G1623" t="s">
        <v>20</v>
      </c>
      <c r="H1623" t="s">
        <v>13</v>
      </c>
    </row>
    <row r="1624" spans="1:8" x14ac:dyDescent="0.25">
      <c r="A1624" s="1">
        <v>45665.583333333336</v>
      </c>
      <c r="B1624" t="s">
        <v>19</v>
      </c>
      <c r="C1624">
        <v>272.11</v>
      </c>
      <c r="D1624">
        <v>70.41</v>
      </c>
      <c r="E1624" t="s">
        <v>9</v>
      </c>
      <c r="F1624">
        <v>46.27</v>
      </c>
      <c r="G1624" t="s">
        <v>20</v>
      </c>
      <c r="H1624" t="s">
        <v>13</v>
      </c>
    </row>
    <row r="1625" spans="1:8" x14ac:dyDescent="0.25">
      <c r="A1625" s="1">
        <v>45665.625</v>
      </c>
      <c r="B1625" t="s">
        <v>19</v>
      </c>
      <c r="C1625">
        <v>366.18</v>
      </c>
      <c r="D1625">
        <v>90.36</v>
      </c>
      <c r="E1625" t="s">
        <v>14</v>
      </c>
      <c r="F1625">
        <v>46.02</v>
      </c>
      <c r="G1625" t="s">
        <v>20</v>
      </c>
      <c r="H1625" t="s">
        <v>12</v>
      </c>
    </row>
    <row r="1626" spans="1:8" x14ac:dyDescent="0.25">
      <c r="A1626" s="1">
        <v>45665.666666666664</v>
      </c>
      <c r="B1626" t="s">
        <v>19</v>
      </c>
      <c r="C1626">
        <v>227.25</v>
      </c>
      <c r="D1626">
        <v>38.17</v>
      </c>
      <c r="E1626" t="s">
        <v>9</v>
      </c>
      <c r="F1626">
        <v>69.459999999999994</v>
      </c>
      <c r="G1626" t="s">
        <v>20</v>
      </c>
      <c r="H1626" t="s">
        <v>11</v>
      </c>
    </row>
    <row r="1627" spans="1:8" x14ac:dyDescent="0.25">
      <c r="A1627" s="1">
        <v>45665.708333333336</v>
      </c>
      <c r="B1627" t="s">
        <v>19</v>
      </c>
      <c r="C1627">
        <v>332.48</v>
      </c>
      <c r="D1627">
        <v>29.12</v>
      </c>
      <c r="E1627" t="s">
        <v>9</v>
      </c>
      <c r="F1627">
        <v>60.61</v>
      </c>
      <c r="G1627" t="s">
        <v>20</v>
      </c>
      <c r="H1627" t="s">
        <v>12</v>
      </c>
    </row>
    <row r="1628" spans="1:8" x14ac:dyDescent="0.25">
      <c r="A1628" s="1">
        <v>45665.75</v>
      </c>
      <c r="B1628" t="s">
        <v>19</v>
      </c>
      <c r="C1628">
        <v>258.24</v>
      </c>
      <c r="D1628">
        <v>58.05</v>
      </c>
      <c r="E1628" t="s">
        <v>9</v>
      </c>
      <c r="F1628">
        <v>70.260000000000005</v>
      </c>
      <c r="G1628" t="s">
        <v>20</v>
      </c>
      <c r="H1628" t="s">
        <v>13</v>
      </c>
    </row>
    <row r="1629" spans="1:8" x14ac:dyDescent="0.25">
      <c r="A1629" s="1">
        <v>45665.791666666664</v>
      </c>
      <c r="B1629" t="s">
        <v>19</v>
      </c>
      <c r="C1629">
        <v>153.93</v>
      </c>
      <c r="D1629">
        <v>84.81</v>
      </c>
      <c r="E1629" t="s">
        <v>9</v>
      </c>
      <c r="F1629">
        <v>40.26</v>
      </c>
      <c r="G1629" t="s">
        <v>20</v>
      </c>
      <c r="H1629" t="s">
        <v>12</v>
      </c>
    </row>
    <row r="1630" spans="1:8" x14ac:dyDescent="0.25">
      <c r="A1630" s="1">
        <v>45665.833333333336</v>
      </c>
      <c r="B1630" t="s">
        <v>19</v>
      </c>
      <c r="C1630">
        <v>350.76</v>
      </c>
      <c r="D1630">
        <v>32.49</v>
      </c>
      <c r="E1630" t="s">
        <v>9</v>
      </c>
      <c r="F1630">
        <v>49.04</v>
      </c>
      <c r="G1630" t="s">
        <v>20</v>
      </c>
      <c r="H1630" t="s">
        <v>11</v>
      </c>
    </row>
    <row r="1631" spans="1:8" x14ac:dyDescent="0.25">
      <c r="A1631" s="1">
        <v>45665.875</v>
      </c>
      <c r="B1631" t="s">
        <v>19</v>
      </c>
      <c r="C1631">
        <v>208.01</v>
      </c>
      <c r="D1631">
        <v>43.25</v>
      </c>
      <c r="E1631" t="s">
        <v>9</v>
      </c>
      <c r="F1631">
        <v>81.13</v>
      </c>
      <c r="G1631" t="s">
        <v>20</v>
      </c>
      <c r="H1631" t="s">
        <v>11</v>
      </c>
    </row>
    <row r="1632" spans="1:8" x14ac:dyDescent="0.25">
      <c r="A1632" s="1">
        <v>45665.916666666664</v>
      </c>
      <c r="B1632" t="s">
        <v>19</v>
      </c>
      <c r="C1632">
        <v>486.94</v>
      </c>
      <c r="D1632">
        <v>93.63</v>
      </c>
      <c r="E1632" t="s">
        <v>14</v>
      </c>
      <c r="F1632">
        <v>64.78</v>
      </c>
      <c r="G1632" t="s">
        <v>20</v>
      </c>
      <c r="H1632" t="s">
        <v>12</v>
      </c>
    </row>
    <row r="1633" spans="1:8" x14ac:dyDescent="0.25">
      <c r="A1633" s="1">
        <v>45665.958333333336</v>
      </c>
      <c r="B1633" t="s">
        <v>19</v>
      </c>
      <c r="C1633">
        <v>197.83</v>
      </c>
      <c r="D1633">
        <v>91.15</v>
      </c>
      <c r="E1633" t="s">
        <v>14</v>
      </c>
      <c r="F1633">
        <v>31.49</v>
      </c>
      <c r="G1633" t="s">
        <v>20</v>
      </c>
      <c r="H1633" t="s">
        <v>12</v>
      </c>
    </row>
    <row r="1634" spans="1:8" x14ac:dyDescent="0.25">
      <c r="A1634" s="1">
        <v>45666</v>
      </c>
      <c r="B1634" t="s">
        <v>19</v>
      </c>
      <c r="C1634">
        <v>453.11</v>
      </c>
      <c r="D1634">
        <v>36.25</v>
      </c>
      <c r="E1634" t="s">
        <v>9</v>
      </c>
      <c r="F1634">
        <v>46.38</v>
      </c>
      <c r="G1634" t="s">
        <v>20</v>
      </c>
      <c r="H1634" t="s">
        <v>11</v>
      </c>
    </row>
    <row r="1635" spans="1:8" x14ac:dyDescent="0.25">
      <c r="A1635" s="1">
        <v>45666.041666666664</v>
      </c>
      <c r="B1635" t="s">
        <v>19</v>
      </c>
      <c r="C1635">
        <v>295.64</v>
      </c>
      <c r="D1635">
        <v>41.4</v>
      </c>
      <c r="E1635" t="s">
        <v>9</v>
      </c>
      <c r="F1635">
        <v>45.05</v>
      </c>
      <c r="G1635" t="s">
        <v>20</v>
      </c>
      <c r="H1635" t="s">
        <v>12</v>
      </c>
    </row>
    <row r="1636" spans="1:8" x14ac:dyDescent="0.25">
      <c r="A1636" s="1">
        <v>45666.083333333336</v>
      </c>
      <c r="B1636" t="s">
        <v>19</v>
      </c>
      <c r="C1636">
        <v>143.62</v>
      </c>
      <c r="D1636">
        <v>40.229999999999997</v>
      </c>
      <c r="E1636" t="s">
        <v>9</v>
      </c>
      <c r="F1636">
        <v>68.19</v>
      </c>
      <c r="G1636" t="s">
        <v>20</v>
      </c>
      <c r="H1636" t="s">
        <v>13</v>
      </c>
    </row>
    <row r="1637" spans="1:8" x14ac:dyDescent="0.25">
      <c r="A1637" s="1">
        <v>45666.125</v>
      </c>
      <c r="B1637" t="s">
        <v>19</v>
      </c>
      <c r="C1637">
        <v>289.8</v>
      </c>
      <c r="D1637">
        <v>75.489999999999995</v>
      </c>
      <c r="E1637" t="s">
        <v>9</v>
      </c>
      <c r="F1637">
        <v>75.78</v>
      </c>
      <c r="G1637" t="s">
        <v>20</v>
      </c>
      <c r="H1637" t="s">
        <v>12</v>
      </c>
    </row>
    <row r="1638" spans="1:8" x14ac:dyDescent="0.25">
      <c r="A1638" s="1">
        <v>45666.166666666664</v>
      </c>
      <c r="B1638" t="s">
        <v>19</v>
      </c>
      <c r="C1638">
        <v>101.19</v>
      </c>
      <c r="D1638">
        <v>25.23</v>
      </c>
      <c r="E1638" t="s">
        <v>9</v>
      </c>
      <c r="F1638">
        <v>48</v>
      </c>
      <c r="G1638" t="s">
        <v>20</v>
      </c>
      <c r="H1638" t="s">
        <v>12</v>
      </c>
    </row>
    <row r="1639" spans="1:8" x14ac:dyDescent="0.25">
      <c r="A1639" s="1">
        <v>45666.208333333336</v>
      </c>
      <c r="B1639" t="s">
        <v>19</v>
      </c>
      <c r="C1639">
        <v>69.89</v>
      </c>
      <c r="D1639">
        <v>33.82</v>
      </c>
      <c r="E1639" t="s">
        <v>9</v>
      </c>
      <c r="F1639">
        <v>75.930000000000007</v>
      </c>
      <c r="G1639" t="s">
        <v>20</v>
      </c>
      <c r="H1639" t="s">
        <v>13</v>
      </c>
    </row>
    <row r="1640" spans="1:8" x14ac:dyDescent="0.25">
      <c r="A1640" s="1">
        <v>45666.25</v>
      </c>
      <c r="B1640" t="s">
        <v>19</v>
      </c>
      <c r="C1640">
        <v>168.12</v>
      </c>
      <c r="D1640">
        <v>33.869999999999997</v>
      </c>
      <c r="E1640" t="s">
        <v>9</v>
      </c>
      <c r="F1640">
        <v>87.95</v>
      </c>
      <c r="G1640" t="s">
        <v>20</v>
      </c>
      <c r="H1640" t="s">
        <v>13</v>
      </c>
    </row>
    <row r="1641" spans="1:8" x14ac:dyDescent="0.25">
      <c r="A1641" s="1">
        <v>45666.291666666664</v>
      </c>
      <c r="B1641" t="s">
        <v>19</v>
      </c>
      <c r="C1641">
        <v>335.18</v>
      </c>
      <c r="D1641">
        <v>32</v>
      </c>
      <c r="E1641" t="s">
        <v>9</v>
      </c>
      <c r="F1641">
        <v>33.200000000000003</v>
      </c>
      <c r="G1641" t="s">
        <v>20</v>
      </c>
      <c r="H1641" t="s">
        <v>13</v>
      </c>
    </row>
    <row r="1642" spans="1:8" x14ac:dyDescent="0.25">
      <c r="A1642" s="1">
        <v>45666.333333333336</v>
      </c>
      <c r="B1642" t="s">
        <v>19</v>
      </c>
      <c r="C1642">
        <v>71.33</v>
      </c>
      <c r="D1642">
        <v>63.63</v>
      </c>
      <c r="E1642" t="s">
        <v>9</v>
      </c>
      <c r="F1642">
        <v>43.53</v>
      </c>
      <c r="G1642" t="s">
        <v>20</v>
      </c>
      <c r="H1642" t="s">
        <v>11</v>
      </c>
    </row>
    <row r="1643" spans="1:8" x14ac:dyDescent="0.25">
      <c r="A1643" s="1">
        <v>45666.375</v>
      </c>
      <c r="B1643" t="s">
        <v>19</v>
      </c>
      <c r="C1643">
        <v>193.07</v>
      </c>
      <c r="D1643">
        <v>58.86</v>
      </c>
      <c r="E1643" t="s">
        <v>9</v>
      </c>
      <c r="F1643">
        <v>73.84</v>
      </c>
      <c r="G1643" t="s">
        <v>20</v>
      </c>
      <c r="H1643" t="s">
        <v>12</v>
      </c>
    </row>
    <row r="1644" spans="1:8" x14ac:dyDescent="0.25">
      <c r="A1644" s="1">
        <v>45666.416666666664</v>
      </c>
      <c r="B1644" t="s">
        <v>19</v>
      </c>
      <c r="C1644">
        <v>164.32</v>
      </c>
      <c r="D1644">
        <v>38.840000000000003</v>
      </c>
      <c r="E1644" t="s">
        <v>9</v>
      </c>
      <c r="F1644">
        <v>80.06</v>
      </c>
      <c r="G1644" t="s">
        <v>20</v>
      </c>
      <c r="H1644" t="s">
        <v>12</v>
      </c>
    </row>
    <row r="1645" spans="1:8" x14ac:dyDescent="0.25">
      <c r="A1645" s="1">
        <v>45666.458333333336</v>
      </c>
      <c r="B1645" t="s">
        <v>19</v>
      </c>
      <c r="C1645">
        <v>348.95</v>
      </c>
      <c r="D1645">
        <v>31.33</v>
      </c>
      <c r="E1645" t="s">
        <v>9</v>
      </c>
      <c r="F1645">
        <v>55.97</v>
      </c>
      <c r="G1645" t="s">
        <v>20</v>
      </c>
      <c r="H1645" t="s">
        <v>13</v>
      </c>
    </row>
    <row r="1646" spans="1:8" x14ac:dyDescent="0.25">
      <c r="A1646" s="1">
        <v>45666.5</v>
      </c>
      <c r="B1646" t="s">
        <v>19</v>
      </c>
      <c r="C1646">
        <v>376.04</v>
      </c>
      <c r="D1646">
        <v>66.25</v>
      </c>
      <c r="E1646" t="s">
        <v>9</v>
      </c>
      <c r="F1646">
        <v>46.94</v>
      </c>
      <c r="G1646" t="s">
        <v>20</v>
      </c>
      <c r="H1646" t="s">
        <v>11</v>
      </c>
    </row>
    <row r="1647" spans="1:8" x14ac:dyDescent="0.25">
      <c r="A1647" s="1">
        <v>45666.541666666664</v>
      </c>
      <c r="B1647" t="s">
        <v>19</v>
      </c>
      <c r="C1647">
        <v>479.42</v>
      </c>
      <c r="D1647">
        <v>25.52</v>
      </c>
      <c r="E1647" t="s">
        <v>9</v>
      </c>
      <c r="F1647">
        <v>72.510000000000005</v>
      </c>
      <c r="G1647" t="s">
        <v>20</v>
      </c>
      <c r="H1647" t="s">
        <v>11</v>
      </c>
    </row>
    <row r="1648" spans="1:8" x14ac:dyDescent="0.25">
      <c r="A1648" s="1">
        <v>45666.583333333336</v>
      </c>
      <c r="B1648" t="s">
        <v>19</v>
      </c>
      <c r="C1648">
        <v>411.1</v>
      </c>
      <c r="D1648">
        <v>73.67</v>
      </c>
      <c r="E1648" t="s">
        <v>9</v>
      </c>
      <c r="F1648">
        <v>47.84</v>
      </c>
      <c r="G1648" t="s">
        <v>20</v>
      </c>
      <c r="H1648" t="s">
        <v>13</v>
      </c>
    </row>
    <row r="1649" spans="1:8" x14ac:dyDescent="0.25">
      <c r="A1649" s="1">
        <v>45666.625</v>
      </c>
      <c r="B1649" t="s">
        <v>19</v>
      </c>
      <c r="C1649">
        <v>114.15</v>
      </c>
      <c r="D1649">
        <v>81.900000000000006</v>
      </c>
      <c r="E1649" t="s">
        <v>9</v>
      </c>
      <c r="F1649">
        <v>73.87</v>
      </c>
      <c r="G1649" t="s">
        <v>20</v>
      </c>
      <c r="H1649" t="s">
        <v>12</v>
      </c>
    </row>
    <row r="1650" spans="1:8" x14ac:dyDescent="0.25">
      <c r="A1650" s="1">
        <v>45666.666666666664</v>
      </c>
      <c r="B1650" t="s">
        <v>19</v>
      </c>
      <c r="C1650">
        <v>108.79</v>
      </c>
      <c r="D1650">
        <v>65.84</v>
      </c>
      <c r="E1650" t="s">
        <v>9</v>
      </c>
      <c r="F1650">
        <v>76.33</v>
      </c>
      <c r="G1650" t="s">
        <v>20</v>
      </c>
      <c r="H1650" t="s">
        <v>11</v>
      </c>
    </row>
    <row r="1651" spans="1:8" x14ac:dyDescent="0.25">
      <c r="A1651" s="1">
        <v>45666.708333333336</v>
      </c>
      <c r="B1651" t="s">
        <v>19</v>
      </c>
      <c r="C1651">
        <v>310.58</v>
      </c>
      <c r="D1651">
        <v>32.79</v>
      </c>
      <c r="E1651" t="s">
        <v>9</v>
      </c>
      <c r="F1651">
        <v>32.799999999999997</v>
      </c>
      <c r="G1651" t="s">
        <v>20</v>
      </c>
      <c r="H1651" t="s">
        <v>11</v>
      </c>
    </row>
    <row r="1652" spans="1:8" x14ac:dyDescent="0.25">
      <c r="A1652" s="1">
        <v>45666.75</v>
      </c>
      <c r="B1652" t="s">
        <v>19</v>
      </c>
      <c r="C1652">
        <v>368.09</v>
      </c>
      <c r="D1652">
        <v>65.48</v>
      </c>
      <c r="E1652" t="s">
        <v>9</v>
      </c>
      <c r="F1652">
        <v>38.9</v>
      </c>
      <c r="G1652" t="s">
        <v>20</v>
      </c>
      <c r="H1652" t="s">
        <v>11</v>
      </c>
    </row>
    <row r="1653" spans="1:8" x14ac:dyDescent="0.25">
      <c r="A1653" s="1">
        <v>45666.791666666664</v>
      </c>
      <c r="B1653" t="s">
        <v>19</v>
      </c>
      <c r="C1653">
        <v>426.62</v>
      </c>
      <c r="D1653">
        <v>16.23</v>
      </c>
      <c r="E1653" t="s">
        <v>9</v>
      </c>
      <c r="F1653">
        <v>80.040000000000006</v>
      </c>
      <c r="G1653" t="s">
        <v>20</v>
      </c>
      <c r="H1653" t="s">
        <v>13</v>
      </c>
    </row>
    <row r="1654" spans="1:8" x14ac:dyDescent="0.25">
      <c r="A1654" s="1">
        <v>45666.833333333336</v>
      </c>
      <c r="B1654" t="s">
        <v>19</v>
      </c>
      <c r="C1654">
        <v>359.98</v>
      </c>
      <c r="D1654">
        <v>88.83</v>
      </c>
      <c r="E1654" t="s">
        <v>14</v>
      </c>
      <c r="F1654">
        <v>50.39</v>
      </c>
      <c r="G1654" t="s">
        <v>20</v>
      </c>
      <c r="H1654" t="s">
        <v>13</v>
      </c>
    </row>
    <row r="1655" spans="1:8" x14ac:dyDescent="0.25">
      <c r="A1655" s="1">
        <v>45666.875</v>
      </c>
      <c r="B1655" t="s">
        <v>19</v>
      </c>
      <c r="C1655">
        <v>258.39999999999998</v>
      </c>
      <c r="D1655">
        <v>26.76</v>
      </c>
      <c r="E1655" t="s">
        <v>9</v>
      </c>
      <c r="F1655">
        <v>65.42</v>
      </c>
      <c r="G1655" t="s">
        <v>20</v>
      </c>
      <c r="H1655" t="s">
        <v>12</v>
      </c>
    </row>
    <row r="1656" spans="1:8" x14ac:dyDescent="0.25">
      <c r="A1656" s="1">
        <v>45666.916666666664</v>
      </c>
      <c r="B1656" t="s">
        <v>19</v>
      </c>
      <c r="C1656">
        <v>231.59</v>
      </c>
      <c r="D1656">
        <v>46.27</v>
      </c>
      <c r="E1656" t="s">
        <v>9</v>
      </c>
      <c r="F1656">
        <v>40.19</v>
      </c>
      <c r="G1656" t="s">
        <v>20</v>
      </c>
      <c r="H1656" t="s">
        <v>13</v>
      </c>
    </row>
    <row r="1657" spans="1:8" x14ac:dyDescent="0.25">
      <c r="A1657" s="1">
        <v>45666.958333333336</v>
      </c>
      <c r="B1657" t="s">
        <v>19</v>
      </c>
      <c r="C1657">
        <v>373.56</v>
      </c>
      <c r="D1657">
        <v>78.87</v>
      </c>
      <c r="E1657" t="s">
        <v>9</v>
      </c>
      <c r="F1657">
        <v>59.61</v>
      </c>
      <c r="G1657" t="s">
        <v>20</v>
      </c>
      <c r="H1657" t="s">
        <v>12</v>
      </c>
    </row>
    <row r="1658" spans="1:8" x14ac:dyDescent="0.25">
      <c r="A1658" s="1">
        <v>45667</v>
      </c>
      <c r="B1658" t="s">
        <v>19</v>
      </c>
      <c r="C1658">
        <v>475.84</v>
      </c>
      <c r="D1658">
        <v>25.74</v>
      </c>
      <c r="E1658" t="s">
        <v>9</v>
      </c>
      <c r="F1658">
        <v>40.64</v>
      </c>
      <c r="G1658" t="s">
        <v>20</v>
      </c>
      <c r="H1658" t="s">
        <v>13</v>
      </c>
    </row>
    <row r="1659" spans="1:8" x14ac:dyDescent="0.25">
      <c r="A1659" s="1">
        <v>45667.041666666664</v>
      </c>
      <c r="B1659" t="s">
        <v>19</v>
      </c>
      <c r="C1659">
        <v>376.01</v>
      </c>
      <c r="D1659">
        <v>29.01</v>
      </c>
      <c r="E1659" t="s">
        <v>9</v>
      </c>
      <c r="F1659">
        <v>87.86</v>
      </c>
      <c r="G1659" t="s">
        <v>20</v>
      </c>
      <c r="H1659" t="s">
        <v>12</v>
      </c>
    </row>
    <row r="1660" spans="1:8" x14ac:dyDescent="0.25">
      <c r="A1660" s="1">
        <v>45667.083333333336</v>
      </c>
      <c r="B1660" t="s">
        <v>19</v>
      </c>
      <c r="C1660">
        <v>318.93</v>
      </c>
      <c r="D1660">
        <v>78.75</v>
      </c>
      <c r="E1660" t="s">
        <v>9</v>
      </c>
      <c r="F1660">
        <v>38</v>
      </c>
      <c r="G1660" t="s">
        <v>20</v>
      </c>
      <c r="H1660" t="s">
        <v>12</v>
      </c>
    </row>
    <row r="1661" spans="1:8" x14ac:dyDescent="0.25">
      <c r="A1661" s="1">
        <v>45667.125</v>
      </c>
      <c r="B1661" t="s">
        <v>19</v>
      </c>
      <c r="C1661">
        <v>401.92</v>
      </c>
      <c r="D1661">
        <v>92.41</v>
      </c>
      <c r="E1661" t="s">
        <v>14</v>
      </c>
      <c r="F1661">
        <v>49.2</v>
      </c>
      <c r="G1661" t="s">
        <v>20</v>
      </c>
      <c r="H1661" t="s">
        <v>13</v>
      </c>
    </row>
    <row r="1662" spans="1:8" x14ac:dyDescent="0.25">
      <c r="A1662" s="1">
        <v>45667.166666666664</v>
      </c>
      <c r="B1662" t="s">
        <v>19</v>
      </c>
      <c r="C1662">
        <v>396.13</v>
      </c>
      <c r="D1662">
        <v>48.74</v>
      </c>
      <c r="E1662" t="s">
        <v>9</v>
      </c>
      <c r="F1662">
        <v>75.510000000000005</v>
      </c>
      <c r="G1662" t="s">
        <v>20</v>
      </c>
      <c r="H1662" t="s">
        <v>13</v>
      </c>
    </row>
    <row r="1663" spans="1:8" x14ac:dyDescent="0.25">
      <c r="A1663" s="1">
        <v>45667.208333333336</v>
      </c>
      <c r="B1663" t="s">
        <v>19</v>
      </c>
      <c r="C1663">
        <v>388.61</v>
      </c>
      <c r="D1663">
        <v>89.91</v>
      </c>
      <c r="E1663" t="s">
        <v>14</v>
      </c>
      <c r="F1663">
        <v>35.25</v>
      </c>
      <c r="G1663" t="s">
        <v>20</v>
      </c>
      <c r="H1663" t="s">
        <v>13</v>
      </c>
    </row>
    <row r="1664" spans="1:8" x14ac:dyDescent="0.25">
      <c r="A1664" s="1">
        <v>45667.25</v>
      </c>
      <c r="B1664" t="s">
        <v>19</v>
      </c>
      <c r="C1664">
        <v>491.62</v>
      </c>
      <c r="D1664">
        <v>42.31</v>
      </c>
      <c r="E1664" t="s">
        <v>9</v>
      </c>
      <c r="F1664">
        <v>85.3</v>
      </c>
      <c r="G1664" t="s">
        <v>20</v>
      </c>
      <c r="H1664" t="s">
        <v>13</v>
      </c>
    </row>
    <row r="1665" spans="1:8" x14ac:dyDescent="0.25">
      <c r="A1665" s="1">
        <v>45667.291666666664</v>
      </c>
      <c r="B1665" t="s">
        <v>19</v>
      </c>
      <c r="C1665">
        <v>309.99</v>
      </c>
      <c r="D1665">
        <v>19.27</v>
      </c>
      <c r="E1665" t="s">
        <v>9</v>
      </c>
      <c r="F1665">
        <v>56.05</v>
      </c>
      <c r="G1665" t="s">
        <v>20</v>
      </c>
      <c r="H1665" t="s">
        <v>11</v>
      </c>
    </row>
    <row r="1666" spans="1:8" x14ac:dyDescent="0.25">
      <c r="A1666" s="1">
        <v>45667.333333333336</v>
      </c>
      <c r="B1666" t="s">
        <v>19</v>
      </c>
      <c r="C1666">
        <v>135.84</v>
      </c>
      <c r="D1666">
        <v>85.51</v>
      </c>
      <c r="E1666" t="s">
        <v>14</v>
      </c>
      <c r="F1666">
        <v>72.48</v>
      </c>
      <c r="G1666" t="s">
        <v>20</v>
      </c>
      <c r="H1666" t="s">
        <v>13</v>
      </c>
    </row>
    <row r="1667" spans="1:8" x14ac:dyDescent="0.25">
      <c r="A1667" s="1">
        <v>45667.375</v>
      </c>
      <c r="B1667" t="s">
        <v>19</v>
      </c>
      <c r="C1667">
        <v>139.71</v>
      </c>
      <c r="D1667">
        <v>48.45</v>
      </c>
      <c r="E1667" t="s">
        <v>9</v>
      </c>
      <c r="F1667">
        <v>75.33</v>
      </c>
      <c r="G1667" t="s">
        <v>20</v>
      </c>
      <c r="H1667" t="s">
        <v>13</v>
      </c>
    </row>
    <row r="1668" spans="1:8" x14ac:dyDescent="0.25">
      <c r="A1668" s="1">
        <v>45667.416666666664</v>
      </c>
      <c r="B1668" t="s">
        <v>19</v>
      </c>
      <c r="C1668">
        <v>58.35</v>
      </c>
      <c r="D1668">
        <v>72.7</v>
      </c>
      <c r="E1668" t="s">
        <v>9</v>
      </c>
      <c r="F1668">
        <v>50.99</v>
      </c>
      <c r="G1668" t="s">
        <v>20</v>
      </c>
      <c r="H1668" t="s">
        <v>11</v>
      </c>
    </row>
    <row r="1669" spans="1:8" x14ac:dyDescent="0.25">
      <c r="A1669" s="1">
        <v>45667.458333333336</v>
      </c>
      <c r="B1669" t="s">
        <v>19</v>
      </c>
      <c r="C1669">
        <v>69.98</v>
      </c>
      <c r="D1669">
        <v>80.22</v>
      </c>
      <c r="E1669" t="s">
        <v>9</v>
      </c>
      <c r="F1669">
        <v>89.39</v>
      </c>
      <c r="G1669" t="s">
        <v>20</v>
      </c>
      <c r="H1669" t="s">
        <v>12</v>
      </c>
    </row>
    <row r="1670" spans="1:8" x14ac:dyDescent="0.25">
      <c r="A1670" s="1">
        <v>45667.5</v>
      </c>
      <c r="B1670" t="s">
        <v>19</v>
      </c>
      <c r="C1670">
        <v>210.31</v>
      </c>
      <c r="D1670">
        <v>63.73</v>
      </c>
      <c r="E1670" t="s">
        <v>9</v>
      </c>
      <c r="F1670">
        <v>48.7</v>
      </c>
      <c r="G1670" t="s">
        <v>20</v>
      </c>
      <c r="H1670" t="s">
        <v>11</v>
      </c>
    </row>
    <row r="1671" spans="1:8" x14ac:dyDescent="0.25">
      <c r="A1671" s="1">
        <v>45667.541666666664</v>
      </c>
      <c r="B1671" t="s">
        <v>19</v>
      </c>
      <c r="C1671">
        <v>325.44</v>
      </c>
      <c r="D1671">
        <v>77.81</v>
      </c>
      <c r="E1671" t="s">
        <v>9</v>
      </c>
      <c r="F1671">
        <v>45.23</v>
      </c>
      <c r="G1671" t="s">
        <v>20</v>
      </c>
      <c r="H1671" t="s">
        <v>12</v>
      </c>
    </row>
    <row r="1672" spans="1:8" x14ac:dyDescent="0.25">
      <c r="A1672" s="1">
        <v>45667.583333333336</v>
      </c>
      <c r="B1672" t="s">
        <v>19</v>
      </c>
      <c r="C1672">
        <v>379.86</v>
      </c>
      <c r="D1672">
        <v>35.799999999999997</v>
      </c>
      <c r="E1672" t="s">
        <v>9</v>
      </c>
      <c r="F1672">
        <v>56.92</v>
      </c>
      <c r="G1672" t="s">
        <v>20</v>
      </c>
      <c r="H1672" t="s">
        <v>11</v>
      </c>
    </row>
    <row r="1673" spans="1:8" x14ac:dyDescent="0.25">
      <c r="A1673" s="1">
        <v>45667.625</v>
      </c>
      <c r="B1673" t="s">
        <v>19</v>
      </c>
      <c r="C1673">
        <v>486.75</v>
      </c>
      <c r="D1673">
        <v>48.4</v>
      </c>
      <c r="E1673" t="s">
        <v>9</v>
      </c>
      <c r="F1673">
        <v>80.09</v>
      </c>
      <c r="G1673" t="s">
        <v>20</v>
      </c>
      <c r="H1673" t="s">
        <v>12</v>
      </c>
    </row>
    <row r="1674" spans="1:8" x14ac:dyDescent="0.25">
      <c r="A1674" s="1">
        <v>45667.666666666664</v>
      </c>
      <c r="B1674" t="s">
        <v>19</v>
      </c>
      <c r="C1674">
        <v>427.81</v>
      </c>
      <c r="D1674">
        <v>61.81</v>
      </c>
      <c r="E1674" t="s">
        <v>9</v>
      </c>
      <c r="F1674">
        <v>41.51</v>
      </c>
      <c r="G1674" t="s">
        <v>20</v>
      </c>
      <c r="H1674" t="s">
        <v>13</v>
      </c>
    </row>
    <row r="1675" spans="1:8" x14ac:dyDescent="0.25">
      <c r="A1675" s="1">
        <v>45667.708333333336</v>
      </c>
      <c r="B1675" t="s">
        <v>19</v>
      </c>
      <c r="C1675">
        <v>450.48</v>
      </c>
      <c r="D1675">
        <v>82.47</v>
      </c>
      <c r="E1675" t="s">
        <v>9</v>
      </c>
      <c r="F1675">
        <v>47.82</v>
      </c>
      <c r="G1675" t="s">
        <v>20</v>
      </c>
      <c r="H1675" t="s">
        <v>13</v>
      </c>
    </row>
    <row r="1676" spans="1:8" x14ac:dyDescent="0.25">
      <c r="A1676" s="1">
        <v>45667.75</v>
      </c>
      <c r="B1676" t="s">
        <v>19</v>
      </c>
      <c r="C1676">
        <v>237.52</v>
      </c>
      <c r="D1676">
        <v>19.89</v>
      </c>
      <c r="E1676" t="s">
        <v>9</v>
      </c>
      <c r="F1676">
        <v>35.93</v>
      </c>
      <c r="G1676" t="s">
        <v>20</v>
      </c>
      <c r="H1676" t="s">
        <v>11</v>
      </c>
    </row>
    <row r="1677" spans="1:8" x14ac:dyDescent="0.25">
      <c r="A1677" s="1">
        <v>45667.791666666664</v>
      </c>
      <c r="B1677" t="s">
        <v>19</v>
      </c>
      <c r="C1677">
        <v>89.54</v>
      </c>
      <c r="D1677">
        <v>69.33</v>
      </c>
      <c r="E1677" t="s">
        <v>9</v>
      </c>
      <c r="F1677">
        <v>64.83</v>
      </c>
      <c r="G1677" t="s">
        <v>20</v>
      </c>
      <c r="H1677" t="s">
        <v>12</v>
      </c>
    </row>
    <row r="1678" spans="1:8" x14ac:dyDescent="0.25">
      <c r="A1678" s="1">
        <v>45667.833333333336</v>
      </c>
      <c r="B1678" t="s">
        <v>19</v>
      </c>
      <c r="C1678">
        <v>391.04</v>
      </c>
      <c r="D1678">
        <v>56.95</v>
      </c>
      <c r="E1678" t="s">
        <v>9</v>
      </c>
      <c r="F1678">
        <v>72.25</v>
      </c>
      <c r="G1678" t="s">
        <v>20</v>
      </c>
      <c r="H1678" t="s">
        <v>13</v>
      </c>
    </row>
    <row r="1679" spans="1:8" x14ac:dyDescent="0.25">
      <c r="A1679" s="1">
        <v>45667.875</v>
      </c>
      <c r="B1679" t="s">
        <v>19</v>
      </c>
      <c r="C1679">
        <v>165.57</v>
      </c>
      <c r="D1679">
        <v>50.14</v>
      </c>
      <c r="E1679" t="s">
        <v>9</v>
      </c>
      <c r="F1679">
        <v>71.69</v>
      </c>
      <c r="G1679" t="s">
        <v>20</v>
      </c>
      <c r="H1679" t="s">
        <v>11</v>
      </c>
    </row>
    <row r="1680" spans="1:8" x14ac:dyDescent="0.25">
      <c r="A1680" s="1">
        <v>45667.916666666664</v>
      </c>
      <c r="B1680" t="s">
        <v>19</v>
      </c>
      <c r="C1680">
        <v>214.27</v>
      </c>
      <c r="D1680">
        <v>22.12</v>
      </c>
      <c r="E1680" t="s">
        <v>9</v>
      </c>
      <c r="F1680">
        <v>70.42</v>
      </c>
      <c r="G1680" t="s">
        <v>20</v>
      </c>
      <c r="H1680" t="s">
        <v>11</v>
      </c>
    </row>
    <row r="1681" spans="1:8" x14ac:dyDescent="0.25">
      <c r="A1681" s="1">
        <v>45667.958333333336</v>
      </c>
      <c r="B1681" t="s">
        <v>19</v>
      </c>
      <c r="C1681">
        <v>263.88</v>
      </c>
      <c r="D1681">
        <v>29.62</v>
      </c>
      <c r="E1681" t="s">
        <v>9</v>
      </c>
      <c r="F1681">
        <v>67.64</v>
      </c>
      <c r="G1681" t="s">
        <v>20</v>
      </c>
      <c r="H1681" t="s">
        <v>12</v>
      </c>
    </row>
    <row r="1682" spans="1:8" x14ac:dyDescent="0.25">
      <c r="A1682" s="1">
        <v>45668</v>
      </c>
      <c r="B1682" t="s">
        <v>19</v>
      </c>
      <c r="C1682">
        <v>108.77</v>
      </c>
      <c r="D1682">
        <v>91.99</v>
      </c>
      <c r="E1682" t="s">
        <v>14</v>
      </c>
      <c r="F1682">
        <v>68.09</v>
      </c>
      <c r="G1682" t="s">
        <v>20</v>
      </c>
      <c r="H1682" t="s">
        <v>12</v>
      </c>
    </row>
    <row r="1683" spans="1:8" x14ac:dyDescent="0.25">
      <c r="A1683" s="1">
        <v>45668.041666666664</v>
      </c>
      <c r="B1683" t="s">
        <v>19</v>
      </c>
      <c r="C1683">
        <v>241.8</v>
      </c>
      <c r="D1683">
        <v>40.909999999999997</v>
      </c>
      <c r="E1683" t="s">
        <v>9</v>
      </c>
      <c r="F1683">
        <v>84.04</v>
      </c>
      <c r="G1683" t="s">
        <v>20</v>
      </c>
      <c r="H1683" t="s">
        <v>12</v>
      </c>
    </row>
    <row r="1684" spans="1:8" x14ac:dyDescent="0.25">
      <c r="A1684" s="1">
        <v>45668.083333333336</v>
      </c>
      <c r="B1684" t="s">
        <v>19</v>
      </c>
      <c r="C1684">
        <v>102.7</v>
      </c>
      <c r="D1684">
        <v>38.25</v>
      </c>
      <c r="E1684" t="s">
        <v>9</v>
      </c>
      <c r="F1684">
        <v>87.59</v>
      </c>
      <c r="G1684" t="s">
        <v>20</v>
      </c>
      <c r="H1684" t="s">
        <v>11</v>
      </c>
    </row>
    <row r="1685" spans="1:8" x14ac:dyDescent="0.25">
      <c r="A1685" s="1">
        <v>45668.125</v>
      </c>
      <c r="B1685" t="s">
        <v>19</v>
      </c>
      <c r="C1685">
        <v>267.89999999999998</v>
      </c>
      <c r="D1685">
        <v>81.36</v>
      </c>
      <c r="E1685" t="s">
        <v>9</v>
      </c>
      <c r="F1685">
        <v>83.76</v>
      </c>
      <c r="G1685" t="s">
        <v>20</v>
      </c>
      <c r="H1685" t="s">
        <v>11</v>
      </c>
    </row>
    <row r="1686" spans="1:8" x14ac:dyDescent="0.25">
      <c r="A1686" s="1">
        <v>45668.166666666664</v>
      </c>
      <c r="B1686" t="s">
        <v>19</v>
      </c>
      <c r="C1686">
        <v>391.13</v>
      </c>
      <c r="D1686">
        <v>45.86</v>
      </c>
      <c r="E1686" t="s">
        <v>9</v>
      </c>
      <c r="F1686">
        <v>79.58</v>
      </c>
      <c r="G1686" t="s">
        <v>20</v>
      </c>
      <c r="H1686" t="s">
        <v>13</v>
      </c>
    </row>
    <row r="1687" spans="1:8" x14ac:dyDescent="0.25">
      <c r="A1687" s="1">
        <v>45668.208333333336</v>
      </c>
      <c r="B1687" t="s">
        <v>19</v>
      </c>
      <c r="C1687">
        <v>329.85</v>
      </c>
      <c r="D1687">
        <v>16.02</v>
      </c>
      <c r="E1687" t="s">
        <v>9</v>
      </c>
      <c r="F1687">
        <v>53.97</v>
      </c>
      <c r="G1687" t="s">
        <v>20</v>
      </c>
      <c r="H1687" t="s">
        <v>13</v>
      </c>
    </row>
    <row r="1688" spans="1:8" x14ac:dyDescent="0.25">
      <c r="A1688" s="1">
        <v>45668.25</v>
      </c>
      <c r="B1688" t="s">
        <v>19</v>
      </c>
      <c r="C1688">
        <v>95.31</v>
      </c>
      <c r="D1688">
        <v>48.33</v>
      </c>
      <c r="E1688" t="s">
        <v>9</v>
      </c>
      <c r="F1688">
        <v>48.43</v>
      </c>
      <c r="G1688" t="s">
        <v>20</v>
      </c>
      <c r="H1688" t="s">
        <v>13</v>
      </c>
    </row>
    <row r="1689" spans="1:8" x14ac:dyDescent="0.25">
      <c r="A1689" s="1">
        <v>45668.291666666664</v>
      </c>
      <c r="B1689" t="s">
        <v>19</v>
      </c>
      <c r="C1689">
        <v>302.43</v>
      </c>
      <c r="D1689">
        <v>25.56</v>
      </c>
      <c r="E1689" t="s">
        <v>9</v>
      </c>
      <c r="F1689">
        <v>63.4</v>
      </c>
      <c r="G1689" t="s">
        <v>20</v>
      </c>
      <c r="H1689" t="s">
        <v>11</v>
      </c>
    </row>
    <row r="1690" spans="1:8" x14ac:dyDescent="0.25">
      <c r="A1690" s="1">
        <v>45668.333333333336</v>
      </c>
      <c r="B1690" t="s">
        <v>19</v>
      </c>
      <c r="C1690">
        <v>226.6</v>
      </c>
      <c r="D1690">
        <v>36.630000000000003</v>
      </c>
      <c r="E1690" t="s">
        <v>9</v>
      </c>
      <c r="F1690">
        <v>85.88</v>
      </c>
      <c r="G1690" t="s">
        <v>20</v>
      </c>
      <c r="H1690" t="s">
        <v>11</v>
      </c>
    </row>
    <row r="1691" spans="1:8" x14ac:dyDescent="0.25">
      <c r="A1691" s="1">
        <v>45668.375</v>
      </c>
      <c r="B1691" t="s">
        <v>19</v>
      </c>
      <c r="C1691">
        <v>110.03</v>
      </c>
      <c r="D1691">
        <v>69.599999999999994</v>
      </c>
      <c r="E1691" t="s">
        <v>9</v>
      </c>
      <c r="F1691">
        <v>42.74</v>
      </c>
      <c r="G1691" t="s">
        <v>20</v>
      </c>
      <c r="H1691" t="s">
        <v>12</v>
      </c>
    </row>
    <row r="1692" spans="1:8" x14ac:dyDescent="0.25">
      <c r="A1692" s="1">
        <v>45668.416666666664</v>
      </c>
      <c r="B1692" t="s">
        <v>19</v>
      </c>
      <c r="C1692">
        <v>76.37</v>
      </c>
      <c r="D1692">
        <v>31.46</v>
      </c>
      <c r="E1692" t="s">
        <v>9</v>
      </c>
      <c r="F1692">
        <v>89.91</v>
      </c>
      <c r="G1692" t="s">
        <v>20</v>
      </c>
      <c r="H1692" t="s">
        <v>12</v>
      </c>
    </row>
    <row r="1693" spans="1:8" x14ac:dyDescent="0.25">
      <c r="A1693" s="1">
        <v>45668.458333333336</v>
      </c>
      <c r="B1693" t="s">
        <v>19</v>
      </c>
      <c r="C1693">
        <v>293.13</v>
      </c>
      <c r="D1693">
        <v>32.049999999999997</v>
      </c>
      <c r="E1693" t="s">
        <v>9</v>
      </c>
      <c r="F1693">
        <v>54.43</v>
      </c>
      <c r="G1693" t="s">
        <v>20</v>
      </c>
      <c r="H1693" t="s">
        <v>11</v>
      </c>
    </row>
    <row r="1694" spans="1:8" x14ac:dyDescent="0.25">
      <c r="A1694" s="1">
        <v>45668.5</v>
      </c>
      <c r="B1694" t="s">
        <v>19</v>
      </c>
      <c r="C1694">
        <v>376.75</v>
      </c>
      <c r="D1694">
        <v>39.47</v>
      </c>
      <c r="E1694" t="s">
        <v>9</v>
      </c>
      <c r="F1694">
        <v>79.73</v>
      </c>
      <c r="G1694" t="s">
        <v>20</v>
      </c>
      <c r="H1694" t="s">
        <v>12</v>
      </c>
    </row>
    <row r="1695" spans="1:8" x14ac:dyDescent="0.25">
      <c r="A1695" s="1">
        <v>45668.541666666664</v>
      </c>
      <c r="B1695" t="s">
        <v>19</v>
      </c>
      <c r="C1695">
        <v>238.02</v>
      </c>
      <c r="D1695">
        <v>35.31</v>
      </c>
      <c r="E1695" t="s">
        <v>9</v>
      </c>
      <c r="F1695">
        <v>34.26</v>
      </c>
      <c r="G1695" t="s">
        <v>20</v>
      </c>
      <c r="H1695" t="s">
        <v>12</v>
      </c>
    </row>
    <row r="1696" spans="1:8" x14ac:dyDescent="0.25">
      <c r="A1696" s="1">
        <v>45668.583333333336</v>
      </c>
      <c r="B1696" t="s">
        <v>19</v>
      </c>
      <c r="C1696">
        <v>450.13</v>
      </c>
      <c r="D1696">
        <v>68.72</v>
      </c>
      <c r="E1696" t="s">
        <v>9</v>
      </c>
      <c r="F1696">
        <v>44.98</v>
      </c>
      <c r="G1696" t="s">
        <v>20</v>
      </c>
      <c r="H1696" t="s">
        <v>13</v>
      </c>
    </row>
    <row r="1697" spans="1:8" x14ac:dyDescent="0.25">
      <c r="A1697" s="1">
        <v>45668.625</v>
      </c>
      <c r="B1697" t="s">
        <v>19</v>
      </c>
      <c r="C1697">
        <v>392.5</v>
      </c>
      <c r="D1697">
        <v>53.08</v>
      </c>
      <c r="E1697" t="s">
        <v>9</v>
      </c>
      <c r="F1697">
        <v>86.42</v>
      </c>
      <c r="G1697" t="s">
        <v>20</v>
      </c>
      <c r="H1697" t="s">
        <v>12</v>
      </c>
    </row>
    <row r="1698" spans="1:8" x14ac:dyDescent="0.25">
      <c r="A1698" s="1">
        <v>45668.666666666664</v>
      </c>
      <c r="B1698" t="s">
        <v>19</v>
      </c>
      <c r="C1698">
        <v>485.67</v>
      </c>
      <c r="D1698">
        <v>78.709999999999994</v>
      </c>
      <c r="E1698" t="s">
        <v>9</v>
      </c>
      <c r="F1698">
        <v>38.200000000000003</v>
      </c>
      <c r="G1698" t="s">
        <v>20</v>
      </c>
      <c r="H1698" t="s">
        <v>11</v>
      </c>
    </row>
    <row r="1699" spans="1:8" x14ac:dyDescent="0.25">
      <c r="A1699" s="1">
        <v>45668.708333333336</v>
      </c>
      <c r="B1699" t="s">
        <v>19</v>
      </c>
      <c r="C1699">
        <v>296.16000000000003</v>
      </c>
      <c r="D1699">
        <v>18.32</v>
      </c>
      <c r="E1699" t="s">
        <v>9</v>
      </c>
      <c r="F1699">
        <v>53.92</v>
      </c>
      <c r="G1699" t="s">
        <v>20</v>
      </c>
      <c r="H1699" t="s">
        <v>13</v>
      </c>
    </row>
    <row r="1700" spans="1:8" x14ac:dyDescent="0.25">
      <c r="A1700" s="1">
        <v>45668.75</v>
      </c>
      <c r="B1700" t="s">
        <v>19</v>
      </c>
      <c r="C1700">
        <v>256.37</v>
      </c>
      <c r="D1700">
        <v>70.45</v>
      </c>
      <c r="E1700" t="s">
        <v>9</v>
      </c>
      <c r="F1700">
        <v>89.85</v>
      </c>
      <c r="G1700" t="s">
        <v>20</v>
      </c>
      <c r="H1700" t="s">
        <v>12</v>
      </c>
    </row>
    <row r="1701" spans="1:8" x14ac:dyDescent="0.25">
      <c r="A1701" s="1">
        <v>45668.791666666664</v>
      </c>
      <c r="B1701" t="s">
        <v>19</v>
      </c>
      <c r="C1701">
        <v>203.41</v>
      </c>
      <c r="D1701">
        <v>58.03</v>
      </c>
      <c r="E1701" t="s">
        <v>9</v>
      </c>
      <c r="F1701">
        <v>80.430000000000007</v>
      </c>
      <c r="G1701" t="s">
        <v>20</v>
      </c>
      <c r="H1701" t="s">
        <v>13</v>
      </c>
    </row>
    <row r="1702" spans="1:8" x14ac:dyDescent="0.25">
      <c r="A1702" s="1">
        <v>45668.833333333336</v>
      </c>
      <c r="B1702" t="s">
        <v>19</v>
      </c>
      <c r="C1702">
        <v>477.02</v>
      </c>
      <c r="D1702">
        <v>53.56</v>
      </c>
      <c r="E1702" t="s">
        <v>9</v>
      </c>
      <c r="F1702">
        <v>60.17</v>
      </c>
      <c r="G1702" t="s">
        <v>20</v>
      </c>
      <c r="H1702" t="s">
        <v>12</v>
      </c>
    </row>
    <row r="1703" spans="1:8" x14ac:dyDescent="0.25">
      <c r="A1703" s="1">
        <v>45668.875</v>
      </c>
      <c r="B1703" t="s">
        <v>19</v>
      </c>
      <c r="C1703">
        <v>68.92</v>
      </c>
      <c r="D1703">
        <v>62.46</v>
      </c>
      <c r="E1703" t="s">
        <v>9</v>
      </c>
      <c r="F1703">
        <v>81.290000000000006</v>
      </c>
      <c r="G1703" t="s">
        <v>20</v>
      </c>
      <c r="H1703" t="s">
        <v>12</v>
      </c>
    </row>
    <row r="1704" spans="1:8" x14ac:dyDescent="0.25">
      <c r="A1704" s="1">
        <v>45668.916666666664</v>
      </c>
      <c r="B1704" t="s">
        <v>19</v>
      </c>
      <c r="C1704">
        <v>228.62</v>
      </c>
      <c r="D1704">
        <v>28.09</v>
      </c>
      <c r="E1704" t="s">
        <v>9</v>
      </c>
      <c r="F1704">
        <v>52.69</v>
      </c>
      <c r="G1704" t="s">
        <v>20</v>
      </c>
      <c r="H1704" t="s">
        <v>12</v>
      </c>
    </row>
    <row r="1705" spans="1:8" x14ac:dyDescent="0.25">
      <c r="A1705" s="1">
        <v>45668.958333333336</v>
      </c>
      <c r="B1705" t="s">
        <v>19</v>
      </c>
      <c r="C1705">
        <v>113.48</v>
      </c>
      <c r="D1705">
        <v>71.459999999999994</v>
      </c>
      <c r="E1705" t="s">
        <v>9</v>
      </c>
      <c r="F1705">
        <v>81.27</v>
      </c>
      <c r="G1705" t="s">
        <v>20</v>
      </c>
      <c r="H1705" t="s">
        <v>12</v>
      </c>
    </row>
    <row r="1706" spans="1:8" x14ac:dyDescent="0.25">
      <c r="A1706" s="1">
        <v>45669</v>
      </c>
      <c r="B1706" t="s">
        <v>19</v>
      </c>
      <c r="C1706">
        <v>58.05</v>
      </c>
      <c r="D1706">
        <v>31.51</v>
      </c>
      <c r="E1706" t="s">
        <v>9</v>
      </c>
      <c r="F1706">
        <v>34.17</v>
      </c>
      <c r="G1706" t="s">
        <v>20</v>
      </c>
      <c r="H1706" t="s">
        <v>11</v>
      </c>
    </row>
    <row r="1707" spans="1:8" x14ac:dyDescent="0.25">
      <c r="A1707" s="1">
        <v>45669.041666666664</v>
      </c>
      <c r="B1707" t="s">
        <v>19</v>
      </c>
      <c r="C1707">
        <v>215.56</v>
      </c>
      <c r="D1707">
        <v>41.27</v>
      </c>
      <c r="E1707" t="s">
        <v>9</v>
      </c>
      <c r="F1707">
        <v>45.15</v>
      </c>
      <c r="G1707" t="s">
        <v>20</v>
      </c>
      <c r="H1707" t="s">
        <v>12</v>
      </c>
    </row>
    <row r="1708" spans="1:8" x14ac:dyDescent="0.25">
      <c r="A1708" s="1">
        <v>45669.083333333336</v>
      </c>
      <c r="B1708" t="s">
        <v>19</v>
      </c>
      <c r="C1708">
        <v>483.73</v>
      </c>
      <c r="D1708">
        <v>30.2</v>
      </c>
      <c r="E1708" t="s">
        <v>9</v>
      </c>
      <c r="F1708">
        <v>35.72</v>
      </c>
      <c r="G1708" t="s">
        <v>20</v>
      </c>
      <c r="H1708" t="s">
        <v>13</v>
      </c>
    </row>
    <row r="1709" spans="1:8" x14ac:dyDescent="0.25">
      <c r="A1709" s="1">
        <v>45669.125</v>
      </c>
      <c r="B1709" t="s">
        <v>19</v>
      </c>
      <c r="C1709">
        <v>455.55</v>
      </c>
      <c r="D1709">
        <v>24.21</v>
      </c>
      <c r="E1709" t="s">
        <v>9</v>
      </c>
      <c r="F1709">
        <v>53.58</v>
      </c>
      <c r="G1709" t="s">
        <v>20</v>
      </c>
      <c r="H1709" t="s">
        <v>13</v>
      </c>
    </row>
    <row r="1710" spans="1:8" x14ac:dyDescent="0.25">
      <c r="A1710" s="1">
        <v>45669.166666666664</v>
      </c>
      <c r="B1710" t="s">
        <v>19</v>
      </c>
      <c r="C1710">
        <v>208.78</v>
      </c>
      <c r="D1710">
        <v>66.27</v>
      </c>
      <c r="E1710" t="s">
        <v>9</v>
      </c>
      <c r="F1710">
        <v>62.81</v>
      </c>
      <c r="G1710" t="s">
        <v>20</v>
      </c>
      <c r="H1710" t="s">
        <v>12</v>
      </c>
    </row>
    <row r="1711" spans="1:8" x14ac:dyDescent="0.25">
      <c r="A1711" s="1">
        <v>45669.208333333336</v>
      </c>
      <c r="B1711" t="s">
        <v>19</v>
      </c>
      <c r="C1711">
        <v>424.74</v>
      </c>
      <c r="D1711">
        <v>23.85</v>
      </c>
      <c r="E1711" t="s">
        <v>9</v>
      </c>
      <c r="F1711">
        <v>78.599999999999994</v>
      </c>
      <c r="G1711" t="s">
        <v>20</v>
      </c>
      <c r="H1711" t="s">
        <v>12</v>
      </c>
    </row>
    <row r="1712" spans="1:8" x14ac:dyDescent="0.25">
      <c r="A1712" s="1">
        <v>45669.25</v>
      </c>
      <c r="B1712" t="s">
        <v>19</v>
      </c>
      <c r="C1712">
        <v>258.01</v>
      </c>
      <c r="D1712">
        <v>38.43</v>
      </c>
      <c r="E1712" t="s">
        <v>9</v>
      </c>
      <c r="F1712">
        <v>66.77</v>
      </c>
      <c r="G1712" t="s">
        <v>20</v>
      </c>
      <c r="H1712" t="s">
        <v>11</v>
      </c>
    </row>
    <row r="1713" spans="1:8" x14ac:dyDescent="0.25">
      <c r="A1713" s="1">
        <v>45669.291666666664</v>
      </c>
      <c r="B1713" t="s">
        <v>19</v>
      </c>
      <c r="C1713">
        <v>475.27</v>
      </c>
      <c r="D1713">
        <v>58.41</v>
      </c>
      <c r="E1713" t="s">
        <v>9</v>
      </c>
      <c r="F1713">
        <v>87.19</v>
      </c>
      <c r="G1713" t="s">
        <v>20</v>
      </c>
      <c r="H1713" t="s">
        <v>12</v>
      </c>
    </row>
    <row r="1714" spans="1:8" x14ac:dyDescent="0.25">
      <c r="A1714" s="1">
        <v>45669.333333333336</v>
      </c>
      <c r="B1714" t="s">
        <v>19</v>
      </c>
      <c r="C1714">
        <v>375.86</v>
      </c>
      <c r="D1714">
        <v>79.790000000000006</v>
      </c>
      <c r="E1714" t="s">
        <v>9</v>
      </c>
      <c r="F1714">
        <v>70.75</v>
      </c>
      <c r="G1714" t="s">
        <v>20</v>
      </c>
      <c r="H1714" t="s">
        <v>12</v>
      </c>
    </row>
    <row r="1715" spans="1:8" x14ac:dyDescent="0.25">
      <c r="A1715" s="1">
        <v>45669.375</v>
      </c>
      <c r="B1715" t="s">
        <v>19</v>
      </c>
      <c r="C1715">
        <v>286.06</v>
      </c>
      <c r="D1715">
        <v>32.04</v>
      </c>
      <c r="E1715" t="s">
        <v>9</v>
      </c>
      <c r="F1715">
        <v>50.26</v>
      </c>
      <c r="G1715" t="s">
        <v>20</v>
      </c>
      <c r="H1715" t="s">
        <v>12</v>
      </c>
    </row>
    <row r="1716" spans="1:8" x14ac:dyDescent="0.25">
      <c r="A1716" s="1">
        <v>45669.416666666664</v>
      </c>
      <c r="B1716" t="s">
        <v>19</v>
      </c>
      <c r="C1716">
        <v>200.99</v>
      </c>
      <c r="D1716">
        <v>41.32</v>
      </c>
      <c r="E1716" t="s">
        <v>9</v>
      </c>
      <c r="F1716">
        <v>37.369999999999997</v>
      </c>
      <c r="G1716" t="s">
        <v>20</v>
      </c>
      <c r="H1716" t="s">
        <v>12</v>
      </c>
    </row>
    <row r="1717" spans="1:8" x14ac:dyDescent="0.25">
      <c r="A1717" s="1">
        <v>45669.458333333336</v>
      </c>
      <c r="B1717" t="s">
        <v>19</v>
      </c>
      <c r="C1717">
        <v>244.41</v>
      </c>
      <c r="D1717">
        <v>79.48</v>
      </c>
      <c r="E1717" t="s">
        <v>9</v>
      </c>
      <c r="F1717">
        <v>45.8</v>
      </c>
      <c r="G1717" t="s">
        <v>20</v>
      </c>
      <c r="H1717" t="s">
        <v>12</v>
      </c>
    </row>
    <row r="1718" spans="1:8" x14ac:dyDescent="0.25">
      <c r="A1718" s="1">
        <v>45669.5</v>
      </c>
      <c r="B1718" t="s">
        <v>19</v>
      </c>
      <c r="C1718">
        <v>317.24</v>
      </c>
      <c r="D1718">
        <v>29.25</v>
      </c>
      <c r="E1718" t="s">
        <v>9</v>
      </c>
      <c r="F1718">
        <v>83.28</v>
      </c>
      <c r="G1718" t="s">
        <v>20</v>
      </c>
      <c r="H1718" t="s">
        <v>13</v>
      </c>
    </row>
    <row r="1719" spans="1:8" x14ac:dyDescent="0.25">
      <c r="A1719" s="1">
        <v>45669.541666666664</v>
      </c>
      <c r="B1719" t="s">
        <v>19</v>
      </c>
      <c r="C1719">
        <v>174.23</v>
      </c>
      <c r="D1719">
        <v>49.93</v>
      </c>
      <c r="E1719" t="s">
        <v>9</v>
      </c>
      <c r="F1719">
        <v>35.22</v>
      </c>
      <c r="G1719" t="s">
        <v>20</v>
      </c>
      <c r="H1719" t="s">
        <v>12</v>
      </c>
    </row>
    <row r="1720" spans="1:8" x14ac:dyDescent="0.25">
      <c r="A1720" s="1">
        <v>45669.583333333336</v>
      </c>
      <c r="B1720" t="s">
        <v>19</v>
      </c>
      <c r="C1720">
        <v>66.55</v>
      </c>
      <c r="D1720">
        <v>87.24</v>
      </c>
      <c r="E1720" t="s">
        <v>14</v>
      </c>
      <c r="F1720">
        <v>37.67</v>
      </c>
      <c r="G1720" t="s">
        <v>20</v>
      </c>
      <c r="H1720" t="s">
        <v>11</v>
      </c>
    </row>
    <row r="1721" spans="1:8" x14ac:dyDescent="0.25">
      <c r="A1721" s="1">
        <v>45669.625</v>
      </c>
      <c r="B1721" t="s">
        <v>19</v>
      </c>
      <c r="C1721">
        <v>462.84</v>
      </c>
      <c r="D1721">
        <v>69.06</v>
      </c>
      <c r="E1721" t="s">
        <v>9</v>
      </c>
      <c r="F1721">
        <v>78.66</v>
      </c>
      <c r="G1721" t="s">
        <v>20</v>
      </c>
      <c r="H1721" t="s">
        <v>13</v>
      </c>
    </row>
    <row r="1722" spans="1:8" x14ac:dyDescent="0.25">
      <c r="A1722" s="1">
        <v>45669.666666666664</v>
      </c>
      <c r="B1722" t="s">
        <v>19</v>
      </c>
      <c r="C1722">
        <v>162.83000000000001</v>
      </c>
      <c r="D1722">
        <v>86.45</v>
      </c>
      <c r="E1722" t="s">
        <v>14</v>
      </c>
      <c r="F1722">
        <v>72.91</v>
      </c>
      <c r="G1722" t="s">
        <v>20</v>
      </c>
      <c r="H1722" t="s">
        <v>12</v>
      </c>
    </row>
    <row r="1723" spans="1:8" x14ac:dyDescent="0.25">
      <c r="A1723" s="1">
        <v>45669.708333333336</v>
      </c>
      <c r="B1723" t="s">
        <v>19</v>
      </c>
      <c r="C1723">
        <v>279.52999999999997</v>
      </c>
      <c r="D1723">
        <v>33.78</v>
      </c>
      <c r="E1723" t="s">
        <v>9</v>
      </c>
      <c r="F1723">
        <v>50.11</v>
      </c>
      <c r="G1723" t="s">
        <v>20</v>
      </c>
      <c r="H1723" t="s">
        <v>11</v>
      </c>
    </row>
    <row r="1724" spans="1:8" x14ac:dyDescent="0.25">
      <c r="A1724" s="1">
        <v>45669.75</v>
      </c>
      <c r="B1724" t="s">
        <v>19</v>
      </c>
      <c r="C1724">
        <v>403</v>
      </c>
      <c r="D1724">
        <v>68.97</v>
      </c>
      <c r="E1724" t="s">
        <v>9</v>
      </c>
      <c r="F1724">
        <v>58.37</v>
      </c>
      <c r="G1724" t="s">
        <v>20</v>
      </c>
      <c r="H1724" t="s">
        <v>11</v>
      </c>
    </row>
    <row r="1725" spans="1:8" x14ac:dyDescent="0.25">
      <c r="A1725" s="1">
        <v>45669.791666666664</v>
      </c>
      <c r="B1725" t="s">
        <v>19</v>
      </c>
      <c r="C1725">
        <v>194.4</v>
      </c>
      <c r="D1725">
        <v>52.84</v>
      </c>
      <c r="E1725" t="s">
        <v>9</v>
      </c>
      <c r="F1725">
        <v>78.7</v>
      </c>
      <c r="G1725" t="s">
        <v>20</v>
      </c>
      <c r="H1725" t="s">
        <v>12</v>
      </c>
    </row>
    <row r="1726" spans="1:8" x14ac:dyDescent="0.25">
      <c r="A1726" s="1">
        <v>45669.833333333336</v>
      </c>
      <c r="B1726" t="s">
        <v>19</v>
      </c>
      <c r="C1726">
        <v>281.74</v>
      </c>
      <c r="D1726">
        <v>24.58</v>
      </c>
      <c r="E1726" t="s">
        <v>9</v>
      </c>
      <c r="F1726">
        <v>42.9</v>
      </c>
      <c r="G1726" t="s">
        <v>20</v>
      </c>
      <c r="H1726" t="s">
        <v>12</v>
      </c>
    </row>
    <row r="1727" spans="1:8" x14ac:dyDescent="0.25">
      <c r="A1727" s="1">
        <v>45669.875</v>
      </c>
      <c r="B1727" t="s">
        <v>19</v>
      </c>
      <c r="C1727">
        <v>465.2</v>
      </c>
      <c r="D1727">
        <v>24.48</v>
      </c>
      <c r="E1727" t="s">
        <v>9</v>
      </c>
      <c r="F1727">
        <v>49.1</v>
      </c>
      <c r="G1727" t="s">
        <v>20</v>
      </c>
      <c r="H1727" t="s">
        <v>12</v>
      </c>
    </row>
    <row r="1728" spans="1:8" x14ac:dyDescent="0.25">
      <c r="A1728" s="1">
        <v>45669.916666666664</v>
      </c>
      <c r="B1728" t="s">
        <v>19</v>
      </c>
      <c r="C1728">
        <v>412.54</v>
      </c>
      <c r="D1728">
        <v>44.58</v>
      </c>
      <c r="E1728" t="s">
        <v>9</v>
      </c>
      <c r="F1728">
        <v>77.319999999999993</v>
      </c>
      <c r="G1728" t="s">
        <v>20</v>
      </c>
      <c r="H1728" t="s">
        <v>11</v>
      </c>
    </row>
    <row r="1729" spans="1:8" x14ac:dyDescent="0.25">
      <c r="A1729" s="1">
        <v>45669.958333333336</v>
      </c>
      <c r="B1729" t="s">
        <v>19</v>
      </c>
      <c r="C1729">
        <v>471.99</v>
      </c>
      <c r="D1729">
        <v>24.4</v>
      </c>
      <c r="E1729" t="s">
        <v>9</v>
      </c>
      <c r="F1729">
        <v>35.26</v>
      </c>
      <c r="G1729" t="s">
        <v>20</v>
      </c>
      <c r="H1729" t="s">
        <v>12</v>
      </c>
    </row>
    <row r="1730" spans="1:8" x14ac:dyDescent="0.25">
      <c r="A1730" s="1">
        <v>45670</v>
      </c>
      <c r="B1730" t="s">
        <v>19</v>
      </c>
      <c r="C1730">
        <v>456.6</v>
      </c>
      <c r="D1730">
        <v>33.35</v>
      </c>
      <c r="E1730" t="s">
        <v>9</v>
      </c>
      <c r="F1730">
        <v>42.39</v>
      </c>
      <c r="G1730" t="s">
        <v>20</v>
      </c>
      <c r="H1730" t="s">
        <v>11</v>
      </c>
    </row>
    <row r="1731" spans="1:8" x14ac:dyDescent="0.25">
      <c r="A1731" s="1">
        <v>45670.041666666664</v>
      </c>
      <c r="B1731" t="s">
        <v>19</v>
      </c>
      <c r="C1731">
        <v>213</v>
      </c>
      <c r="D1731">
        <v>31.62</v>
      </c>
      <c r="E1731" t="s">
        <v>9</v>
      </c>
      <c r="F1731">
        <v>85.73</v>
      </c>
      <c r="G1731" t="s">
        <v>20</v>
      </c>
      <c r="H1731" t="s">
        <v>13</v>
      </c>
    </row>
    <row r="1732" spans="1:8" x14ac:dyDescent="0.25">
      <c r="A1732" s="1">
        <v>45670.083333333336</v>
      </c>
      <c r="B1732" t="s">
        <v>19</v>
      </c>
      <c r="C1732">
        <v>66.87</v>
      </c>
      <c r="D1732">
        <v>88.34</v>
      </c>
      <c r="E1732" t="s">
        <v>14</v>
      </c>
      <c r="F1732">
        <v>38.380000000000003</v>
      </c>
      <c r="G1732" t="s">
        <v>20</v>
      </c>
      <c r="H1732" t="s">
        <v>11</v>
      </c>
    </row>
    <row r="1733" spans="1:8" x14ac:dyDescent="0.25">
      <c r="A1733" s="1">
        <v>45670.125</v>
      </c>
      <c r="B1733" t="s">
        <v>19</v>
      </c>
      <c r="C1733">
        <v>173.32</v>
      </c>
      <c r="D1733">
        <v>19.27</v>
      </c>
      <c r="E1733" t="s">
        <v>9</v>
      </c>
      <c r="F1733">
        <v>33</v>
      </c>
      <c r="G1733" t="s">
        <v>20</v>
      </c>
      <c r="H1733" t="s">
        <v>12</v>
      </c>
    </row>
    <row r="1734" spans="1:8" x14ac:dyDescent="0.25">
      <c r="A1734" s="1">
        <v>45670.166666666664</v>
      </c>
      <c r="B1734" t="s">
        <v>19</v>
      </c>
      <c r="C1734">
        <v>307.85000000000002</v>
      </c>
      <c r="D1734">
        <v>51.13</v>
      </c>
      <c r="E1734" t="s">
        <v>9</v>
      </c>
      <c r="F1734">
        <v>46.62</v>
      </c>
      <c r="G1734" t="s">
        <v>20</v>
      </c>
      <c r="H1734" t="s">
        <v>11</v>
      </c>
    </row>
    <row r="1735" spans="1:8" x14ac:dyDescent="0.25">
      <c r="A1735" s="1">
        <v>45670.208333333336</v>
      </c>
      <c r="B1735" t="s">
        <v>19</v>
      </c>
      <c r="C1735">
        <v>204.3</v>
      </c>
      <c r="D1735">
        <v>47.89</v>
      </c>
      <c r="E1735" t="s">
        <v>9</v>
      </c>
      <c r="F1735">
        <v>85.74</v>
      </c>
      <c r="G1735" t="s">
        <v>20</v>
      </c>
      <c r="H1735" t="s">
        <v>13</v>
      </c>
    </row>
    <row r="1736" spans="1:8" x14ac:dyDescent="0.25">
      <c r="A1736" s="1">
        <v>45670.25</v>
      </c>
      <c r="B1736" t="s">
        <v>19</v>
      </c>
      <c r="C1736">
        <v>84.92</v>
      </c>
      <c r="D1736">
        <v>25.75</v>
      </c>
      <c r="E1736" t="s">
        <v>9</v>
      </c>
      <c r="F1736">
        <v>71.95</v>
      </c>
      <c r="G1736" t="s">
        <v>20</v>
      </c>
      <c r="H1736" t="s">
        <v>13</v>
      </c>
    </row>
    <row r="1737" spans="1:8" x14ac:dyDescent="0.25">
      <c r="A1737" s="1">
        <v>45670.291666666664</v>
      </c>
      <c r="B1737" t="s">
        <v>19</v>
      </c>
      <c r="C1737">
        <v>221.5</v>
      </c>
      <c r="D1737">
        <v>63.72</v>
      </c>
      <c r="E1737" t="s">
        <v>9</v>
      </c>
      <c r="F1737">
        <v>67.42</v>
      </c>
      <c r="G1737" t="s">
        <v>20</v>
      </c>
      <c r="H1737" t="s">
        <v>11</v>
      </c>
    </row>
    <row r="1738" spans="1:8" x14ac:dyDescent="0.25">
      <c r="A1738" s="1">
        <v>45670.333333333336</v>
      </c>
      <c r="B1738" t="s">
        <v>19</v>
      </c>
      <c r="C1738">
        <v>426.19</v>
      </c>
      <c r="D1738">
        <v>23.94</v>
      </c>
      <c r="E1738" t="s">
        <v>9</v>
      </c>
      <c r="F1738">
        <v>79.349999999999994</v>
      </c>
      <c r="G1738" t="s">
        <v>20</v>
      </c>
      <c r="H1738" t="s">
        <v>12</v>
      </c>
    </row>
    <row r="1739" spans="1:8" x14ac:dyDescent="0.25">
      <c r="A1739" s="1">
        <v>45670.375</v>
      </c>
      <c r="B1739" t="s">
        <v>19</v>
      </c>
      <c r="C1739">
        <v>377.28</v>
      </c>
      <c r="D1739">
        <v>35.83</v>
      </c>
      <c r="E1739" t="s">
        <v>9</v>
      </c>
      <c r="F1739">
        <v>36.01</v>
      </c>
      <c r="G1739" t="s">
        <v>20</v>
      </c>
      <c r="H1739" t="s">
        <v>12</v>
      </c>
    </row>
    <row r="1740" spans="1:8" x14ac:dyDescent="0.25">
      <c r="A1740" s="1">
        <v>45670.416666666664</v>
      </c>
      <c r="B1740" t="s">
        <v>19</v>
      </c>
      <c r="C1740">
        <v>286.88</v>
      </c>
      <c r="D1740">
        <v>68.95</v>
      </c>
      <c r="E1740" t="s">
        <v>9</v>
      </c>
      <c r="F1740">
        <v>47.17</v>
      </c>
      <c r="G1740" t="s">
        <v>20</v>
      </c>
      <c r="H1740" t="s">
        <v>11</v>
      </c>
    </row>
    <row r="1741" spans="1:8" x14ac:dyDescent="0.25">
      <c r="A1741" s="1">
        <v>45670.458333333336</v>
      </c>
      <c r="B1741" t="s">
        <v>19</v>
      </c>
      <c r="C1741">
        <v>211.64</v>
      </c>
      <c r="D1741">
        <v>61.02</v>
      </c>
      <c r="E1741" t="s">
        <v>9</v>
      </c>
      <c r="F1741">
        <v>34.44</v>
      </c>
      <c r="G1741" t="s">
        <v>20</v>
      </c>
      <c r="H1741" t="s">
        <v>13</v>
      </c>
    </row>
    <row r="1742" spans="1:8" x14ac:dyDescent="0.25">
      <c r="A1742" s="1">
        <v>45670.5</v>
      </c>
      <c r="B1742" t="s">
        <v>19</v>
      </c>
      <c r="C1742">
        <v>392.95</v>
      </c>
      <c r="D1742">
        <v>48.78</v>
      </c>
      <c r="E1742" t="s">
        <v>9</v>
      </c>
      <c r="F1742">
        <v>33.26</v>
      </c>
      <c r="G1742" t="s">
        <v>20</v>
      </c>
      <c r="H1742" t="s">
        <v>11</v>
      </c>
    </row>
    <row r="1743" spans="1:8" x14ac:dyDescent="0.25">
      <c r="A1743" s="1">
        <v>45670.541666666664</v>
      </c>
      <c r="B1743" t="s">
        <v>19</v>
      </c>
      <c r="C1743">
        <v>499.44</v>
      </c>
      <c r="D1743">
        <v>44.11</v>
      </c>
      <c r="E1743" t="s">
        <v>9</v>
      </c>
      <c r="F1743">
        <v>47.93</v>
      </c>
      <c r="G1743" t="s">
        <v>20</v>
      </c>
      <c r="H1743" t="s">
        <v>12</v>
      </c>
    </row>
    <row r="1744" spans="1:8" x14ac:dyDescent="0.25">
      <c r="A1744" s="1">
        <v>45670.583333333336</v>
      </c>
      <c r="B1744" t="s">
        <v>19</v>
      </c>
      <c r="C1744">
        <v>499.38</v>
      </c>
      <c r="D1744">
        <v>64.989999999999995</v>
      </c>
      <c r="E1744" t="s">
        <v>9</v>
      </c>
      <c r="F1744">
        <v>77.709999999999994</v>
      </c>
      <c r="G1744" t="s">
        <v>20</v>
      </c>
      <c r="H1744" t="s">
        <v>11</v>
      </c>
    </row>
    <row r="1745" spans="1:8" x14ac:dyDescent="0.25">
      <c r="A1745" s="1">
        <v>45670.625</v>
      </c>
      <c r="B1745" t="s">
        <v>19</v>
      </c>
      <c r="C1745">
        <v>69.62</v>
      </c>
      <c r="D1745">
        <v>38.729999999999997</v>
      </c>
      <c r="E1745" t="s">
        <v>9</v>
      </c>
      <c r="F1745">
        <v>71.75</v>
      </c>
      <c r="G1745" t="s">
        <v>20</v>
      </c>
      <c r="H1745" t="s">
        <v>11</v>
      </c>
    </row>
    <row r="1746" spans="1:8" x14ac:dyDescent="0.25">
      <c r="A1746" s="1">
        <v>45670.666666666664</v>
      </c>
      <c r="B1746" t="s">
        <v>19</v>
      </c>
      <c r="C1746">
        <v>359.65</v>
      </c>
      <c r="D1746">
        <v>15.71</v>
      </c>
      <c r="E1746" t="s">
        <v>9</v>
      </c>
      <c r="F1746">
        <v>50.2</v>
      </c>
      <c r="G1746" t="s">
        <v>20</v>
      </c>
      <c r="H1746" t="s">
        <v>11</v>
      </c>
    </row>
    <row r="1747" spans="1:8" x14ac:dyDescent="0.25">
      <c r="A1747" s="1">
        <v>45670.708333333336</v>
      </c>
      <c r="B1747" t="s">
        <v>19</v>
      </c>
      <c r="C1747">
        <v>386.67</v>
      </c>
      <c r="D1747">
        <v>94.37</v>
      </c>
      <c r="E1747" t="s">
        <v>14</v>
      </c>
      <c r="F1747">
        <v>53.81</v>
      </c>
      <c r="G1747" t="s">
        <v>20</v>
      </c>
      <c r="H1747" t="s">
        <v>13</v>
      </c>
    </row>
    <row r="1748" spans="1:8" x14ac:dyDescent="0.25">
      <c r="A1748" s="1">
        <v>45670.75</v>
      </c>
      <c r="B1748" t="s">
        <v>19</v>
      </c>
      <c r="C1748">
        <v>148.91</v>
      </c>
      <c r="D1748">
        <v>39.07</v>
      </c>
      <c r="E1748" t="s">
        <v>9</v>
      </c>
      <c r="F1748">
        <v>67.010000000000005</v>
      </c>
      <c r="G1748" t="s">
        <v>20</v>
      </c>
      <c r="H1748" t="s">
        <v>13</v>
      </c>
    </row>
    <row r="1749" spans="1:8" x14ac:dyDescent="0.25">
      <c r="A1749" s="1">
        <v>45670.791666666664</v>
      </c>
      <c r="B1749" t="s">
        <v>19</v>
      </c>
      <c r="C1749">
        <v>213.93</v>
      </c>
      <c r="D1749">
        <v>20.5</v>
      </c>
      <c r="E1749" t="s">
        <v>9</v>
      </c>
      <c r="F1749">
        <v>83.22</v>
      </c>
      <c r="G1749" t="s">
        <v>20</v>
      </c>
      <c r="H1749" t="s">
        <v>12</v>
      </c>
    </row>
    <row r="1750" spans="1:8" x14ac:dyDescent="0.25">
      <c r="A1750" s="1">
        <v>45670.833333333336</v>
      </c>
      <c r="B1750" t="s">
        <v>19</v>
      </c>
      <c r="C1750">
        <v>276.14</v>
      </c>
      <c r="D1750">
        <v>35.96</v>
      </c>
      <c r="E1750" t="s">
        <v>9</v>
      </c>
      <c r="F1750">
        <v>86.86</v>
      </c>
      <c r="G1750" t="s">
        <v>20</v>
      </c>
      <c r="H1750" t="s">
        <v>11</v>
      </c>
    </row>
    <row r="1751" spans="1:8" x14ac:dyDescent="0.25">
      <c r="A1751" s="1">
        <v>45670.875</v>
      </c>
      <c r="B1751" t="s">
        <v>19</v>
      </c>
      <c r="C1751">
        <v>103.28</v>
      </c>
      <c r="D1751">
        <v>75.239999999999995</v>
      </c>
      <c r="E1751" t="s">
        <v>9</v>
      </c>
      <c r="F1751">
        <v>35.89</v>
      </c>
      <c r="G1751" t="s">
        <v>20</v>
      </c>
      <c r="H1751" t="s">
        <v>13</v>
      </c>
    </row>
    <row r="1752" spans="1:8" x14ac:dyDescent="0.25">
      <c r="A1752" s="1">
        <v>45670.916666666664</v>
      </c>
      <c r="B1752" t="s">
        <v>19</v>
      </c>
      <c r="C1752">
        <v>344.07</v>
      </c>
      <c r="D1752">
        <v>36.64</v>
      </c>
      <c r="E1752" t="s">
        <v>9</v>
      </c>
      <c r="F1752">
        <v>64.239999999999995</v>
      </c>
      <c r="G1752" t="s">
        <v>20</v>
      </c>
      <c r="H1752" t="s">
        <v>13</v>
      </c>
    </row>
    <row r="1753" spans="1:8" x14ac:dyDescent="0.25">
      <c r="A1753" s="1">
        <v>45670.958333333336</v>
      </c>
      <c r="B1753" t="s">
        <v>19</v>
      </c>
      <c r="C1753">
        <v>448.3</v>
      </c>
      <c r="D1753">
        <v>17.64</v>
      </c>
      <c r="E1753" t="s">
        <v>9</v>
      </c>
      <c r="F1753">
        <v>40.090000000000003</v>
      </c>
      <c r="G1753" t="s">
        <v>20</v>
      </c>
      <c r="H1753" t="s">
        <v>12</v>
      </c>
    </row>
    <row r="1754" spans="1:8" x14ac:dyDescent="0.25">
      <c r="A1754" s="1">
        <v>45671</v>
      </c>
      <c r="B1754" t="s">
        <v>19</v>
      </c>
      <c r="C1754">
        <v>467.23</v>
      </c>
      <c r="D1754">
        <v>87.01</v>
      </c>
      <c r="E1754" t="s">
        <v>14</v>
      </c>
      <c r="F1754">
        <v>35.39</v>
      </c>
      <c r="G1754" t="s">
        <v>20</v>
      </c>
      <c r="H1754" t="s">
        <v>12</v>
      </c>
    </row>
    <row r="1755" spans="1:8" x14ac:dyDescent="0.25">
      <c r="A1755" s="1">
        <v>45671.041666666664</v>
      </c>
      <c r="B1755" t="s">
        <v>19</v>
      </c>
      <c r="C1755">
        <v>272.98</v>
      </c>
      <c r="D1755">
        <v>22.64</v>
      </c>
      <c r="E1755" t="s">
        <v>9</v>
      </c>
      <c r="F1755">
        <v>50.73</v>
      </c>
      <c r="G1755" t="s">
        <v>20</v>
      </c>
      <c r="H1755" t="s">
        <v>12</v>
      </c>
    </row>
    <row r="1756" spans="1:8" x14ac:dyDescent="0.25">
      <c r="A1756" s="1">
        <v>45671.083333333336</v>
      </c>
      <c r="B1756" t="s">
        <v>19</v>
      </c>
      <c r="C1756">
        <v>199.75</v>
      </c>
      <c r="D1756">
        <v>44.96</v>
      </c>
      <c r="E1756" t="s">
        <v>9</v>
      </c>
      <c r="F1756">
        <v>65.66</v>
      </c>
      <c r="G1756" t="s">
        <v>20</v>
      </c>
      <c r="H1756" t="s">
        <v>12</v>
      </c>
    </row>
    <row r="1757" spans="1:8" x14ac:dyDescent="0.25">
      <c r="A1757" s="1">
        <v>45671.125</v>
      </c>
      <c r="B1757" t="s">
        <v>19</v>
      </c>
      <c r="C1757">
        <v>165.15</v>
      </c>
      <c r="D1757">
        <v>29.95</v>
      </c>
      <c r="E1757" t="s">
        <v>9</v>
      </c>
      <c r="F1757">
        <v>30.95</v>
      </c>
      <c r="G1757" t="s">
        <v>20</v>
      </c>
      <c r="H1757" t="s">
        <v>13</v>
      </c>
    </row>
    <row r="1758" spans="1:8" x14ac:dyDescent="0.25">
      <c r="A1758" s="1">
        <v>45671.166666666664</v>
      </c>
      <c r="B1758" t="s">
        <v>19</v>
      </c>
      <c r="C1758">
        <v>302.47000000000003</v>
      </c>
      <c r="D1758">
        <v>45.1</v>
      </c>
      <c r="E1758" t="s">
        <v>9</v>
      </c>
      <c r="F1758">
        <v>46.12</v>
      </c>
      <c r="G1758" t="s">
        <v>20</v>
      </c>
      <c r="H1758" t="s">
        <v>11</v>
      </c>
    </row>
    <row r="1759" spans="1:8" x14ac:dyDescent="0.25">
      <c r="A1759" s="1">
        <v>45671.208333333336</v>
      </c>
      <c r="B1759" t="s">
        <v>19</v>
      </c>
      <c r="C1759">
        <v>84.18</v>
      </c>
      <c r="D1759">
        <v>70.319999999999993</v>
      </c>
      <c r="E1759" t="s">
        <v>9</v>
      </c>
      <c r="F1759">
        <v>45.16</v>
      </c>
      <c r="G1759" t="s">
        <v>20</v>
      </c>
      <c r="H1759" t="s">
        <v>13</v>
      </c>
    </row>
    <row r="1760" spans="1:8" x14ac:dyDescent="0.25">
      <c r="A1760" s="1">
        <v>45671.25</v>
      </c>
      <c r="B1760" t="s">
        <v>19</v>
      </c>
      <c r="C1760">
        <v>388.97</v>
      </c>
      <c r="D1760">
        <v>75.63</v>
      </c>
      <c r="E1760" t="s">
        <v>9</v>
      </c>
      <c r="F1760">
        <v>33.6</v>
      </c>
      <c r="G1760" t="s">
        <v>20</v>
      </c>
      <c r="H1760" t="s">
        <v>13</v>
      </c>
    </row>
    <row r="1761" spans="1:8" x14ac:dyDescent="0.25">
      <c r="A1761" s="1">
        <v>45671.291666666664</v>
      </c>
      <c r="B1761" t="s">
        <v>19</v>
      </c>
      <c r="C1761">
        <v>488.27</v>
      </c>
      <c r="D1761">
        <v>29.66</v>
      </c>
      <c r="E1761" t="s">
        <v>9</v>
      </c>
      <c r="F1761">
        <v>79.33</v>
      </c>
      <c r="G1761" t="s">
        <v>20</v>
      </c>
      <c r="H1761" t="s">
        <v>12</v>
      </c>
    </row>
    <row r="1762" spans="1:8" x14ac:dyDescent="0.25">
      <c r="A1762" s="1">
        <v>45671.333333333336</v>
      </c>
      <c r="B1762" t="s">
        <v>19</v>
      </c>
      <c r="C1762">
        <v>107.18</v>
      </c>
      <c r="D1762">
        <v>22.41</v>
      </c>
      <c r="E1762" t="s">
        <v>9</v>
      </c>
      <c r="F1762">
        <v>72.61</v>
      </c>
      <c r="G1762" t="s">
        <v>20</v>
      </c>
      <c r="H1762" t="s">
        <v>12</v>
      </c>
    </row>
    <row r="1763" spans="1:8" x14ac:dyDescent="0.25">
      <c r="A1763" s="1">
        <v>45671.375</v>
      </c>
      <c r="B1763" t="s">
        <v>19</v>
      </c>
      <c r="C1763">
        <v>188.05</v>
      </c>
      <c r="D1763">
        <v>52.5</v>
      </c>
      <c r="E1763" t="s">
        <v>9</v>
      </c>
      <c r="F1763">
        <v>56.96</v>
      </c>
      <c r="G1763" t="s">
        <v>20</v>
      </c>
      <c r="H1763" t="s">
        <v>11</v>
      </c>
    </row>
    <row r="1764" spans="1:8" x14ac:dyDescent="0.25">
      <c r="A1764" s="1">
        <v>45671.416666666664</v>
      </c>
      <c r="B1764" t="s">
        <v>19</v>
      </c>
      <c r="C1764">
        <v>330.54</v>
      </c>
      <c r="D1764">
        <v>66.2</v>
      </c>
      <c r="E1764" t="s">
        <v>9</v>
      </c>
      <c r="F1764">
        <v>72.84</v>
      </c>
      <c r="G1764" t="s">
        <v>20</v>
      </c>
      <c r="H1764" t="s">
        <v>13</v>
      </c>
    </row>
    <row r="1765" spans="1:8" x14ac:dyDescent="0.25">
      <c r="A1765" s="1">
        <v>45671.458333333336</v>
      </c>
      <c r="B1765" t="s">
        <v>19</v>
      </c>
      <c r="C1765">
        <v>256.39999999999998</v>
      </c>
      <c r="D1765">
        <v>76.260000000000005</v>
      </c>
      <c r="E1765" t="s">
        <v>9</v>
      </c>
      <c r="F1765">
        <v>65.5</v>
      </c>
      <c r="G1765" t="s">
        <v>20</v>
      </c>
      <c r="H1765" t="s">
        <v>13</v>
      </c>
    </row>
    <row r="1766" spans="1:8" x14ac:dyDescent="0.25">
      <c r="A1766" s="1">
        <v>45671.5</v>
      </c>
      <c r="B1766" t="s">
        <v>19</v>
      </c>
      <c r="C1766">
        <v>493.22</v>
      </c>
      <c r="D1766">
        <v>79.930000000000007</v>
      </c>
      <c r="E1766" t="s">
        <v>9</v>
      </c>
      <c r="F1766">
        <v>39.880000000000003</v>
      </c>
      <c r="G1766" t="s">
        <v>20</v>
      </c>
      <c r="H1766" t="s">
        <v>13</v>
      </c>
    </row>
    <row r="1767" spans="1:8" x14ac:dyDescent="0.25">
      <c r="A1767" s="1">
        <v>45671.541666666664</v>
      </c>
      <c r="B1767" t="s">
        <v>19</v>
      </c>
      <c r="C1767">
        <v>451.64</v>
      </c>
      <c r="D1767">
        <v>18.91</v>
      </c>
      <c r="E1767" t="s">
        <v>9</v>
      </c>
      <c r="F1767">
        <v>83.21</v>
      </c>
      <c r="G1767" t="s">
        <v>20</v>
      </c>
      <c r="H1767" t="s">
        <v>11</v>
      </c>
    </row>
    <row r="1768" spans="1:8" x14ac:dyDescent="0.25">
      <c r="A1768" s="1">
        <v>45671.583333333336</v>
      </c>
      <c r="B1768" t="s">
        <v>19</v>
      </c>
      <c r="C1768">
        <v>290</v>
      </c>
      <c r="D1768">
        <v>83.5</v>
      </c>
      <c r="E1768" t="s">
        <v>9</v>
      </c>
      <c r="F1768">
        <v>74.209999999999994</v>
      </c>
      <c r="G1768" t="s">
        <v>20</v>
      </c>
      <c r="H1768" t="s">
        <v>11</v>
      </c>
    </row>
    <row r="1769" spans="1:8" x14ac:dyDescent="0.25">
      <c r="A1769" s="1">
        <v>45671.625</v>
      </c>
      <c r="B1769" t="s">
        <v>19</v>
      </c>
      <c r="C1769">
        <v>312.39999999999998</v>
      </c>
      <c r="D1769">
        <v>89.8</v>
      </c>
      <c r="E1769" t="s">
        <v>14</v>
      </c>
      <c r="F1769">
        <v>82.06</v>
      </c>
      <c r="G1769" t="s">
        <v>20</v>
      </c>
      <c r="H1769" t="s">
        <v>13</v>
      </c>
    </row>
    <row r="1770" spans="1:8" x14ac:dyDescent="0.25">
      <c r="A1770" s="1">
        <v>45671.666666666664</v>
      </c>
      <c r="B1770" t="s">
        <v>19</v>
      </c>
      <c r="C1770">
        <v>427.6</v>
      </c>
      <c r="D1770">
        <v>87.69</v>
      </c>
      <c r="E1770" t="s">
        <v>14</v>
      </c>
      <c r="F1770">
        <v>60.55</v>
      </c>
      <c r="G1770" t="s">
        <v>20</v>
      </c>
      <c r="H1770" t="s">
        <v>11</v>
      </c>
    </row>
    <row r="1771" spans="1:8" x14ac:dyDescent="0.25">
      <c r="A1771" s="1">
        <v>45671.708333333336</v>
      </c>
      <c r="B1771" t="s">
        <v>19</v>
      </c>
      <c r="C1771">
        <v>83.48</v>
      </c>
      <c r="D1771">
        <v>80.150000000000006</v>
      </c>
      <c r="E1771" t="s">
        <v>9</v>
      </c>
      <c r="F1771">
        <v>82.11</v>
      </c>
      <c r="G1771" t="s">
        <v>20</v>
      </c>
      <c r="H1771" t="s">
        <v>12</v>
      </c>
    </row>
    <row r="1772" spans="1:8" x14ac:dyDescent="0.25">
      <c r="A1772" s="1">
        <v>45671.75</v>
      </c>
      <c r="B1772" t="s">
        <v>19</v>
      </c>
      <c r="C1772">
        <v>251.38</v>
      </c>
      <c r="D1772">
        <v>67.64</v>
      </c>
      <c r="E1772" t="s">
        <v>9</v>
      </c>
      <c r="F1772">
        <v>72.400000000000006</v>
      </c>
      <c r="G1772" t="s">
        <v>20</v>
      </c>
      <c r="H1772" t="s">
        <v>12</v>
      </c>
    </row>
    <row r="1773" spans="1:8" x14ac:dyDescent="0.25">
      <c r="A1773" s="1">
        <v>45671.791666666664</v>
      </c>
      <c r="B1773" t="s">
        <v>19</v>
      </c>
      <c r="C1773">
        <v>54.61</v>
      </c>
      <c r="D1773">
        <v>15.8</v>
      </c>
      <c r="E1773" t="s">
        <v>9</v>
      </c>
      <c r="F1773">
        <v>30.5</v>
      </c>
      <c r="G1773" t="s">
        <v>20</v>
      </c>
      <c r="H1773" t="s">
        <v>12</v>
      </c>
    </row>
    <row r="1774" spans="1:8" x14ac:dyDescent="0.25">
      <c r="A1774" s="1">
        <v>45671.833333333336</v>
      </c>
      <c r="B1774" t="s">
        <v>19</v>
      </c>
      <c r="C1774">
        <v>484.03</v>
      </c>
      <c r="D1774">
        <v>26.26</v>
      </c>
      <c r="E1774" t="s">
        <v>9</v>
      </c>
      <c r="F1774">
        <v>31.1</v>
      </c>
      <c r="G1774" t="s">
        <v>20</v>
      </c>
      <c r="H1774" t="s">
        <v>12</v>
      </c>
    </row>
    <row r="1775" spans="1:8" x14ac:dyDescent="0.25">
      <c r="A1775" s="1">
        <v>45671.875</v>
      </c>
      <c r="B1775" t="s">
        <v>19</v>
      </c>
      <c r="C1775">
        <v>187.7</v>
      </c>
      <c r="D1775">
        <v>24.31</v>
      </c>
      <c r="E1775" t="s">
        <v>9</v>
      </c>
      <c r="F1775">
        <v>62.73</v>
      </c>
      <c r="G1775" t="s">
        <v>20</v>
      </c>
      <c r="H1775" t="s">
        <v>13</v>
      </c>
    </row>
    <row r="1776" spans="1:8" x14ac:dyDescent="0.25">
      <c r="A1776" s="1">
        <v>45671.916666666664</v>
      </c>
      <c r="B1776" t="s">
        <v>19</v>
      </c>
      <c r="C1776">
        <v>222.85</v>
      </c>
      <c r="D1776">
        <v>31.77</v>
      </c>
      <c r="E1776" t="s">
        <v>9</v>
      </c>
      <c r="F1776">
        <v>48.32</v>
      </c>
      <c r="G1776" t="s">
        <v>20</v>
      </c>
      <c r="H1776" t="s">
        <v>11</v>
      </c>
    </row>
    <row r="1777" spans="1:8" x14ac:dyDescent="0.25">
      <c r="A1777" s="1">
        <v>45671.958333333336</v>
      </c>
      <c r="B1777" t="s">
        <v>19</v>
      </c>
      <c r="C1777">
        <v>371.69</v>
      </c>
      <c r="D1777">
        <v>72.97</v>
      </c>
      <c r="E1777" t="s">
        <v>9</v>
      </c>
      <c r="F1777">
        <v>69.989999999999995</v>
      </c>
      <c r="G1777" t="s">
        <v>20</v>
      </c>
      <c r="H1777" t="s">
        <v>11</v>
      </c>
    </row>
    <row r="1778" spans="1:8" x14ac:dyDescent="0.25">
      <c r="A1778" s="1">
        <v>45672</v>
      </c>
      <c r="B1778" t="s">
        <v>19</v>
      </c>
      <c r="C1778">
        <v>382.7</v>
      </c>
      <c r="D1778">
        <v>67.44</v>
      </c>
      <c r="E1778" t="s">
        <v>9</v>
      </c>
      <c r="F1778">
        <v>43.71</v>
      </c>
      <c r="G1778" t="s">
        <v>20</v>
      </c>
      <c r="H1778" t="s">
        <v>11</v>
      </c>
    </row>
    <row r="1779" spans="1:8" x14ac:dyDescent="0.25">
      <c r="A1779" s="1">
        <v>45672.041666666664</v>
      </c>
      <c r="B1779" t="s">
        <v>19</v>
      </c>
      <c r="C1779">
        <v>418.2</v>
      </c>
      <c r="D1779">
        <v>14.45</v>
      </c>
      <c r="E1779" t="s">
        <v>9</v>
      </c>
      <c r="F1779">
        <v>89.52</v>
      </c>
      <c r="G1779" t="s">
        <v>20</v>
      </c>
      <c r="H1779" t="s">
        <v>12</v>
      </c>
    </row>
    <row r="1780" spans="1:8" x14ac:dyDescent="0.25">
      <c r="A1780" s="1">
        <v>45672.083333333336</v>
      </c>
      <c r="B1780" t="s">
        <v>19</v>
      </c>
      <c r="C1780">
        <v>314.32</v>
      </c>
      <c r="D1780">
        <v>50.41</v>
      </c>
      <c r="E1780" t="s">
        <v>9</v>
      </c>
      <c r="F1780">
        <v>75.540000000000006</v>
      </c>
      <c r="G1780" t="s">
        <v>20</v>
      </c>
      <c r="H1780" t="s">
        <v>12</v>
      </c>
    </row>
    <row r="1781" spans="1:8" x14ac:dyDescent="0.25">
      <c r="A1781" s="1">
        <v>45672.125</v>
      </c>
      <c r="B1781" t="s">
        <v>19</v>
      </c>
      <c r="C1781">
        <v>264.56</v>
      </c>
      <c r="D1781">
        <v>24.75</v>
      </c>
      <c r="E1781" t="s">
        <v>9</v>
      </c>
      <c r="F1781">
        <v>53.7</v>
      </c>
      <c r="G1781" t="s">
        <v>20</v>
      </c>
      <c r="H1781" t="s">
        <v>11</v>
      </c>
    </row>
    <row r="1782" spans="1:8" x14ac:dyDescent="0.25">
      <c r="A1782" s="1">
        <v>45672.166666666664</v>
      </c>
      <c r="B1782" t="s">
        <v>19</v>
      </c>
      <c r="C1782">
        <v>180.75</v>
      </c>
      <c r="D1782">
        <v>36.5</v>
      </c>
      <c r="E1782" t="s">
        <v>9</v>
      </c>
      <c r="F1782">
        <v>70.03</v>
      </c>
      <c r="G1782" t="s">
        <v>20</v>
      </c>
      <c r="H1782" t="s">
        <v>11</v>
      </c>
    </row>
    <row r="1783" spans="1:8" x14ac:dyDescent="0.25">
      <c r="A1783" s="1">
        <v>45672.208333333336</v>
      </c>
      <c r="B1783" t="s">
        <v>19</v>
      </c>
      <c r="C1783">
        <v>497.67</v>
      </c>
      <c r="D1783">
        <v>23.31</v>
      </c>
      <c r="E1783" t="s">
        <v>9</v>
      </c>
      <c r="F1783">
        <v>73.56</v>
      </c>
      <c r="G1783" t="s">
        <v>20</v>
      </c>
      <c r="H1783" t="s">
        <v>11</v>
      </c>
    </row>
    <row r="1784" spans="1:8" x14ac:dyDescent="0.25">
      <c r="A1784" s="1">
        <v>45672.25</v>
      </c>
      <c r="B1784" t="s">
        <v>19</v>
      </c>
      <c r="C1784">
        <v>371.96</v>
      </c>
      <c r="D1784">
        <v>70.88</v>
      </c>
      <c r="E1784" t="s">
        <v>9</v>
      </c>
      <c r="F1784">
        <v>88.02</v>
      </c>
      <c r="G1784" t="s">
        <v>20</v>
      </c>
      <c r="H1784" t="s">
        <v>12</v>
      </c>
    </row>
    <row r="1785" spans="1:8" x14ac:dyDescent="0.25">
      <c r="A1785" s="1">
        <v>45672.291666666664</v>
      </c>
      <c r="B1785" t="s">
        <v>19</v>
      </c>
      <c r="C1785">
        <v>473.39</v>
      </c>
      <c r="D1785">
        <v>29.71</v>
      </c>
      <c r="E1785" t="s">
        <v>9</v>
      </c>
      <c r="F1785">
        <v>39.700000000000003</v>
      </c>
      <c r="G1785" t="s">
        <v>20</v>
      </c>
      <c r="H1785" t="s">
        <v>12</v>
      </c>
    </row>
    <row r="1786" spans="1:8" x14ac:dyDescent="0.25">
      <c r="A1786" s="1">
        <v>45672.333333333336</v>
      </c>
      <c r="B1786" t="s">
        <v>19</v>
      </c>
      <c r="C1786">
        <v>282</v>
      </c>
      <c r="D1786">
        <v>60.15</v>
      </c>
      <c r="E1786" t="s">
        <v>9</v>
      </c>
      <c r="F1786">
        <v>43.3</v>
      </c>
      <c r="G1786" t="s">
        <v>20</v>
      </c>
      <c r="H1786" t="s">
        <v>11</v>
      </c>
    </row>
    <row r="1787" spans="1:8" x14ac:dyDescent="0.25">
      <c r="A1787" s="1">
        <v>45672.375</v>
      </c>
      <c r="B1787" t="s">
        <v>19</v>
      </c>
      <c r="C1787">
        <v>464.96</v>
      </c>
      <c r="D1787">
        <v>67.19</v>
      </c>
      <c r="E1787" t="s">
        <v>9</v>
      </c>
      <c r="F1787">
        <v>56.18</v>
      </c>
      <c r="G1787" t="s">
        <v>20</v>
      </c>
      <c r="H1787" t="s">
        <v>12</v>
      </c>
    </row>
    <row r="1788" spans="1:8" x14ac:dyDescent="0.25">
      <c r="A1788" s="1">
        <v>45672.416666666664</v>
      </c>
      <c r="B1788" t="s">
        <v>19</v>
      </c>
      <c r="C1788">
        <v>134.82</v>
      </c>
      <c r="D1788">
        <v>79.290000000000006</v>
      </c>
      <c r="E1788" t="s">
        <v>9</v>
      </c>
      <c r="F1788">
        <v>37.840000000000003</v>
      </c>
      <c r="G1788" t="s">
        <v>20</v>
      </c>
      <c r="H1788" t="s">
        <v>12</v>
      </c>
    </row>
    <row r="1789" spans="1:8" x14ac:dyDescent="0.25">
      <c r="A1789" s="1">
        <v>45672.458333333336</v>
      </c>
      <c r="B1789" t="s">
        <v>19</v>
      </c>
      <c r="C1789">
        <v>159.5</v>
      </c>
      <c r="D1789">
        <v>85.08</v>
      </c>
      <c r="E1789" t="s">
        <v>14</v>
      </c>
      <c r="F1789">
        <v>41.94</v>
      </c>
      <c r="G1789" t="s">
        <v>20</v>
      </c>
      <c r="H1789" t="s">
        <v>13</v>
      </c>
    </row>
    <row r="1790" spans="1:8" x14ac:dyDescent="0.25">
      <c r="A1790" s="1">
        <v>45672.5</v>
      </c>
      <c r="B1790" t="s">
        <v>19</v>
      </c>
      <c r="C1790">
        <v>410.54</v>
      </c>
      <c r="D1790">
        <v>76.510000000000005</v>
      </c>
      <c r="E1790" t="s">
        <v>9</v>
      </c>
      <c r="F1790">
        <v>85.17</v>
      </c>
      <c r="G1790" t="s">
        <v>20</v>
      </c>
      <c r="H1790" t="s">
        <v>12</v>
      </c>
    </row>
    <row r="1791" spans="1:8" x14ac:dyDescent="0.25">
      <c r="A1791" s="1">
        <v>45672.541666666664</v>
      </c>
      <c r="B1791" t="s">
        <v>19</v>
      </c>
      <c r="C1791">
        <v>382.87</v>
      </c>
      <c r="D1791">
        <v>84.52</v>
      </c>
      <c r="E1791" t="s">
        <v>9</v>
      </c>
      <c r="F1791">
        <v>68.040000000000006</v>
      </c>
      <c r="G1791" t="s">
        <v>20</v>
      </c>
      <c r="H1791" t="s">
        <v>13</v>
      </c>
    </row>
    <row r="1792" spans="1:8" x14ac:dyDescent="0.25">
      <c r="A1792" s="1">
        <v>45672.583333333336</v>
      </c>
      <c r="B1792" t="s">
        <v>19</v>
      </c>
      <c r="C1792">
        <v>92</v>
      </c>
      <c r="D1792">
        <v>27.99</v>
      </c>
      <c r="E1792" t="s">
        <v>9</v>
      </c>
      <c r="F1792">
        <v>30.74</v>
      </c>
      <c r="G1792" t="s">
        <v>20</v>
      </c>
      <c r="H1792" t="s">
        <v>11</v>
      </c>
    </row>
    <row r="1793" spans="1:8" x14ac:dyDescent="0.25">
      <c r="A1793" s="1">
        <v>45672.625</v>
      </c>
      <c r="B1793" t="s">
        <v>19</v>
      </c>
      <c r="C1793">
        <v>449.03</v>
      </c>
      <c r="D1793">
        <v>68.319999999999993</v>
      </c>
      <c r="E1793" t="s">
        <v>9</v>
      </c>
      <c r="F1793">
        <v>88.92</v>
      </c>
      <c r="G1793" t="s">
        <v>20</v>
      </c>
      <c r="H1793" t="s">
        <v>12</v>
      </c>
    </row>
    <row r="1794" spans="1:8" x14ac:dyDescent="0.25">
      <c r="A1794" s="1">
        <v>45672.666666666664</v>
      </c>
      <c r="B1794" t="s">
        <v>19</v>
      </c>
      <c r="C1794">
        <v>456.35</v>
      </c>
      <c r="D1794">
        <v>79.930000000000007</v>
      </c>
      <c r="E1794" t="s">
        <v>9</v>
      </c>
      <c r="F1794">
        <v>48.85</v>
      </c>
      <c r="G1794" t="s">
        <v>20</v>
      </c>
      <c r="H1794" t="s">
        <v>12</v>
      </c>
    </row>
    <row r="1795" spans="1:8" x14ac:dyDescent="0.25">
      <c r="A1795" s="1">
        <v>45672.708333333336</v>
      </c>
      <c r="B1795" t="s">
        <v>19</v>
      </c>
      <c r="C1795">
        <v>470.87</v>
      </c>
      <c r="D1795">
        <v>43.57</v>
      </c>
      <c r="E1795" t="s">
        <v>9</v>
      </c>
      <c r="F1795">
        <v>61.91</v>
      </c>
      <c r="G1795" t="s">
        <v>20</v>
      </c>
      <c r="H1795" t="s">
        <v>11</v>
      </c>
    </row>
    <row r="1796" spans="1:8" x14ac:dyDescent="0.25">
      <c r="A1796" s="1">
        <v>45672.75</v>
      </c>
      <c r="B1796" t="s">
        <v>19</v>
      </c>
      <c r="C1796">
        <v>390.95</v>
      </c>
      <c r="D1796">
        <v>59.65</v>
      </c>
      <c r="E1796" t="s">
        <v>9</v>
      </c>
      <c r="F1796">
        <v>37.200000000000003</v>
      </c>
      <c r="G1796" t="s">
        <v>20</v>
      </c>
      <c r="H1796" t="s">
        <v>13</v>
      </c>
    </row>
    <row r="1797" spans="1:8" x14ac:dyDescent="0.25">
      <c r="A1797" s="1">
        <v>45672.791666666664</v>
      </c>
      <c r="B1797" t="s">
        <v>19</v>
      </c>
      <c r="C1797">
        <v>210.56</v>
      </c>
      <c r="D1797">
        <v>78.17</v>
      </c>
      <c r="E1797" t="s">
        <v>9</v>
      </c>
      <c r="F1797">
        <v>75.489999999999995</v>
      </c>
      <c r="G1797" t="s">
        <v>20</v>
      </c>
      <c r="H1797" t="s">
        <v>11</v>
      </c>
    </row>
    <row r="1798" spans="1:8" x14ac:dyDescent="0.25">
      <c r="A1798" s="1">
        <v>45672.833333333336</v>
      </c>
      <c r="B1798" t="s">
        <v>19</v>
      </c>
      <c r="C1798">
        <v>422.57</v>
      </c>
      <c r="D1798">
        <v>71.31</v>
      </c>
      <c r="E1798" t="s">
        <v>9</v>
      </c>
      <c r="F1798">
        <v>58.77</v>
      </c>
      <c r="G1798" t="s">
        <v>20</v>
      </c>
      <c r="H1798" t="s">
        <v>11</v>
      </c>
    </row>
    <row r="1799" spans="1:8" x14ac:dyDescent="0.25">
      <c r="A1799" s="1">
        <v>45672.875</v>
      </c>
      <c r="B1799" t="s">
        <v>19</v>
      </c>
      <c r="C1799">
        <v>405.19</v>
      </c>
      <c r="D1799">
        <v>24.55</v>
      </c>
      <c r="E1799" t="s">
        <v>9</v>
      </c>
      <c r="F1799">
        <v>34.880000000000003</v>
      </c>
      <c r="G1799" t="s">
        <v>20</v>
      </c>
      <c r="H1799" t="s">
        <v>12</v>
      </c>
    </row>
    <row r="1800" spans="1:8" x14ac:dyDescent="0.25">
      <c r="A1800" s="1">
        <v>45672.916666666664</v>
      </c>
      <c r="B1800" t="s">
        <v>19</v>
      </c>
      <c r="C1800">
        <v>376.97</v>
      </c>
      <c r="D1800">
        <v>70.83</v>
      </c>
      <c r="E1800" t="s">
        <v>9</v>
      </c>
      <c r="F1800">
        <v>72.98</v>
      </c>
      <c r="G1800" t="s">
        <v>20</v>
      </c>
      <c r="H1800" t="s">
        <v>12</v>
      </c>
    </row>
    <row r="1801" spans="1:8" x14ac:dyDescent="0.25">
      <c r="A1801" s="1">
        <v>45672.958333333336</v>
      </c>
      <c r="B1801" t="s">
        <v>19</v>
      </c>
      <c r="C1801">
        <v>263.37</v>
      </c>
      <c r="D1801">
        <v>51.89</v>
      </c>
      <c r="E1801" t="s">
        <v>9</v>
      </c>
      <c r="F1801">
        <v>32</v>
      </c>
      <c r="G1801" t="s">
        <v>20</v>
      </c>
      <c r="H1801" t="s">
        <v>12</v>
      </c>
    </row>
    <row r="1802" spans="1:8" x14ac:dyDescent="0.25">
      <c r="A1802" s="1">
        <v>45658</v>
      </c>
      <c r="B1802" t="s">
        <v>21</v>
      </c>
      <c r="C1802">
        <v>119.55</v>
      </c>
      <c r="D1802">
        <v>85.8</v>
      </c>
      <c r="E1802" t="s">
        <v>14</v>
      </c>
      <c r="F1802">
        <v>46.5</v>
      </c>
      <c r="G1802" t="s">
        <v>22</v>
      </c>
      <c r="H1802" t="s">
        <v>13</v>
      </c>
    </row>
    <row r="1803" spans="1:8" x14ac:dyDescent="0.25">
      <c r="A1803" s="1">
        <v>45658.041666666664</v>
      </c>
      <c r="B1803" t="s">
        <v>21</v>
      </c>
      <c r="C1803">
        <v>435.33</v>
      </c>
      <c r="D1803">
        <v>53.74</v>
      </c>
      <c r="E1803" t="s">
        <v>9</v>
      </c>
      <c r="F1803">
        <v>43</v>
      </c>
      <c r="G1803" t="s">
        <v>22</v>
      </c>
      <c r="H1803" t="s">
        <v>11</v>
      </c>
    </row>
    <row r="1804" spans="1:8" x14ac:dyDescent="0.25">
      <c r="A1804" s="1">
        <v>45658.083333333336</v>
      </c>
      <c r="B1804" t="s">
        <v>21</v>
      </c>
      <c r="C1804">
        <v>262.08999999999997</v>
      </c>
      <c r="D1804">
        <v>23.63</v>
      </c>
      <c r="E1804" t="s">
        <v>9</v>
      </c>
      <c r="F1804">
        <v>80.98</v>
      </c>
      <c r="G1804" t="s">
        <v>22</v>
      </c>
      <c r="H1804" t="s">
        <v>11</v>
      </c>
    </row>
    <row r="1805" spans="1:8" x14ac:dyDescent="0.25">
      <c r="A1805" s="1">
        <v>45658.125</v>
      </c>
      <c r="B1805" t="s">
        <v>21</v>
      </c>
      <c r="C1805">
        <v>159.72999999999999</v>
      </c>
      <c r="D1805">
        <v>38.119999999999997</v>
      </c>
      <c r="E1805" t="s">
        <v>9</v>
      </c>
      <c r="F1805">
        <v>63.62</v>
      </c>
      <c r="G1805" t="s">
        <v>22</v>
      </c>
      <c r="H1805" t="s">
        <v>13</v>
      </c>
    </row>
    <row r="1806" spans="1:8" x14ac:dyDescent="0.25">
      <c r="A1806" s="1">
        <v>45658.166666666664</v>
      </c>
      <c r="B1806" t="s">
        <v>21</v>
      </c>
      <c r="C1806">
        <v>319.87</v>
      </c>
      <c r="D1806">
        <v>42.35</v>
      </c>
      <c r="E1806" t="s">
        <v>9</v>
      </c>
      <c r="F1806">
        <v>56.64</v>
      </c>
      <c r="G1806" t="s">
        <v>22</v>
      </c>
      <c r="H1806" t="s">
        <v>11</v>
      </c>
    </row>
    <row r="1807" spans="1:8" x14ac:dyDescent="0.25">
      <c r="A1807" s="1">
        <v>45658.208333333336</v>
      </c>
      <c r="B1807" t="s">
        <v>21</v>
      </c>
      <c r="C1807">
        <v>274.64999999999998</v>
      </c>
      <c r="D1807">
        <v>41.29</v>
      </c>
      <c r="E1807" t="s">
        <v>9</v>
      </c>
      <c r="F1807">
        <v>47.75</v>
      </c>
      <c r="G1807" t="s">
        <v>22</v>
      </c>
      <c r="H1807" t="s">
        <v>12</v>
      </c>
    </row>
    <row r="1808" spans="1:8" x14ac:dyDescent="0.25">
      <c r="A1808" s="1">
        <v>45658.25</v>
      </c>
      <c r="B1808" t="s">
        <v>21</v>
      </c>
      <c r="C1808">
        <v>266.27999999999997</v>
      </c>
      <c r="D1808">
        <v>59.41</v>
      </c>
      <c r="E1808" t="s">
        <v>9</v>
      </c>
      <c r="F1808">
        <v>79.069999999999993</v>
      </c>
      <c r="G1808" t="s">
        <v>22</v>
      </c>
      <c r="H1808" t="s">
        <v>12</v>
      </c>
    </row>
    <row r="1809" spans="1:8" x14ac:dyDescent="0.25">
      <c r="A1809" s="1">
        <v>45658.291666666664</v>
      </c>
      <c r="B1809" t="s">
        <v>21</v>
      </c>
      <c r="C1809">
        <v>79.27</v>
      </c>
      <c r="D1809">
        <v>92.97</v>
      </c>
      <c r="E1809" t="s">
        <v>14</v>
      </c>
      <c r="F1809">
        <v>70.87</v>
      </c>
      <c r="G1809" t="s">
        <v>22</v>
      </c>
      <c r="H1809" t="s">
        <v>13</v>
      </c>
    </row>
    <row r="1810" spans="1:8" x14ac:dyDescent="0.25">
      <c r="A1810" s="1">
        <v>45658.333333333336</v>
      </c>
      <c r="B1810" t="s">
        <v>21</v>
      </c>
      <c r="C1810">
        <v>365.78</v>
      </c>
      <c r="D1810">
        <v>75.25</v>
      </c>
      <c r="E1810" t="s">
        <v>9</v>
      </c>
      <c r="F1810">
        <v>76.8</v>
      </c>
      <c r="G1810" t="s">
        <v>22</v>
      </c>
      <c r="H1810" t="s">
        <v>13</v>
      </c>
    </row>
    <row r="1811" spans="1:8" x14ac:dyDescent="0.25">
      <c r="A1811" s="1">
        <v>45658.375</v>
      </c>
      <c r="B1811" t="s">
        <v>21</v>
      </c>
      <c r="C1811">
        <v>152.38</v>
      </c>
      <c r="D1811">
        <v>22.26</v>
      </c>
      <c r="E1811" t="s">
        <v>9</v>
      </c>
      <c r="F1811">
        <v>54.89</v>
      </c>
      <c r="G1811" t="s">
        <v>22</v>
      </c>
      <c r="H1811" t="s">
        <v>11</v>
      </c>
    </row>
    <row r="1812" spans="1:8" x14ac:dyDescent="0.25">
      <c r="A1812" s="1">
        <v>45658.416666666664</v>
      </c>
      <c r="B1812" t="s">
        <v>21</v>
      </c>
      <c r="C1812">
        <v>321.49</v>
      </c>
      <c r="D1812">
        <v>30.45</v>
      </c>
      <c r="E1812" t="s">
        <v>9</v>
      </c>
      <c r="F1812">
        <v>85.18</v>
      </c>
      <c r="G1812" t="s">
        <v>22</v>
      </c>
      <c r="H1812" t="s">
        <v>13</v>
      </c>
    </row>
    <row r="1813" spans="1:8" x14ac:dyDescent="0.25">
      <c r="A1813" s="1">
        <v>45658.458333333336</v>
      </c>
      <c r="B1813" t="s">
        <v>21</v>
      </c>
      <c r="C1813">
        <v>108.65</v>
      </c>
      <c r="D1813">
        <v>23.31</v>
      </c>
      <c r="E1813" t="s">
        <v>9</v>
      </c>
      <c r="F1813">
        <v>32.880000000000003</v>
      </c>
      <c r="G1813" t="s">
        <v>22</v>
      </c>
      <c r="H1813" t="s">
        <v>12</v>
      </c>
    </row>
    <row r="1814" spans="1:8" x14ac:dyDescent="0.25">
      <c r="A1814" s="1">
        <v>45658.5</v>
      </c>
      <c r="B1814" t="s">
        <v>21</v>
      </c>
      <c r="C1814">
        <v>160.11000000000001</v>
      </c>
      <c r="D1814">
        <v>82.22</v>
      </c>
      <c r="E1814" t="s">
        <v>9</v>
      </c>
      <c r="F1814">
        <v>79.38</v>
      </c>
      <c r="G1814" t="s">
        <v>22</v>
      </c>
      <c r="H1814" t="s">
        <v>12</v>
      </c>
    </row>
    <row r="1815" spans="1:8" x14ac:dyDescent="0.25">
      <c r="A1815" s="1">
        <v>45658.541666666664</v>
      </c>
      <c r="B1815" t="s">
        <v>21</v>
      </c>
      <c r="C1815">
        <v>193.15</v>
      </c>
      <c r="D1815">
        <v>28.33</v>
      </c>
      <c r="E1815" t="s">
        <v>9</v>
      </c>
      <c r="F1815">
        <v>36.14</v>
      </c>
      <c r="G1815" t="s">
        <v>22</v>
      </c>
      <c r="H1815" t="s">
        <v>11</v>
      </c>
    </row>
    <row r="1816" spans="1:8" x14ac:dyDescent="0.25">
      <c r="A1816" s="1">
        <v>45658.583333333336</v>
      </c>
      <c r="B1816" t="s">
        <v>21</v>
      </c>
      <c r="C1816">
        <v>441.9</v>
      </c>
      <c r="D1816">
        <v>14.34</v>
      </c>
      <c r="E1816" t="s">
        <v>9</v>
      </c>
      <c r="F1816">
        <v>31.26</v>
      </c>
      <c r="G1816" t="s">
        <v>22</v>
      </c>
      <c r="H1816" t="s">
        <v>12</v>
      </c>
    </row>
    <row r="1817" spans="1:8" x14ac:dyDescent="0.25">
      <c r="A1817" s="1">
        <v>45658.625</v>
      </c>
      <c r="B1817" t="s">
        <v>21</v>
      </c>
      <c r="C1817">
        <v>157.41999999999999</v>
      </c>
      <c r="D1817">
        <v>69.87</v>
      </c>
      <c r="E1817" t="s">
        <v>9</v>
      </c>
      <c r="F1817">
        <v>63.93</v>
      </c>
      <c r="G1817" t="s">
        <v>22</v>
      </c>
      <c r="H1817" t="s">
        <v>12</v>
      </c>
    </row>
    <row r="1818" spans="1:8" x14ac:dyDescent="0.25">
      <c r="A1818" s="1">
        <v>45658.666666666664</v>
      </c>
      <c r="B1818" t="s">
        <v>21</v>
      </c>
      <c r="C1818">
        <v>248</v>
      </c>
      <c r="D1818">
        <v>44.73</v>
      </c>
      <c r="E1818" t="s">
        <v>9</v>
      </c>
      <c r="F1818">
        <v>76.3</v>
      </c>
      <c r="G1818" t="s">
        <v>22</v>
      </c>
      <c r="H1818" t="s">
        <v>13</v>
      </c>
    </row>
    <row r="1819" spans="1:8" x14ac:dyDescent="0.25">
      <c r="A1819" s="1">
        <v>45658.708333333336</v>
      </c>
      <c r="B1819" t="s">
        <v>21</v>
      </c>
      <c r="C1819">
        <v>237.23</v>
      </c>
      <c r="D1819">
        <v>21.56</v>
      </c>
      <c r="E1819" t="s">
        <v>9</v>
      </c>
      <c r="F1819">
        <v>59.06</v>
      </c>
      <c r="G1819" t="s">
        <v>22</v>
      </c>
      <c r="H1819" t="s">
        <v>13</v>
      </c>
    </row>
    <row r="1820" spans="1:8" x14ac:dyDescent="0.25">
      <c r="A1820" s="1">
        <v>45658.75</v>
      </c>
      <c r="B1820" t="s">
        <v>21</v>
      </c>
      <c r="C1820">
        <v>174.97</v>
      </c>
      <c r="D1820">
        <v>29.23</v>
      </c>
      <c r="E1820" t="s">
        <v>9</v>
      </c>
      <c r="F1820">
        <v>45.68</v>
      </c>
      <c r="G1820" t="s">
        <v>22</v>
      </c>
      <c r="H1820" t="s">
        <v>13</v>
      </c>
    </row>
    <row r="1821" spans="1:8" x14ac:dyDescent="0.25">
      <c r="A1821" s="1">
        <v>45658.791666666664</v>
      </c>
      <c r="B1821" t="s">
        <v>21</v>
      </c>
      <c r="C1821">
        <v>466.08</v>
      </c>
      <c r="D1821">
        <v>80.92</v>
      </c>
      <c r="E1821" t="s">
        <v>9</v>
      </c>
      <c r="F1821">
        <v>50.04</v>
      </c>
      <c r="G1821" t="s">
        <v>22</v>
      </c>
      <c r="H1821" t="s">
        <v>11</v>
      </c>
    </row>
    <row r="1822" spans="1:8" x14ac:dyDescent="0.25">
      <c r="A1822" s="1">
        <v>45658.833333333336</v>
      </c>
      <c r="B1822" t="s">
        <v>21</v>
      </c>
      <c r="C1822">
        <v>197.29</v>
      </c>
      <c r="D1822">
        <v>25.03</v>
      </c>
      <c r="E1822" t="s">
        <v>9</v>
      </c>
      <c r="F1822">
        <v>39.380000000000003</v>
      </c>
      <c r="G1822" t="s">
        <v>22</v>
      </c>
      <c r="H1822" t="s">
        <v>11</v>
      </c>
    </row>
    <row r="1823" spans="1:8" x14ac:dyDescent="0.25">
      <c r="A1823" s="1">
        <v>45658.875</v>
      </c>
      <c r="B1823" t="s">
        <v>21</v>
      </c>
      <c r="C1823">
        <v>58.88</v>
      </c>
      <c r="D1823">
        <v>23.52</v>
      </c>
      <c r="E1823" t="s">
        <v>9</v>
      </c>
      <c r="F1823">
        <v>80.66</v>
      </c>
      <c r="G1823" t="s">
        <v>22</v>
      </c>
      <c r="H1823" t="s">
        <v>12</v>
      </c>
    </row>
    <row r="1824" spans="1:8" x14ac:dyDescent="0.25">
      <c r="A1824" s="1">
        <v>45658.916666666664</v>
      </c>
      <c r="B1824" t="s">
        <v>21</v>
      </c>
      <c r="C1824">
        <v>430.86</v>
      </c>
      <c r="D1824">
        <v>68.95</v>
      </c>
      <c r="E1824" t="s">
        <v>9</v>
      </c>
      <c r="F1824">
        <v>87.24</v>
      </c>
      <c r="G1824" t="s">
        <v>22</v>
      </c>
      <c r="H1824" t="s">
        <v>12</v>
      </c>
    </row>
    <row r="1825" spans="1:8" x14ac:dyDescent="0.25">
      <c r="A1825" s="1">
        <v>45658.958333333336</v>
      </c>
      <c r="B1825" t="s">
        <v>21</v>
      </c>
      <c r="C1825">
        <v>461.22</v>
      </c>
      <c r="D1825">
        <v>92.39</v>
      </c>
      <c r="E1825" t="s">
        <v>14</v>
      </c>
      <c r="F1825">
        <v>80.83</v>
      </c>
      <c r="G1825" t="s">
        <v>22</v>
      </c>
      <c r="H1825" t="s">
        <v>12</v>
      </c>
    </row>
    <row r="1826" spans="1:8" x14ac:dyDescent="0.25">
      <c r="A1826" s="1">
        <v>45659</v>
      </c>
      <c r="B1826" t="s">
        <v>21</v>
      </c>
      <c r="C1826">
        <v>315.10000000000002</v>
      </c>
      <c r="D1826">
        <v>86.76</v>
      </c>
      <c r="E1826" t="s">
        <v>14</v>
      </c>
      <c r="F1826">
        <v>77.58</v>
      </c>
      <c r="G1826" t="s">
        <v>22</v>
      </c>
      <c r="H1826" t="s">
        <v>12</v>
      </c>
    </row>
    <row r="1827" spans="1:8" x14ac:dyDescent="0.25">
      <c r="A1827" s="1">
        <v>45659.041666666664</v>
      </c>
      <c r="B1827" t="s">
        <v>21</v>
      </c>
      <c r="C1827">
        <v>239.97</v>
      </c>
      <c r="D1827">
        <v>64.11</v>
      </c>
      <c r="E1827" t="s">
        <v>9</v>
      </c>
      <c r="F1827">
        <v>56.63</v>
      </c>
      <c r="G1827" t="s">
        <v>22</v>
      </c>
      <c r="H1827" t="s">
        <v>11</v>
      </c>
    </row>
    <row r="1828" spans="1:8" x14ac:dyDescent="0.25">
      <c r="A1828" s="1">
        <v>45659.083333333336</v>
      </c>
      <c r="B1828" t="s">
        <v>21</v>
      </c>
      <c r="C1828">
        <v>92.74</v>
      </c>
      <c r="D1828">
        <v>39.97</v>
      </c>
      <c r="E1828" t="s">
        <v>9</v>
      </c>
      <c r="F1828">
        <v>53.23</v>
      </c>
      <c r="G1828" t="s">
        <v>22</v>
      </c>
      <c r="H1828" t="s">
        <v>12</v>
      </c>
    </row>
    <row r="1829" spans="1:8" x14ac:dyDescent="0.25">
      <c r="A1829" s="1">
        <v>45659.125</v>
      </c>
      <c r="B1829" t="s">
        <v>21</v>
      </c>
      <c r="C1829">
        <v>121.16</v>
      </c>
      <c r="D1829">
        <v>83.71</v>
      </c>
      <c r="E1829" t="s">
        <v>9</v>
      </c>
      <c r="F1829">
        <v>56.85</v>
      </c>
      <c r="G1829" t="s">
        <v>22</v>
      </c>
      <c r="H1829" t="s">
        <v>11</v>
      </c>
    </row>
    <row r="1830" spans="1:8" x14ac:dyDescent="0.25">
      <c r="A1830" s="1">
        <v>45659.166666666664</v>
      </c>
      <c r="B1830" t="s">
        <v>21</v>
      </c>
      <c r="C1830">
        <v>362.88</v>
      </c>
      <c r="D1830">
        <v>79.41</v>
      </c>
      <c r="E1830" t="s">
        <v>9</v>
      </c>
      <c r="F1830">
        <v>69.81</v>
      </c>
      <c r="G1830" t="s">
        <v>22</v>
      </c>
      <c r="H1830" t="s">
        <v>12</v>
      </c>
    </row>
    <row r="1831" spans="1:8" x14ac:dyDescent="0.25">
      <c r="A1831" s="1">
        <v>45659.208333333336</v>
      </c>
      <c r="B1831" t="s">
        <v>21</v>
      </c>
      <c r="C1831">
        <v>51.69</v>
      </c>
      <c r="D1831">
        <v>57.11</v>
      </c>
      <c r="E1831" t="s">
        <v>9</v>
      </c>
      <c r="F1831">
        <v>36.43</v>
      </c>
      <c r="G1831" t="s">
        <v>22</v>
      </c>
      <c r="H1831" t="s">
        <v>11</v>
      </c>
    </row>
    <row r="1832" spans="1:8" x14ac:dyDescent="0.25">
      <c r="A1832" s="1">
        <v>45659.25</v>
      </c>
      <c r="B1832" t="s">
        <v>21</v>
      </c>
      <c r="C1832">
        <v>243.09</v>
      </c>
      <c r="D1832">
        <v>92.39</v>
      </c>
      <c r="E1832" t="s">
        <v>14</v>
      </c>
      <c r="F1832">
        <v>73.44</v>
      </c>
      <c r="G1832" t="s">
        <v>22</v>
      </c>
      <c r="H1832" t="s">
        <v>11</v>
      </c>
    </row>
    <row r="1833" spans="1:8" x14ac:dyDescent="0.25">
      <c r="A1833" s="1">
        <v>45659.291666666664</v>
      </c>
      <c r="B1833" t="s">
        <v>21</v>
      </c>
      <c r="C1833">
        <v>398.62</v>
      </c>
      <c r="D1833">
        <v>90.7</v>
      </c>
      <c r="E1833" t="s">
        <v>14</v>
      </c>
      <c r="F1833">
        <v>36.03</v>
      </c>
      <c r="G1833" t="s">
        <v>22</v>
      </c>
      <c r="H1833" t="s">
        <v>11</v>
      </c>
    </row>
    <row r="1834" spans="1:8" x14ac:dyDescent="0.25">
      <c r="A1834" s="1">
        <v>45659.333333333336</v>
      </c>
      <c r="B1834" t="s">
        <v>21</v>
      </c>
      <c r="C1834">
        <v>426.98</v>
      </c>
      <c r="D1834">
        <v>71.33</v>
      </c>
      <c r="E1834" t="s">
        <v>9</v>
      </c>
      <c r="F1834">
        <v>54.35</v>
      </c>
      <c r="G1834" t="s">
        <v>22</v>
      </c>
      <c r="H1834" t="s">
        <v>12</v>
      </c>
    </row>
    <row r="1835" spans="1:8" x14ac:dyDescent="0.25">
      <c r="A1835" s="1">
        <v>45659.375</v>
      </c>
      <c r="B1835" t="s">
        <v>21</v>
      </c>
      <c r="C1835">
        <v>52.09</v>
      </c>
      <c r="D1835">
        <v>84.78</v>
      </c>
      <c r="E1835" t="s">
        <v>9</v>
      </c>
      <c r="F1835">
        <v>48.44</v>
      </c>
      <c r="G1835" t="s">
        <v>22</v>
      </c>
      <c r="H1835" t="s">
        <v>13</v>
      </c>
    </row>
    <row r="1836" spans="1:8" x14ac:dyDescent="0.25">
      <c r="A1836" s="1">
        <v>45659.416666666664</v>
      </c>
      <c r="B1836" t="s">
        <v>21</v>
      </c>
      <c r="C1836">
        <v>81.8</v>
      </c>
      <c r="D1836">
        <v>57.81</v>
      </c>
      <c r="E1836" t="s">
        <v>9</v>
      </c>
      <c r="F1836">
        <v>83.54</v>
      </c>
      <c r="G1836" t="s">
        <v>22</v>
      </c>
      <c r="H1836" t="s">
        <v>12</v>
      </c>
    </row>
    <row r="1837" spans="1:8" x14ac:dyDescent="0.25">
      <c r="A1837" s="1">
        <v>45659.458333333336</v>
      </c>
      <c r="B1837" t="s">
        <v>21</v>
      </c>
      <c r="C1837">
        <v>159.05000000000001</v>
      </c>
      <c r="D1837">
        <v>76.680000000000007</v>
      </c>
      <c r="E1837" t="s">
        <v>9</v>
      </c>
      <c r="F1837">
        <v>61.72</v>
      </c>
      <c r="G1837" t="s">
        <v>22</v>
      </c>
      <c r="H1837" t="s">
        <v>11</v>
      </c>
    </row>
    <row r="1838" spans="1:8" x14ac:dyDescent="0.25">
      <c r="A1838" s="1">
        <v>45659.5</v>
      </c>
      <c r="B1838" t="s">
        <v>21</v>
      </c>
      <c r="C1838">
        <v>107.31</v>
      </c>
      <c r="D1838">
        <v>87.26</v>
      </c>
      <c r="E1838" t="s">
        <v>14</v>
      </c>
      <c r="F1838">
        <v>61.55</v>
      </c>
      <c r="G1838" t="s">
        <v>22</v>
      </c>
      <c r="H1838" t="s">
        <v>12</v>
      </c>
    </row>
    <row r="1839" spans="1:8" x14ac:dyDescent="0.25">
      <c r="A1839" s="1">
        <v>45659.541666666664</v>
      </c>
      <c r="B1839" t="s">
        <v>21</v>
      </c>
      <c r="C1839">
        <v>490.66</v>
      </c>
      <c r="D1839">
        <v>91.74</v>
      </c>
      <c r="E1839" t="s">
        <v>14</v>
      </c>
      <c r="F1839">
        <v>49.75</v>
      </c>
      <c r="G1839" t="s">
        <v>22</v>
      </c>
      <c r="H1839" t="s">
        <v>12</v>
      </c>
    </row>
    <row r="1840" spans="1:8" x14ac:dyDescent="0.25">
      <c r="A1840" s="1">
        <v>45659.583333333336</v>
      </c>
      <c r="B1840" t="s">
        <v>21</v>
      </c>
      <c r="C1840">
        <v>151.13999999999999</v>
      </c>
      <c r="D1840">
        <v>84.81</v>
      </c>
      <c r="E1840" t="s">
        <v>9</v>
      </c>
      <c r="F1840">
        <v>45.81</v>
      </c>
      <c r="G1840" t="s">
        <v>22</v>
      </c>
      <c r="H1840" t="s">
        <v>11</v>
      </c>
    </row>
    <row r="1841" spans="1:8" x14ac:dyDescent="0.25">
      <c r="A1841" s="1">
        <v>45659.625</v>
      </c>
      <c r="B1841" t="s">
        <v>21</v>
      </c>
      <c r="C1841">
        <v>82.71</v>
      </c>
      <c r="D1841">
        <v>81.77</v>
      </c>
      <c r="E1841" t="s">
        <v>9</v>
      </c>
      <c r="F1841">
        <v>40.47</v>
      </c>
      <c r="G1841" t="s">
        <v>22</v>
      </c>
      <c r="H1841" t="s">
        <v>13</v>
      </c>
    </row>
    <row r="1842" spans="1:8" x14ac:dyDescent="0.25">
      <c r="A1842" s="1">
        <v>45659.666666666664</v>
      </c>
      <c r="B1842" t="s">
        <v>21</v>
      </c>
      <c r="C1842">
        <v>198.05</v>
      </c>
      <c r="D1842">
        <v>71.13</v>
      </c>
      <c r="E1842" t="s">
        <v>9</v>
      </c>
      <c r="F1842">
        <v>70.540000000000006</v>
      </c>
      <c r="G1842" t="s">
        <v>22</v>
      </c>
      <c r="H1842" t="s">
        <v>11</v>
      </c>
    </row>
    <row r="1843" spans="1:8" x14ac:dyDescent="0.25">
      <c r="A1843" s="1">
        <v>45659.708333333336</v>
      </c>
      <c r="B1843" t="s">
        <v>21</v>
      </c>
      <c r="C1843">
        <v>488.41</v>
      </c>
      <c r="D1843">
        <v>49.6</v>
      </c>
      <c r="E1843" t="s">
        <v>9</v>
      </c>
      <c r="F1843">
        <v>33.630000000000003</v>
      </c>
      <c r="G1843" t="s">
        <v>22</v>
      </c>
      <c r="H1843" t="s">
        <v>13</v>
      </c>
    </row>
    <row r="1844" spans="1:8" x14ac:dyDescent="0.25">
      <c r="A1844" s="1">
        <v>45659.75</v>
      </c>
      <c r="B1844" t="s">
        <v>21</v>
      </c>
      <c r="C1844">
        <v>304.33</v>
      </c>
      <c r="D1844">
        <v>50.29</v>
      </c>
      <c r="E1844" t="s">
        <v>9</v>
      </c>
      <c r="F1844">
        <v>48.56</v>
      </c>
      <c r="G1844" t="s">
        <v>22</v>
      </c>
      <c r="H1844" t="s">
        <v>12</v>
      </c>
    </row>
    <row r="1845" spans="1:8" x14ac:dyDescent="0.25">
      <c r="A1845" s="1">
        <v>45659.791666666664</v>
      </c>
      <c r="B1845" t="s">
        <v>21</v>
      </c>
      <c r="C1845">
        <v>480.97</v>
      </c>
      <c r="D1845">
        <v>16.45</v>
      </c>
      <c r="E1845" t="s">
        <v>9</v>
      </c>
      <c r="F1845">
        <v>87.49</v>
      </c>
      <c r="G1845" t="s">
        <v>22</v>
      </c>
      <c r="H1845" t="s">
        <v>11</v>
      </c>
    </row>
    <row r="1846" spans="1:8" x14ac:dyDescent="0.25">
      <c r="A1846" s="1">
        <v>45659.833333333336</v>
      </c>
      <c r="B1846" t="s">
        <v>21</v>
      </c>
      <c r="C1846">
        <v>444.58</v>
      </c>
      <c r="D1846">
        <v>58.03</v>
      </c>
      <c r="E1846" t="s">
        <v>9</v>
      </c>
      <c r="F1846">
        <v>44.3</v>
      </c>
      <c r="G1846" t="s">
        <v>22</v>
      </c>
      <c r="H1846" t="s">
        <v>12</v>
      </c>
    </row>
    <row r="1847" spans="1:8" x14ac:dyDescent="0.25">
      <c r="A1847" s="1">
        <v>45659.875</v>
      </c>
      <c r="B1847" t="s">
        <v>21</v>
      </c>
      <c r="C1847">
        <v>388.6</v>
      </c>
      <c r="D1847">
        <v>30.92</v>
      </c>
      <c r="E1847" t="s">
        <v>9</v>
      </c>
      <c r="F1847">
        <v>41.81</v>
      </c>
      <c r="G1847" t="s">
        <v>22</v>
      </c>
      <c r="H1847" t="s">
        <v>11</v>
      </c>
    </row>
    <row r="1848" spans="1:8" x14ac:dyDescent="0.25">
      <c r="A1848" s="1">
        <v>45659.916666666664</v>
      </c>
      <c r="B1848" t="s">
        <v>21</v>
      </c>
      <c r="C1848">
        <v>256.14</v>
      </c>
      <c r="D1848">
        <v>78.17</v>
      </c>
      <c r="E1848" t="s">
        <v>9</v>
      </c>
      <c r="F1848">
        <v>31.45</v>
      </c>
      <c r="G1848" t="s">
        <v>22</v>
      </c>
      <c r="H1848" t="s">
        <v>13</v>
      </c>
    </row>
    <row r="1849" spans="1:8" x14ac:dyDescent="0.25">
      <c r="A1849" s="1">
        <v>45659.958333333336</v>
      </c>
      <c r="B1849" t="s">
        <v>21</v>
      </c>
      <c r="C1849">
        <v>92.99</v>
      </c>
      <c r="D1849">
        <v>46.08</v>
      </c>
      <c r="E1849" t="s">
        <v>9</v>
      </c>
      <c r="F1849">
        <v>88.99</v>
      </c>
      <c r="G1849" t="s">
        <v>22</v>
      </c>
      <c r="H1849" t="s">
        <v>11</v>
      </c>
    </row>
    <row r="1850" spans="1:8" x14ac:dyDescent="0.25">
      <c r="A1850" s="1">
        <v>45660</v>
      </c>
      <c r="B1850" t="s">
        <v>21</v>
      </c>
      <c r="C1850">
        <v>154.33000000000001</v>
      </c>
      <c r="D1850">
        <v>22.77</v>
      </c>
      <c r="E1850" t="s">
        <v>9</v>
      </c>
      <c r="F1850">
        <v>68.459999999999994</v>
      </c>
      <c r="G1850" t="s">
        <v>22</v>
      </c>
      <c r="H1850" t="s">
        <v>12</v>
      </c>
    </row>
    <row r="1851" spans="1:8" x14ac:dyDescent="0.25">
      <c r="A1851" s="1">
        <v>45660.041666666664</v>
      </c>
      <c r="B1851" t="s">
        <v>21</v>
      </c>
      <c r="C1851">
        <v>342.66</v>
      </c>
      <c r="D1851">
        <v>75.31</v>
      </c>
      <c r="E1851" t="s">
        <v>9</v>
      </c>
      <c r="F1851">
        <v>74.97</v>
      </c>
      <c r="G1851" t="s">
        <v>22</v>
      </c>
      <c r="H1851" t="s">
        <v>12</v>
      </c>
    </row>
    <row r="1852" spans="1:8" x14ac:dyDescent="0.25">
      <c r="A1852" s="1">
        <v>45660.083333333336</v>
      </c>
      <c r="B1852" t="s">
        <v>21</v>
      </c>
      <c r="C1852">
        <v>231.62</v>
      </c>
      <c r="D1852">
        <v>46.76</v>
      </c>
      <c r="E1852" t="s">
        <v>9</v>
      </c>
      <c r="F1852">
        <v>43.58</v>
      </c>
      <c r="G1852" t="s">
        <v>22</v>
      </c>
      <c r="H1852" t="s">
        <v>12</v>
      </c>
    </row>
    <row r="1853" spans="1:8" x14ac:dyDescent="0.25">
      <c r="A1853" s="1">
        <v>45660.125</v>
      </c>
      <c r="B1853" t="s">
        <v>21</v>
      </c>
      <c r="C1853">
        <v>304</v>
      </c>
      <c r="D1853">
        <v>91.13</v>
      </c>
      <c r="E1853" t="s">
        <v>14</v>
      </c>
      <c r="F1853">
        <v>77.58</v>
      </c>
      <c r="G1853" t="s">
        <v>22</v>
      </c>
      <c r="H1853" t="s">
        <v>13</v>
      </c>
    </row>
    <row r="1854" spans="1:8" x14ac:dyDescent="0.25">
      <c r="A1854" s="1">
        <v>45660.166666666664</v>
      </c>
      <c r="B1854" t="s">
        <v>21</v>
      </c>
      <c r="C1854">
        <v>106.42</v>
      </c>
      <c r="D1854">
        <v>29.35</v>
      </c>
      <c r="E1854" t="s">
        <v>9</v>
      </c>
      <c r="F1854">
        <v>31.91</v>
      </c>
      <c r="G1854" t="s">
        <v>22</v>
      </c>
      <c r="H1854" t="s">
        <v>12</v>
      </c>
    </row>
    <row r="1855" spans="1:8" x14ac:dyDescent="0.25">
      <c r="A1855" s="1">
        <v>45660.208333333336</v>
      </c>
      <c r="B1855" t="s">
        <v>21</v>
      </c>
      <c r="C1855">
        <v>199.13</v>
      </c>
      <c r="D1855">
        <v>93.16</v>
      </c>
      <c r="E1855" t="s">
        <v>14</v>
      </c>
      <c r="F1855">
        <v>81.81</v>
      </c>
      <c r="G1855" t="s">
        <v>22</v>
      </c>
      <c r="H1855" t="s">
        <v>11</v>
      </c>
    </row>
    <row r="1856" spans="1:8" x14ac:dyDescent="0.25">
      <c r="A1856" s="1">
        <v>45660.25</v>
      </c>
      <c r="B1856" t="s">
        <v>21</v>
      </c>
      <c r="C1856">
        <v>487.62</v>
      </c>
      <c r="D1856">
        <v>19.53</v>
      </c>
      <c r="E1856" t="s">
        <v>9</v>
      </c>
      <c r="F1856">
        <v>55.08</v>
      </c>
      <c r="G1856" t="s">
        <v>22</v>
      </c>
      <c r="H1856" t="s">
        <v>12</v>
      </c>
    </row>
    <row r="1857" spans="1:8" x14ac:dyDescent="0.25">
      <c r="A1857" s="1">
        <v>45660.291666666664</v>
      </c>
      <c r="B1857" t="s">
        <v>21</v>
      </c>
      <c r="C1857">
        <v>481.02</v>
      </c>
      <c r="D1857">
        <v>46.74</v>
      </c>
      <c r="E1857" t="s">
        <v>9</v>
      </c>
      <c r="F1857">
        <v>82.52</v>
      </c>
      <c r="G1857" t="s">
        <v>22</v>
      </c>
      <c r="H1857" t="s">
        <v>13</v>
      </c>
    </row>
    <row r="1858" spans="1:8" x14ac:dyDescent="0.25">
      <c r="A1858" s="1">
        <v>45660.333333333336</v>
      </c>
      <c r="B1858" t="s">
        <v>21</v>
      </c>
      <c r="C1858">
        <v>296.54000000000002</v>
      </c>
      <c r="D1858">
        <v>15.94</v>
      </c>
      <c r="E1858" t="s">
        <v>9</v>
      </c>
      <c r="F1858">
        <v>75.849999999999994</v>
      </c>
      <c r="G1858" t="s">
        <v>22</v>
      </c>
      <c r="H1858" t="s">
        <v>13</v>
      </c>
    </row>
    <row r="1859" spans="1:8" x14ac:dyDescent="0.25">
      <c r="A1859" s="1">
        <v>45660.375</v>
      </c>
      <c r="B1859" t="s">
        <v>21</v>
      </c>
      <c r="C1859">
        <v>313.81</v>
      </c>
      <c r="D1859">
        <v>58.86</v>
      </c>
      <c r="E1859" t="s">
        <v>9</v>
      </c>
      <c r="F1859">
        <v>50.8</v>
      </c>
      <c r="G1859" t="s">
        <v>22</v>
      </c>
      <c r="H1859" t="s">
        <v>13</v>
      </c>
    </row>
    <row r="1860" spans="1:8" x14ac:dyDescent="0.25">
      <c r="A1860" s="1">
        <v>45660.416666666664</v>
      </c>
      <c r="B1860" t="s">
        <v>21</v>
      </c>
      <c r="C1860">
        <v>413.4</v>
      </c>
      <c r="D1860">
        <v>18.36</v>
      </c>
      <c r="E1860" t="s">
        <v>9</v>
      </c>
      <c r="F1860">
        <v>34.18</v>
      </c>
      <c r="G1860" t="s">
        <v>22</v>
      </c>
      <c r="H1860" t="s">
        <v>11</v>
      </c>
    </row>
    <row r="1861" spans="1:8" x14ac:dyDescent="0.25">
      <c r="A1861" s="1">
        <v>45660.458333333336</v>
      </c>
      <c r="B1861" t="s">
        <v>21</v>
      </c>
      <c r="C1861">
        <v>325.47000000000003</v>
      </c>
      <c r="D1861">
        <v>58.5</v>
      </c>
      <c r="E1861" t="s">
        <v>9</v>
      </c>
      <c r="F1861">
        <v>46.38</v>
      </c>
      <c r="G1861" t="s">
        <v>22</v>
      </c>
      <c r="H1861" t="s">
        <v>13</v>
      </c>
    </row>
    <row r="1862" spans="1:8" x14ac:dyDescent="0.25">
      <c r="A1862" s="1">
        <v>45660.5</v>
      </c>
      <c r="B1862" t="s">
        <v>21</v>
      </c>
      <c r="C1862">
        <v>397.64</v>
      </c>
      <c r="D1862">
        <v>40.299999999999997</v>
      </c>
      <c r="E1862" t="s">
        <v>9</v>
      </c>
      <c r="F1862">
        <v>74.430000000000007</v>
      </c>
      <c r="G1862" t="s">
        <v>22</v>
      </c>
      <c r="H1862" t="s">
        <v>11</v>
      </c>
    </row>
    <row r="1863" spans="1:8" x14ac:dyDescent="0.25">
      <c r="A1863" s="1">
        <v>45660.541666666664</v>
      </c>
      <c r="B1863" t="s">
        <v>21</v>
      </c>
      <c r="C1863">
        <v>133.93</v>
      </c>
      <c r="D1863">
        <v>28.35</v>
      </c>
      <c r="E1863" t="s">
        <v>9</v>
      </c>
      <c r="F1863">
        <v>82.38</v>
      </c>
      <c r="G1863" t="s">
        <v>22</v>
      </c>
      <c r="H1863" t="s">
        <v>13</v>
      </c>
    </row>
    <row r="1864" spans="1:8" x14ac:dyDescent="0.25">
      <c r="A1864" s="1">
        <v>45660.583333333336</v>
      </c>
      <c r="B1864" t="s">
        <v>21</v>
      </c>
      <c r="C1864">
        <v>346.73</v>
      </c>
      <c r="D1864">
        <v>46.96</v>
      </c>
      <c r="E1864" t="s">
        <v>9</v>
      </c>
      <c r="F1864">
        <v>45.72</v>
      </c>
      <c r="G1864" t="s">
        <v>22</v>
      </c>
      <c r="H1864" t="s">
        <v>11</v>
      </c>
    </row>
    <row r="1865" spans="1:8" x14ac:dyDescent="0.25">
      <c r="A1865" s="1">
        <v>45660.625</v>
      </c>
      <c r="B1865" t="s">
        <v>21</v>
      </c>
      <c r="C1865">
        <v>100.79</v>
      </c>
      <c r="D1865">
        <v>48.94</v>
      </c>
      <c r="E1865" t="s">
        <v>9</v>
      </c>
      <c r="F1865">
        <v>71.22</v>
      </c>
      <c r="G1865" t="s">
        <v>22</v>
      </c>
      <c r="H1865" t="s">
        <v>13</v>
      </c>
    </row>
    <row r="1866" spans="1:8" x14ac:dyDescent="0.25">
      <c r="A1866" s="1">
        <v>45660.666666666664</v>
      </c>
      <c r="B1866" t="s">
        <v>21</v>
      </c>
      <c r="C1866">
        <v>391.52</v>
      </c>
      <c r="D1866">
        <v>38.07</v>
      </c>
      <c r="E1866" t="s">
        <v>9</v>
      </c>
      <c r="F1866">
        <v>55.59</v>
      </c>
      <c r="G1866" t="s">
        <v>22</v>
      </c>
      <c r="H1866" t="s">
        <v>11</v>
      </c>
    </row>
    <row r="1867" spans="1:8" x14ac:dyDescent="0.25">
      <c r="A1867" s="1">
        <v>45660.708333333336</v>
      </c>
      <c r="B1867" t="s">
        <v>21</v>
      </c>
      <c r="C1867">
        <v>479.37</v>
      </c>
      <c r="D1867">
        <v>76.64</v>
      </c>
      <c r="E1867" t="s">
        <v>9</v>
      </c>
      <c r="F1867">
        <v>85.94</v>
      </c>
      <c r="G1867" t="s">
        <v>22</v>
      </c>
      <c r="H1867" t="s">
        <v>13</v>
      </c>
    </row>
    <row r="1868" spans="1:8" x14ac:dyDescent="0.25">
      <c r="A1868" s="1">
        <v>45660.75</v>
      </c>
      <c r="B1868" t="s">
        <v>21</v>
      </c>
      <c r="C1868">
        <v>419.03</v>
      </c>
      <c r="D1868">
        <v>94.64</v>
      </c>
      <c r="E1868" t="s">
        <v>14</v>
      </c>
      <c r="F1868">
        <v>34.6</v>
      </c>
      <c r="G1868" t="s">
        <v>22</v>
      </c>
      <c r="H1868" t="s">
        <v>12</v>
      </c>
    </row>
    <row r="1869" spans="1:8" x14ac:dyDescent="0.25">
      <c r="A1869" s="1">
        <v>45660.791666666664</v>
      </c>
      <c r="B1869" t="s">
        <v>21</v>
      </c>
      <c r="C1869">
        <v>241.05</v>
      </c>
      <c r="D1869">
        <v>81.819999999999993</v>
      </c>
      <c r="E1869" t="s">
        <v>9</v>
      </c>
      <c r="F1869">
        <v>82.66</v>
      </c>
      <c r="G1869" t="s">
        <v>22</v>
      </c>
      <c r="H1869" t="s">
        <v>12</v>
      </c>
    </row>
    <row r="1870" spans="1:8" x14ac:dyDescent="0.25">
      <c r="A1870" s="1">
        <v>45660.833333333336</v>
      </c>
      <c r="B1870" t="s">
        <v>21</v>
      </c>
      <c r="C1870">
        <v>254.23</v>
      </c>
      <c r="D1870">
        <v>62.19</v>
      </c>
      <c r="E1870" t="s">
        <v>9</v>
      </c>
      <c r="F1870">
        <v>88.44</v>
      </c>
      <c r="G1870" t="s">
        <v>22</v>
      </c>
      <c r="H1870" t="s">
        <v>13</v>
      </c>
    </row>
    <row r="1871" spans="1:8" x14ac:dyDescent="0.25">
      <c r="A1871" s="1">
        <v>45660.875</v>
      </c>
      <c r="B1871" t="s">
        <v>21</v>
      </c>
      <c r="C1871">
        <v>465.41</v>
      </c>
      <c r="D1871">
        <v>35.82</v>
      </c>
      <c r="E1871" t="s">
        <v>9</v>
      </c>
      <c r="F1871">
        <v>89.34</v>
      </c>
      <c r="G1871" t="s">
        <v>22</v>
      </c>
      <c r="H1871" t="s">
        <v>11</v>
      </c>
    </row>
    <row r="1872" spans="1:8" x14ac:dyDescent="0.25">
      <c r="A1872" s="1">
        <v>45660.916666666664</v>
      </c>
      <c r="B1872" t="s">
        <v>21</v>
      </c>
      <c r="C1872">
        <v>143.11000000000001</v>
      </c>
      <c r="D1872">
        <v>78.44</v>
      </c>
      <c r="E1872" t="s">
        <v>9</v>
      </c>
      <c r="F1872">
        <v>67.900000000000006</v>
      </c>
      <c r="G1872" t="s">
        <v>22</v>
      </c>
      <c r="H1872" t="s">
        <v>11</v>
      </c>
    </row>
    <row r="1873" spans="1:8" x14ac:dyDescent="0.25">
      <c r="A1873" s="1">
        <v>45660.958333333336</v>
      </c>
      <c r="B1873" t="s">
        <v>21</v>
      </c>
      <c r="C1873">
        <v>173.38</v>
      </c>
      <c r="D1873">
        <v>23.2</v>
      </c>
      <c r="E1873" t="s">
        <v>9</v>
      </c>
      <c r="F1873">
        <v>36.840000000000003</v>
      </c>
      <c r="G1873" t="s">
        <v>22</v>
      </c>
      <c r="H1873" t="s">
        <v>12</v>
      </c>
    </row>
    <row r="1874" spans="1:8" x14ac:dyDescent="0.25">
      <c r="A1874" s="1">
        <v>45661</v>
      </c>
      <c r="B1874" t="s">
        <v>21</v>
      </c>
      <c r="C1874">
        <v>153.38999999999999</v>
      </c>
      <c r="D1874">
        <v>16.88</v>
      </c>
      <c r="E1874" t="s">
        <v>9</v>
      </c>
      <c r="F1874">
        <v>78.27</v>
      </c>
      <c r="G1874" t="s">
        <v>22</v>
      </c>
      <c r="H1874" t="s">
        <v>13</v>
      </c>
    </row>
    <row r="1875" spans="1:8" x14ac:dyDescent="0.25">
      <c r="A1875" s="1">
        <v>45661.041666666664</v>
      </c>
      <c r="B1875" t="s">
        <v>21</v>
      </c>
      <c r="C1875">
        <v>433.51</v>
      </c>
      <c r="D1875">
        <v>62.71</v>
      </c>
      <c r="E1875" t="s">
        <v>9</v>
      </c>
      <c r="F1875">
        <v>87.65</v>
      </c>
      <c r="G1875" t="s">
        <v>22</v>
      </c>
      <c r="H1875" t="s">
        <v>13</v>
      </c>
    </row>
    <row r="1876" spans="1:8" x14ac:dyDescent="0.25">
      <c r="A1876" s="1">
        <v>45661.083333333336</v>
      </c>
      <c r="B1876" t="s">
        <v>21</v>
      </c>
      <c r="C1876">
        <v>398.55</v>
      </c>
      <c r="D1876">
        <v>30.94</v>
      </c>
      <c r="E1876" t="s">
        <v>9</v>
      </c>
      <c r="F1876">
        <v>57.19</v>
      </c>
      <c r="G1876" t="s">
        <v>22</v>
      </c>
      <c r="H1876" t="s">
        <v>11</v>
      </c>
    </row>
    <row r="1877" spans="1:8" x14ac:dyDescent="0.25">
      <c r="A1877" s="1">
        <v>45661.125</v>
      </c>
      <c r="B1877" t="s">
        <v>21</v>
      </c>
      <c r="C1877">
        <v>62.72</v>
      </c>
      <c r="D1877">
        <v>15.21</v>
      </c>
      <c r="E1877" t="s">
        <v>9</v>
      </c>
      <c r="F1877">
        <v>37.76</v>
      </c>
      <c r="G1877" t="s">
        <v>22</v>
      </c>
      <c r="H1877" t="s">
        <v>13</v>
      </c>
    </row>
    <row r="1878" spans="1:8" x14ac:dyDescent="0.25">
      <c r="A1878" s="1">
        <v>45661.166666666664</v>
      </c>
      <c r="B1878" t="s">
        <v>21</v>
      </c>
      <c r="C1878">
        <v>243.3</v>
      </c>
      <c r="D1878">
        <v>53.47</v>
      </c>
      <c r="E1878" t="s">
        <v>9</v>
      </c>
      <c r="F1878">
        <v>38.28</v>
      </c>
      <c r="G1878" t="s">
        <v>22</v>
      </c>
      <c r="H1878" t="s">
        <v>12</v>
      </c>
    </row>
    <row r="1879" spans="1:8" x14ac:dyDescent="0.25">
      <c r="A1879" s="1">
        <v>45661.208333333336</v>
      </c>
      <c r="B1879" t="s">
        <v>21</v>
      </c>
      <c r="C1879">
        <v>411.47</v>
      </c>
      <c r="D1879">
        <v>31.44</v>
      </c>
      <c r="E1879" t="s">
        <v>9</v>
      </c>
      <c r="F1879">
        <v>49.44</v>
      </c>
      <c r="G1879" t="s">
        <v>22</v>
      </c>
      <c r="H1879" t="s">
        <v>13</v>
      </c>
    </row>
    <row r="1880" spans="1:8" x14ac:dyDescent="0.25">
      <c r="A1880" s="1">
        <v>45661.25</v>
      </c>
      <c r="B1880" t="s">
        <v>21</v>
      </c>
      <c r="C1880">
        <v>84.94</v>
      </c>
      <c r="D1880">
        <v>45.73</v>
      </c>
      <c r="E1880" t="s">
        <v>9</v>
      </c>
      <c r="F1880">
        <v>39.24</v>
      </c>
      <c r="G1880" t="s">
        <v>22</v>
      </c>
      <c r="H1880" t="s">
        <v>13</v>
      </c>
    </row>
    <row r="1881" spans="1:8" x14ac:dyDescent="0.25">
      <c r="A1881" s="1">
        <v>45661.291666666664</v>
      </c>
      <c r="B1881" t="s">
        <v>21</v>
      </c>
      <c r="C1881">
        <v>231.37</v>
      </c>
      <c r="D1881">
        <v>90.66</v>
      </c>
      <c r="E1881" t="s">
        <v>14</v>
      </c>
      <c r="F1881">
        <v>44.79</v>
      </c>
      <c r="G1881" t="s">
        <v>22</v>
      </c>
      <c r="H1881" t="s">
        <v>13</v>
      </c>
    </row>
    <row r="1882" spans="1:8" x14ac:dyDescent="0.25">
      <c r="A1882" s="1">
        <v>45661.333333333336</v>
      </c>
      <c r="B1882" t="s">
        <v>21</v>
      </c>
      <c r="C1882">
        <v>204.72</v>
      </c>
      <c r="D1882">
        <v>63.73</v>
      </c>
      <c r="E1882" t="s">
        <v>9</v>
      </c>
      <c r="F1882">
        <v>81.650000000000006</v>
      </c>
      <c r="G1882" t="s">
        <v>22</v>
      </c>
      <c r="H1882" t="s">
        <v>11</v>
      </c>
    </row>
    <row r="1883" spans="1:8" x14ac:dyDescent="0.25">
      <c r="A1883" s="1">
        <v>45661.375</v>
      </c>
      <c r="B1883" t="s">
        <v>21</v>
      </c>
      <c r="C1883">
        <v>250.97</v>
      </c>
      <c r="D1883">
        <v>36.409999999999997</v>
      </c>
      <c r="E1883" t="s">
        <v>9</v>
      </c>
      <c r="F1883">
        <v>36.26</v>
      </c>
      <c r="G1883" t="s">
        <v>22</v>
      </c>
      <c r="H1883" t="s">
        <v>12</v>
      </c>
    </row>
    <row r="1884" spans="1:8" x14ac:dyDescent="0.25">
      <c r="A1884" s="1">
        <v>45661.416666666664</v>
      </c>
      <c r="B1884" t="s">
        <v>21</v>
      </c>
      <c r="C1884">
        <v>445.74</v>
      </c>
      <c r="D1884">
        <v>17.190000000000001</v>
      </c>
      <c r="E1884" t="s">
        <v>9</v>
      </c>
      <c r="F1884">
        <v>89.28</v>
      </c>
      <c r="G1884" t="s">
        <v>22</v>
      </c>
      <c r="H1884" t="s">
        <v>13</v>
      </c>
    </row>
    <row r="1885" spans="1:8" x14ac:dyDescent="0.25">
      <c r="A1885" s="1">
        <v>45661.458333333336</v>
      </c>
      <c r="B1885" t="s">
        <v>21</v>
      </c>
      <c r="C1885">
        <v>132.6</v>
      </c>
      <c r="D1885">
        <v>48.4</v>
      </c>
      <c r="E1885" t="s">
        <v>9</v>
      </c>
      <c r="F1885">
        <v>53.52</v>
      </c>
      <c r="G1885" t="s">
        <v>22</v>
      </c>
      <c r="H1885" t="s">
        <v>12</v>
      </c>
    </row>
    <row r="1886" spans="1:8" x14ac:dyDescent="0.25">
      <c r="A1886" s="1">
        <v>45661.5</v>
      </c>
      <c r="B1886" t="s">
        <v>21</v>
      </c>
      <c r="C1886">
        <v>268.14999999999998</v>
      </c>
      <c r="D1886">
        <v>22.57</v>
      </c>
      <c r="E1886" t="s">
        <v>9</v>
      </c>
      <c r="F1886">
        <v>46.68</v>
      </c>
      <c r="G1886" t="s">
        <v>22</v>
      </c>
      <c r="H1886" t="s">
        <v>13</v>
      </c>
    </row>
    <row r="1887" spans="1:8" x14ac:dyDescent="0.25">
      <c r="A1887" s="1">
        <v>45661.541666666664</v>
      </c>
      <c r="B1887" t="s">
        <v>21</v>
      </c>
      <c r="C1887">
        <v>283.35000000000002</v>
      </c>
      <c r="D1887">
        <v>62.91</v>
      </c>
      <c r="E1887" t="s">
        <v>9</v>
      </c>
      <c r="F1887">
        <v>56.24</v>
      </c>
      <c r="G1887" t="s">
        <v>22</v>
      </c>
      <c r="H1887" t="s">
        <v>12</v>
      </c>
    </row>
    <row r="1888" spans="1:8" x14ac:dyDescent="0.25">
      <c r="A1888" s="1">
        <v>45661.583333333336</v>
      </c>
      <c r="B1888" t="s">
        <v>21</v>
      </c>
      <c r="C1888">
        <v>371.35</v>
      </c>
      <c r="D1888">
        <v>70.930000000000007</v>
      </c>
      <c r="E1888" t="s">
        <v>9</v>
      </c>
      <c r="F1888">
        <v>66.84</v>
      </c>
      <c r="G1888" t="s">
        <v>22</v>
      </c>
      <c r="H1888" t="s">
        <v>11</v>
      </c>
    </row>
    <row r="1889" spans="1:8" x14ac:dyDescent="0.25">
      <c r="A1889" s="1">
        <v>45661.625</v>
      </c>
      <c r="B1889" t="s">
        <v>21</v>
      </c>
      <c r="C1889">
        <v>245.2</v>
      </c>
      <c r="D1889">
        <v>62.06</v>
      </c>
      <c r="E1889" t="s">
        <v>9</v>
      </c>
      <c r="F1889">
        <v>44</v>
      </c>
      <c r="G1889" t="s">
        <v>22</v>
      </c>
      <c r="H1889" t="s">
        <v>11</v>
      </c>
    </row>
    <row r="1890" spans="1:8" x14ac:dyDescent="0.25">
      <c r="A1890" s="1">
        <v>45661.666666666664</v>
      </c>
      <c r="B1890" t="s">
        <v>21</v>
      </c>
      <c r="C1890">
        <v>74</v>
      </c>
      <c r="D1890">
        <v>92.19</v>
      </c>
      <c r="E1890" t="s">
        <v>14</v>
      </c>
      <c r="F1890">
        <v>81.12</v>
      </c>
      <c r="G1890" t="s">
        <v>22</v>
      </c>
      <c r="H1890" t="s">
        <v>11</v>
      </c>
    </row>
    <row r="1891" spans="1:8" x14ac:dyDescent="0.25">
      <c r="A1891" s="1">
        <v>45661.708333333336</v>
      </c>
      <c r="B1891" t="s">
        <v>21</v>
      </c>
      <c r="C1891">
        <v>122.73</v>
      </c>
      <c r="D1891">
        <v>37.72</v>
      </c>
      <c r="E1891" t="s">
        <v>9</v>
      </c>
      <c r="F1891">
        <v>70.77</v>
      </c>
      <c r="G1891" t="s">
        <v>22</v>
      </c>
      <c r="H1891" t="s">
        <v>11</v>
      </c>
    </row>
    <row r="1892" spans="1:8" x14ac:dyDescent="0.25">
      <c r="A1892" s="1">
        <v>45661.75</v>
      </c>
      <c r="B1892" t="s">
        <v>21</v>
      </c>
      <c r="C1892">
        <v>129.03</v>
      </c>
      <c r="D1892">
        <v>67.349999999999994</v>
      </c>
      <c r="E1892" t="s">
        <v>9</v>
      </c>
      <c r="F1892">
        <v>88.53</v>
      </c>
      <c r="G1892" t="s">
        <v>22</v>
      </c>
      <c r="H1892" t="s">
        <v>11</v>
      </c>
    </row>
    <row r="1893" spans="1:8" x14ac:dyDescent="0.25">
      <c r="A1893" s="1">
        <v>45661.791666666664</v>
      </c>
      <c r="B1893" t="s">
        <v>21</v>
      </c>
      <c r="C1893">
        <v>55.67</v>
      </c>
      <c r="D1893">
        <v>86.76</v>
      </c>
      <c r="E1893" t="s">
        <v>14</v>
      </c>
      <c r="F1893">
        <v>64.88</v>
      </c>
      <c r="G1893" t="s">
        <v>22</v>
      </c>
      <c r="H1893" t="s">
        <v>12</v>
      </c>
    </row>
    <row r="1894" spans="1:8" x14ac:dyDescent="0.25">
      <c r="A1894" s="1">
        <v>45661.833333333336</v>
      </c>
      <c r="B1894" t="s">
        <v>21</v>
      </c>
      <c r="C1894">
        <v>154.66999999999999</v>
      </c>
      <c r="D1894">
        <v>63.97</v>
      </c>
      <c r="E1894" t="s">
        <v>9</v>
      </c>
      <c r="F1894">
        <v>60.54</v>
      </c>
      <c r="G1894" t="s">
        <v>22</v>
      </c>
      <c r="H1894" t="s">
        <v>12</v>
      </c>
    </row>
    <row r="1895" spans="1:8" x14ac:dyDescent="0.25">
      <c r="A1895" s="1">
        <v>45661.875</v>
      </c>
      <c r="B1895" t="s">
        <v>21</v>
      </c>
      <c r="C1895">
        <v>284.67</v>
      </c>
      <c r="D1895">
        <v>83.82</v>
      </c>
      <c r="E1895" t="s">
        <v>9</v>
      </c>
      <c r="F1895">
        <v>59.5</v>
      </c>
      <c r="G1895" t="s">
        <v>22</v>
      </c>
      <c r="H1895" t="s">
        <v>13</v>
      </c>
    </row>
    <row r="1896" spans="1:8" x14ac:dyDescent="0.25">
      <c r="A1896" s="1">
        <v>45661.916666666664</v>
      </c>
      <c r="B1896" t="s">
        <v>21</v>
      </c>
      <c r="C1896">
        <v>271.01</v>
      </c>
      <c r="D1896">
        <v>69.28</v>
      </c>
      <c r="E1896" t="s">
        <v>9</v>
      </c>
      <c r="F1896">
        <v>36.090000000000003</v>
      </c>
      <c r="G1896" t="s">
        <v>22</v>
      </c>
      <c r="H1896" t="s">
        <v>11</v>
      </c>
    </row>
    <row r="1897" spans="1:8" x14ac:dyDescent="0.25">
      <c r="A1897" s="1">
        <v>45661.958333333336</v>
      </c>
      <c r="B1897" t="s">
        <v>21</v>
      </c>
      <c r="C1897">
        <v>198.93</v>
      </c>
      <c r="D1897">
        <v>27.68</v>
      </c>
      <c r="E1897" t="s">
        <v>9</v>
      </c>
      <c r="F1897">
        <v>58</v>
      </c>
      <c r="G1897" t="s">
        <v>22</v>
      </c>
      <c r="H1897" t="s">
        <v>11</v>
      </c>
    </row>
    <row r="1898" spans="1:8" x14ac:dyDescent="0.25">
      <c r="A1898" s="1">
        <v>45662</v>
      </c>
      <c r="B1898" t="s">
        <v>21</v>
      </c>
      <c r="C1898">
        <v>268.36</v>
      </c>
      <c r="D1898">
        <v>77.56</v>
      </c>
      <c r="E1898" t="s">
        <v>9</v>
      </c>
      <c r="F1898">
        <v>59.13</v>
      </c>
      <c r="G1898" t="s">
        <v>22</v>
      </c>
      <c r="H1898" t="s">
        <v>11</v>
      </c>
    </row>
    <row r="1899" spans="1:8" x14ac:dyDescent="0.25">
      <c r="A1899" s="1">
        <v>45662.041666666664</v>
      </c>
      <c r="B1899" t="s">
        <v>21</v>
      </c>
      <c r="C1899">
        <v>165.65</v>
      </c>
      <c r="D1899">
        <v>82.87</v>
      </c>
      <c r="E1899" t="s">
        <v>9</v>
      </c>
      <c r="F1899">
        <v>51.33</v>
      </c>
      <c r="G1899" t="s">
        <v>22</v>
      </c>
      <c r="H1899" t="s">
        <v>11</v>
      </c>
    </row>
    <row r="1900" spans="1:8" x14ac:dyDescent="0.25">
      <c r="A1900" s="1">
        <v>45662.083333333336</v>
      </c>
      <c r="B1900" t="s">
        <v>21</v>
      </c>
      <c r="C1900">
        <v>489.73</v>
      </c>
      <c r="D1900">
        <v>23.02</v>
      </c>
      <c r="E1900" t="s">
        <v>9</v>
      </c>
      <c r="F1900">
        <v>42.73</v>
      </c>
      <c r="G1900" t="s">
        <v>22</v>
      </c>
      <c r="H1900" t="s">
        <v>11</v>
      </c>
    </row>
    <row r="1901" spans="1:8" x14ac:dyDescent="0.25">
      <c r="A1901" s="1">
        <v>45662.125</v>
      </c>
      <c r="B1901" t="s">
        <v>21</v>
      </c>
      <c r="C1901">
        <v>64.81</v>
      </c>
      <c r="D1901">
        <v>63.01</v>
      </c>
      <c r="E1901" t="s">
        <v>9</v>
      </c>
      <c r="F1901">
        <v>67.150000000000006</v>
      </c>
      <c r="G1901" t="s">
        <v>22</v>
      </c>
      <c r="H1901" t="s">
        <v>11</v>
      </c>
    </row>
    <row r="1902" spans="1:8" x14ac:dyDescent="0.25">
      <c r="A1902" s="1">
        <v>45662.166666666664</v>
      </c>
      <c r="B1902" t="s">
        <v>21</v>
      </c>
      <c r="C1902">
        <v>200.17</v>
      </c>
      <c r="D1902">
        <v>94.35</v>
      </c>
      <c r="E1902" t="s">
        <v>14</v>
      </c>
      <c r="F1902">
        <v>36.17</v>
      </c>
      <c r="G1902" t="s">
        <v>22</v>
      </c>
      <c r="H1902" t="s">
        <v>13</v>
      </c>
    </row>
    <row r="1903" spans="1:8" x14ac:dyDescent="0.25">
      <c r="A1903" s="1">
        <v>45662.208333333336</v>
      </c>
      <c r="B1903" t="s">
        <v>21</v>
      </c>
      <c r="C1903">
        <v>353.31</v>
      </c>
      <c r="D1903">
        <v>24.8</v>
      </c>
      <c r="E1903" t="s">
        <v>9</v>
      </c>
      <c r="F1903">
        <v>82.79</v>
      </c>
      <c r="G1903" t="s">
        <v>22</v>
      </c>
      <c r="H1903" t="s">
        <v>13</v>
      </c>
    </row>
    <row r="1904" spans="1:8" x14ac:dyDescent="0.25">
      <c r="A1904" s="1">
        <v>45662.25</v>
      </c>
      <c r="B1904" t="s">
        <v>21</v>
      </c>
      <c r="C1904">
        <v>87.03</v>
      </c>
      <c r="D1904">
        <v>63.95</v>
      </c>
      <c r="E1904" t="s">
        <v>9</v>
      </c>
      <c r="F1904">
        <v>30.55</v>
      </c>
      <c r="G1904" t="s">
        <v>22</v>
      </c>
      <c r="H1904" t="s">
        <v>12</v>
      </c>
    </row>
    <row r="1905" spans="1:8" x14ac:dyDescent="0.25">
      <c r="A1905" s="1">
        <v>45662.291666666664</v>
      </c>
      <c r="B1905" t="s">
        <v>21</v>
      </c>
      <c r="C1905">
        <v>350.54</v>
      </c>
      <c r="D1905">
        <v>77.05</v>
      </c>
      <c r="E1905" t="s">
        <v>9</v>
      </c>
      <c r="F1905">
        <v>76.569999999999993</v>
      </c>
      <c r="G1905" t="s">
        <v>22</v>
      </c>
      <c r="H1905" t="s">
        <v>11</v>
      </c>
    </row>
    <row r="1906" spans="1:8" x14ac:dyDescent="0.25">
      <c r="A1906" s="1">
        <v>45662.333333333336</v>
      </c>
      <c r="B1906" t="s">
        <v>21</v>
      </c>
      <c r="C1906">
        <v>53.51</v>
      </c>
      <c r="D1906">
        <v>70.2</v>
      </c>
      <c r="E1906" t="s">
        <v>9</v>
      </c>
      <c r="F1906">
        <v>49.36</v>
      </c>
      <c r="G1906" t="s">
        <v>22</v>
      </c>
      <c r="H1906" t="s">
        <v>13</v>
      </c>
    </row>
    <row r="1907" spans="1:8" x14ac:dyDescent="0.25">
      <c r="A1907" s="1">
        <v>45662.375</v>
      </c>
      <c r="B1907" t="s">
        <v>21</v>
      </c>
      <c r="C1907">
        <v>302.5</v>
      </c>
      <c r="D1907">
        <v>57.22</v>
      </c>
      <c r="E1907" t="s">
        <v>9</v>
      </c>
      <c r="F1907">
        <v>79.41</v>
      </c>
      <c r="G1907" t="s">
        <v>22</v>
      </c>
      <c r="H1907" t="s">
        <v>11</v>
      </c>
    </row>
    <row r="1908" spans="1:8" x14ac:dyDescent="0.25">
      <c r="A1908" s="1">
        <v>45662.416666666664</v>
      </c>
      <c r="B1908" t="s">
        <v>21</v>
      </c>
      <c r="C1908">
        <v>234.97</v>
      </c>
      <c r="D1908">
        <v>75.83</v>
      </c>
      <c r="E1908" t="s">
        <v>9</v>
      </c>
      <c r="F1908">
        <v>35.99</v>
      </c>
      <c r="G1908" t="s">
        <v>22</v>
      </c>
      <c r="H1908" t="s">
        <v>11</v>
      </c>
    </row>
    <row r="1909" spans="1:8" x14ac:dyDescent="0.25">
      <c r="A1909" s="1">
        <v>45662.458333333336</v>
      </c>
      <c r="B1909" t="s">
        <v>21</v>
      </c>
      <c r="C1909">
        <v>217.14</v>
      </c>
      <c r="D1909">
        <v>17.190000000000001</v>
      </c>
      <c r="E1909" t="s">
        <v>9</v>
      </c>
      <c r="F1909">
        <v>51.79</v>
      </c>
      <c r="G1909" t="s">
        <v>22</v>
      </c>
      <c r="H1909" t="s">
        <v>13</v>
      </c>
    </row>
    <row r="1910" spans="1:8" x14ac:dyDescent="0.25">
      <c r="A1910" s="1">
        <v>45662.5</v>
      </c>
      <c r="B1910" t="s">
        <v>21</v>
      </c>
      <c r="C1910">
        <v>341.77</v>
      </c>
      <c r="D1910">
        <v>60.15</v>
      </c>
      <c r="E1910" t="s">
        <v>9</v>
      </c>
      <c r="F1910">
        <v>40.06</v>
      </c>
      <c r="G1910" t="s">
        <v>22</v>
      </c>
      <c r="H1910" t="s">
        <v>11</v>
      </c>
    </row>
    <row r="1911" spans="1:8" x14ac:dyDescent="0.25">
      <c r="A1911" s="1">
        <v>45662.541666666664</v>
      </c>
      <c r="B1911" t="s">
        <v>21</v>
      </c>
      <c r="C1911">
        <v>468.5</v>
      </c>
      <c r="D1911">
        <v>71.28</v>
      </c>
      <c r="E1911" t="s">
        <v>9</v>
      </c>
      <c r="F1911">
        <v>49.78</v>
      </c>
      <c r="G1911" t="s">
        <v>22</v>
      </c>
      <c r="H1911" t="s">
        <v>13</v>
      </c>
    </row>
    <row r="1912" spans="1:8" x14ac:dyDescent="0.25">
      <c r="A1912" s="1">
        <v>45662.583333333336</v>
      </c>
      <c r="B1912" t="s">
        <v>21</v>
      </c>
      <c r="C1912">
        <v>383.36</v>
      </c>
      <c r="D1912">
        <v>62.73</v>
      </c>
      <c r="E1912" t="s">
        <v>9</v>
      </c>
      <c r="F1912">
        <v>70.3</v>
      </c>
      <c r="G1912" t="s">
        <v>22</v>
      </c>
      <c r="H1912" t="s">
        <v>12</v>
      </c>
    </row>
    <row r="1913" spans="1:8" x14ac:dyDescent="0.25">
      <c r="A1913" s="1">
        <v>45662.625</v>
      </c>
      <c r="B1913" t="s">
        <v>21</v>
      </c>
      <c r="C1913">
        <v>340.89</v>
      </c>
      <c r="D1913">
        <v>31.5</v>
      </c>
      <c r="E1913" t="s">
        <v>9</v>
      </c>
      <c r="F1913">
        <v>73.72</v>
      </c>
      <c r="G1913" t="s">
        <v>22</v>
      </c>
      <c r="H1913" t="s">
        <v>13</v>
      </c>
    </row>
    <row r="1914" spans="1:8" x14ac:dyDescent="0.25">
      <c r="A1914" s="1">
        <v>45662.666666666664</v>
      </c>
      <c r="B1914" t="s">
        <v>21</v>
      </c>
      <c r="C1914">
        <v>493.59</v>
      </c>
      <c r="D1914">
        <v>31.33</v>
      </c>
      <c r="E1914" t="s">
        <v>9</v>
      </c>
      <c r="F1914">
        <v>65.87</v>
      </c>
      <c r="G1914" t="s">
        <v>22</v>
      </c>
      <c r="H1914" t="s">
        <v>13</v>
      </c>
    </row>
    <row r="1915" spans="1:8" x14ac:dyDescent="0.25">
      <c r="A1915" s="1">
        <v>45662.708333333336</v>
      </c>
      <c r="B1915" t="s">
        <v>21</v>
      </c>
      <c r="C1915">
        <v>181.6</v>
      </c>
      <c r="D1915">
        <v>20.59</v>
      </c>
      <c r="E1915" t="s">
        <v>9</v>
      </c>
      <c r="F1915">
        <v>30.69</v>
      </c>
      <c r="G1915" t="s">
        <v>22</v>
      </c>
      <c r="H1915" t="s">
        <v>12</v>
      </c>
    </row>
    <row r="1916" spans="1:8" x14ac:dyDescent="0.25">
      <c r="A1916" s="1">
        <v>45662.75</v>
      </c>
      <c r="B1916" t="s">
        <v>21</v>
      </c>
      <c r="C1916">
        <v>231.89</v>
      </c>
      <c r="D1916">
        <v>64.599999999999994</v>
      </c>
      <c r="E1916" t="s">
        <v>9</v>
      </c>
      <c r="F1916">
        <v>83.35</v>
      </c>
      <c r="G1916" t="s">
        <v>22</v>
      </c>
      <c r="H1916" t="s">
        <v>13</v>
      </c>
    </row>
    <row r="1917" spans="1:8" x14ac:dyDescent="0.25">
      <c r="A1917" s="1">
        <v>45662.791666666664</v>
      </c>
      <c r="B1917" t="s">
        <v>21</v>
      </c>
      <c r="C1917">
        <v>165.39</v>
      </c>
      <c r="D1917">
        <v>86.2</v>
      </c>
      <c r="E1917" t="s">
        <v>14</v>
      </c>
      <c r="F1917">
        <v>59.46</v>
      </c>
      <c r="G1917" t="s">
        <v>22</v>
      </c>
      <c r="H1917" t="s">
        <v>13</v>
      </c>
    </row>
    <row r="1918" spans="1:8" x14ac:dyDescent="0.25">
      <c r="A1918" s="1">
        <v>45662.833333333336</v>
      </c>
      <c r="B1918" t="s">
        <v>21</v>
      </c>
      <c r="C1918">
        <v>243.91</v>
      </c>
      <c r="D1918">
        <v>91.31</v>
      </c>
      <c r="E1918" t="s">
        <v>14</v>
      </c>
      <c r="F1918">
        <v>42.34</v>
      </c>
      <c r="G1918" t="s">
        <v>22</v>
      </c>
      <c r="H1918" t="s">
        <v>12</v>
      </c>
    </row>
    <row r="1919" spans="1:8" x14ac:dyDescent="0.25">
      <c r="A1919" s="1">
        <v>45662.875</v>
      </c>
      <c r="B1919" t="s">
        <v>21</v>
      </c>
      <c r="C1919">
        <v>315.27999999999997</v>
      </c>
      <c r="D1919">
        <v>41.9</v>
      </c>
      <c r="E1919" t="s">
        <v>9</v>
      </c>
      <c r="F1919">
        <v>67.540000000000006</v>
      </c>
      <c r="G1919" t="s">
        <v>22</v>
      </c>
      <c r="H1919" t="s">
        <v>12</v>
      </c>
    </row>
    <row r="1920" spans="1:8" x14ac:dyDescent="0.25">
      <c r="A1920" s="1">
        <v>45662.916666666664</v>
      </c>
      <c r="B1920" t="s">
        <v>21</v>
      </c>
      <c r="C1920">
        <v>495.13</v>
      </c>
      <c r="D1920">
        <v>86</v>
      </c>
      <c r="E1920" t="s">
        <v>14</v>
      </c>
      <c r="F1920">
        <v>49.68</v>
      </c>
      <c r="G1920" t="s">
        <v>22</v>
      </c>
      <c r="H1920" t="s">
        <v>11</v>
      </c>
    </row>
    <row r="1921" spans="1:8" x14ac:dyDescent="0.25">
      <c r="A1921" s="1">
        <v>45662.958333333336</v>
      </c>
      <c r="B1921" t="s">
        <v>21</v>
      </c>
      <c r="C1921">
        <v>373.85</v>
      </c>
      <c r="D1921">
        <v>63.77</v>
      </c>
      <c r="E1921" t="s">
        <v>9</v>
      </c>
      <c r="F1921">
        <v>70.78</v>
      </c>
      <c r="G1921" t="s">
        <v>22</v>
      </c>
      <c r="H1921" t="s">
        <v>13</v>
      </c>
    </row>
    <row r="1922" spans="1:8" x14ac:dyDescent="0.25">
      <c r="A1922" s="1">
        <v>45663</v>
      </c>
      <c r="B1922" t="s">
        <v>21</v>
      </c>
      <c r="C1922">
        <v>435.74</v>
      </c>
      <c r="D1922">
        <v>44.38</v>
      </c>
      <c r="E1922" t="s">
        <v>9</v>
      </c>
      <c r="F1922">
        <v>57.72</v>
      </c>
      <c r="G1922" t="s">
        <v>22</v>
      </c>
      <c r="H1922" t="s">
        <v>11</v>
      </c>
    </row>
    <row r="1923" spans="1:8" x14ac:dyDescent="0.25">
      <c r="A1923" s="1">
        <v>45663.041666666664</v>
      </c>
      <c r="B1923" t="s">
        <v>21</v>
      </c>
      <c r="C1923">
        <v>238.84</v>
      </c>
      <c r="D1923">
        <v>29.25</v>
      </c>
      <c r="E1923" t="s">
        <v>9</v>
      </c>
      <c r="F1923">
        <v>30.5</v>
      </c>
      <c r="G1923" t="s">
        <v>22</v>
      </c>
      <c r="H1923" t="s">
        <v>12</v>
      </c>
    </row>
    <row r="1924" spans="1:8" x14ac:dyDescent="0.25">
      <c r="A1924" s="1">
        <v>45663.083333333336</v>
      </c>
      <c r="B1924" t="s">
        <v>21</v>
      </c>
      <c r="C1924">
        <v>452.29</v>
      </c>
      <c r="D1924">
        <v>92.25</v>
      </c>
      <c r="E1924" t="s">
        <v>14</v>
      </c>
      <c r="F1924">
        <v>83.11</v>
      </c>
      <c r="G1924" t="s">
        <v>22</v>
      </c>
      <c r="H1924" t="s">
        <v>13</v>
      </c>
    </row>
    <row r="1925" spans="1:8" x14ac:dyDescent="0.25">
      <c r="A1925" s="1">
        <v>45663.125</v>
      </c>
      <c r="B1925" t="s">
        <v>21</v>
      </c>
      <c r="C1925">
        <v>314.32</v>
      </c>
      <c r="D1925">
        <v>30.27</v>
      </c>
      <c r="E1925" t="s">
        <v>9</v>
      </c>
      <c r="F1925">
        <v>77.400000000000006</v>
      </c>
      <c r="G1925" t="s">
        <v>22</v>
      </c>
      <c r="H1925" t="s">
        <v>13</v>
      </c>
    </row>
    <row r="1926" spans="1:8" x14ac:dyDescent="0.25">
      <c r="A1926" s="1">
        <v>45663.166666666664</v>
      </c>
      <c r="B1926" t="s">
        <v>21</v>
      </c>
      <c r="C1926">
        <v>310.24</v>
      </c>
      <c r="D1926">
        <v>70.75</v>
      </c>
      <c r="E1926" t="s">
        <v>9</v>
      </c>
      <c r="F1926">
        <v>69.28</v>
      </c>
      <c r="G1926" t="s">
        <v>22</v>
      </c>
      <c r="H1926" t="s">
        <v>11</v>
      </c>
    </row>
    <row r="1927" spans="1:8" x14ac:dyDescent="0.25">
      <c r="A1927" s="1">
        <v>45663.208333333336</v>
      </c>
      <c r="B1927" t="s">
        <v>21</v>
      </c>
      <c r="C1927">
        <v>325.83999999999997</v>
      </c>
      <c r="D1927">
        <v>93.83</v>
      </c>
      <c r="E1927" t="s">
        <v>14</v>
      </c>
      <c r="F1927">
        <v>82.94</v>
      </c>
      <c r="G1927" t="s">
        <v>22</v>
      </c>
      <c r="H1927" t="s">
        <v>11</v>
      </c>
    </row>
    <row r="1928" spans="1:8" x14ac:dyDescent="0.25">
      <c r="A1928" s="1">
        <v>45663.25</v>
      </c>
      <c r="B1928" t="s">
        <v>21</v>
      </c>
      <c r="C1928">
        <v>204.17</v>
      </c>
      <c r="D1928">
        <v>22.55</v>
      </c>
      <c r="E1928" t="s">
        <v>9</v>
      </c>
      <c r="F1928">
        <v>41.3</v>
      </c>
      <c r="G1928" t="s">
        <v>22</v>
      </c>
      <c r="H1928" t="s">
        <v>12</v>
      </c>
    </row>
    <row r="1929" spans="1:8" x14ac:dyDescent="0.25">
      <c r="A1929" s="1">
        <v>45663.291666666664</v>
      </c>
      <c r="B1929" t="s">
        <v>21</v>
      </c>
      <c r="C1929">
        <v>361.75</v>
      </c>
      <c r="D1929">
        <v>30.2</v>
      </c>
      <c r="E1929" t="s">
        <v>9</v>
      </c>
      <c r="F1929">
        <v>88.4</v>
      </c>
      <c r="G1929" t="s">
        <v>22</v>
      </c>
      <c r="H1929" t="s">
        <v>11</v>
      </c>
    </row>
    <row r="1930" spans="1:8" x14ac:dyDescent="0.25">
      <c r="A1930" s="1">
        <v>45663.333333333336</v>
      </c>
      <c r="B1930" t="s">
        <v>21</v>
      </c>
      <c r="C1930">
        <v>430.64</v>
      </c>
      <c r="D1930">
        <v>90.57</v>
      </c>
      <c r="E1930" t="s">
        <v>14</v>
      </c>
      <c r="F1930">
        <v>81.88</v>
      </c>
      <c r="G1930" t="s">
        <v>22</v>
      </c>
      <c r="H1930" t="s">
        <v>13</v>
      </c>
    </row>
    <row r="1931" spans="1:8" x14ac:dyDescent="0.25">
      <c r="A1931" s="1">
        <v>45663.375</v>
      </c>
      <c r="B1931" t="s">
        <v>21</v>
      </c>
      <c r="C1931">
        <v>415.41</v>
      </c>
      <c r="D1931">
        <v>26.64</v>
      </c>
      <c r="E1931" t="s">
        <v>9</v>
      </c>
      <c r="F1931">
        <v>77.400000000000006</v>
      </c>
      <c r="G1931" t="s">
        <v>22</v>
      </c>
      <c r="H1931" t="s">
        <v>11</v>
      </c>
    </row>
    <row r="1932" spans="1:8" x14ac:dyDescent="0.25">
      <c r="A1932" s="1">
        <v>45663.416666666664</v>
      </c>
      <c r="B1932" t="s">
        <v>21</v>
      </c>
      <c r="C1932">
        <v>73.3</v>
      </c>
      <c r="D1932">
        <v>88.21</v>
      </c>
      <c r="E1932" t="s">
        <v>14</v>
      </c>
      <c r="F1932">
        <v>84.51</v>
      </c>
      <c r="G1932" t="s">
        <v>22</v>
      </c>
      <c r="H1932" t="s">
        <v>12</v>
      </c>
    </row>
    <row r="1933" spans="1:8" x14ac:dyDescent="0.25">
      <c r="A1933" s="1">
        <v>45663.458333333336</v>
      </c>
      <c r="B1933" t="s">
        <v>21</v>
      </c>
      <c r="C1933">
        <v>163.71</v>
      </c>
      <c r="D1933">
        <v>40.5</v>
      </c>
      <c r="E1933" t="s">
        <v>9</v>
      </c>
      <c r="F1933">
        <v>62.23</v>
      </c>
      <c r="G1933" t="s">
        <v>22</v>
      </c>
      <c r="H1933" t="s">
        <v>13</v>
      </c>
    </row>
    <row r="1934" spans="1:8" x14ac:dyDescent="0.25">
      <c r="A1934" s="1">
        <v>45663.5</v>
      </c>
      <c r="B1934" t="s">
        <v>21</v>
      </c>
      <c r="C1934">
        <v>415.02</v>
      </c>
      <c r="D1934">
        <v>76.66</v>
      </c>
      <c r="E1934" t="s">
        <v>9</v>
      </c>
      <c r="F1934">
        <v>38.72</v>
      </c>
      <c r="G1934" t="s">
        <v>22</v>
      </c>
      <c r="H1934" t="s">
        <v>13</v>
      </c>
    </row>
    <row r="1935" spans="1:8" x14ac:dyDescent="0.25">
      <c r="A1935" s="1">
        <v>45663.541666666664</v>
      </c>
      <c r="B1935" t="s">
        <v>21</v>
      </c>
      <c r="C1935">
        <v>398.67</v>
      </c>
      <c r="D1935">
        <v>41.32</v>
      </c>
      <c r="E1935" t="s">
        <v>9</v>
      </c>
      <c r="F1935">
        <v>67.989999999999995</v>
      </c>
      <c r="G1935" t="s">
        <v>22</v>
      </c>
      <c r="H1935" t="s">
        <v>12</v>
      </c>
    </row>
    <row r="1936" spans="1:8" x14ac:dyDescent="0.25">
      <c r="A1936" s="1">
        <v>45663.583333333336</v>
      </c>
      <c r="B1936" t="s">
        <v>21</v>
      </c>
      <c r="C1936">
        <v>85.02</v>
      </c>
      <c r="D1936">
        <v>54.28</v>
      </c>
      <c r="E1936" t="s">
        <v>9</v>
      </c>
      <c r="F1936">
        <v>38.89</v>
      </c>
      <c r="G1936" t="s">
        <v>22</v>
      </c>
      <c r="H1936" t="s">
        <v>11</v>
      </c>
    </row>
    <row r="1937" spans="1:8" x14ac:dyDescent="0.25">
      <c r="A1937" s="1">
        <v>45663.625</v>
      </c>
      <c r="B1937" t="s">
        <v>21</v>
      </c>
      <c r="C1937">
        <v>209.95</v>
      </c>
      <c r="D1937">
        <v>36.81</v>
      </c>
      <c r="E1937" t="s">
        <v>9</v>
      </c>
      <c r="F1937">
        <v>80.45</v>
      </c>
      <c r="G1937" t="s">
        <v>22</v>
      </c>
      <c r="H1937" t="s">
        <v>11</v>
      </c>
    </row>
    <row r="1938" spans="1:8" x14ac:dyDescent="0.25">
      <c r="A1938" s="1">
        <v>45663.666666666664</v>
      </c>
      <c r="B1938" t="s">
        <v>21</v>
      </c>
      <c r="C1938">
        <v>432.27</v>
      </c>
      <c r="D1938">
        <v>91.08</v>
      </c>
      <c r="E1938" t="s">
        <v>14</v>
      </c>
      <c r="F1938">
        <v>64.08</v>
      </c>
      <c r="G1938" t="s">
        <v>22</v>
      </c>
      <c r="H1938" t="s">
        <v>11</v>
      </c>
    </row>
    <row r="1939" spans="1:8" x14ac:dyDescent="0.25">
      <c r="A1939" s="1">
        <v>45663.708333333336</v>
      </c>
      <c r="B1939" t="s">
        <v>21</v>
      </c>
      <c r="C1939">
        <v>387.92</v>
      </c>
      <c r="D1939">
        <v>19.18</v>
      </c>
      <c r="E1939" t="s">
        <v>9</v>
      </c>
      <c r="F1939">
        <v>72.88</v>
      </c>
      <c r="G1939" t="s">
        <v>22</v>
      </c>
      <c r="H1939" t="s">
        <v>11</v>
      </c>
    </row>
    <row r="1940" spans="1:8" x14ac:dyDescent="0.25">
      <c r="A1940" s="1">
        <v>45663.75</v>
      </c>
      <c r="B1940" t="s">
        <v>21</v>
      </c>
      <c r="C1940">
        <v>331.21</v>
      </c>
      <c r="D1940">
        <v>15.19</v>
      </c>
      <c r="E1940" t="s">
        <v>9</v>
      </c>
      <c r="F1940">
        <v>74.88</v>
      </c>
      <c r="G1940" t="s">
        <v>22</v>
      </c>
      <c r="H1940" t="s">
        <v>11</v>
      </c>
    </row>
    <row r="1941" spans="1:8" x14ac:dyDescent="0.25">
      <c r="A1941" s="1">
        <v>45663.791666666664</v>
      </c>
      <c r="B1941" t="s">
        <v>21</v>
      </c>
      <c r="C1941">
        <v>275.33999999999997</v>
      </c>
      <c r="D1941">
        <v>53.65</v>
      </c>
      <c r="E1941" t="s">
        <v>9</v>
      </c>
      <c r="F1941">
        <v>57.37</v>
      </c>
      <c r="G1941" t="s">
        <v>22</v>
      </c>
      <c r="H1941" t="s">
        <v>11</v>
      </c>
    </row>
    <row r="1942" spans="1:8" x14ac:dyDescent="0.25">
      <c r="A1942" s="1">
        <v>45663.833333333336</v>
      </c>
      <c r="B1942" t="s">
        <v>21</v>
      </c>
      <c r="C1942">
        <v>57.1</v>
      </c>
      <c r="D1942">
        <v>80.739999999999995</v>
      </c>
      <c r="E1942" t="s">
        <v>9</v>
      </c>
      <c r="F1942">
        <v>82.73</v>
      </c>
      <c r="G1942" t="s">
        <v>22</v>
      </c>
      <c r="H1942" t="s">
        <v>11</v>
      </c>
    </row>
    <row r="1943" spans="1:8" x14ac:dyDescent="0.25">
      <c r="A1943" s="1">
        <v>45663.875</v>
      </c>
      <c r="B1943" t="s">
        <v>21</v>
      </c>
      <c r="C1943">
        <v>357.23</v>
      </c>
      <c r="D1943">
        <v>90.19</v>
      </c>
      <c r="E1943" t="s">
        <v>14</v>
      </c>
      <c r="F1943">
        <v>69.81</v>
      </c>
      <c r="G1943" t="s">
        <v>22</v>
      </c>
      <c r="H1943" t="s">
        <v>11</v>
      </c>
    </row>
    <row r="1944" spans="1:8" x14ac:dyDescent="0.25">
      <c r="A1944" s="1">
        <v>45663.916666666664</v>
      </c>
      <c r="B1944" t="s">
        <v>21</v>
      </c>
      <c r="C1944">
        <v>422.37</v>
      </c>
      <c r="D1944">
        <v>43.18</v>
      </c>
      <c r="E1944" t="s">
        <v>9</v>
      </c>
      <c r="F1944">
        <v>66.010000000000005</v>
      </c>
      <c r="G1944" t="s">
        <v>22</v>
      </c>
      <c r="H1944" t="s">
        <v>11</v>
      </c>
    </row>
    <row r="1945" spans="1:8" x14ac:dyDescent="0.25">
      <c r="A1945" s="1">
        <v>45663.958333333336</v>
      </c>
      <c r="B1945" t="s">
        <v>21</v>
      </c>
      <c r="C1945">
        <v>51.67</v>
      </c>
      <c r="D1945">
        <v>35.11</v>
      </c>
      <c r="E1945" t="s">
        <v>9</v>
      </c>
      <c r="F1945">
        <v>62.29</v>
      </c>
      <c r="G1945" t="s">
        <v>22</v>
      </c>
      <c r="H1945" t="s">
        <v>11</v>
      </c>
    </row>
    <row r="1946" spans="1:8" x14ac:dyDescent="0.25">
      <c r="A1946" s="1">
        <v>45664</v>
      </c>
      <c r="B1946" t="s">
        <v>21</v>
      </c>
      <c r="C1946">
        <v>287.63</v>
      </c>
      <c r="D1946">
        <v>47.32</v>
      </c>
      <c r="E1946" t="s">
        <v>9</v>
      </c>
      <c r="F1946">
        <v>46.13</v>
      </c>
      <c r="G1946" t="s">
        <v>22</v>
      </c>
      <c r="H1946" t="s">
        <v>12</v>
      </c>
    </row>
    <row r="1947" spans="1:8" x14ac:dyDescent="0.25">
      <c r="A1947" s="1">
        <v>45664.041666666664</v>
      </c>
      <c r="B1947" t="s">
        <v>21</v>
      </c>
      <c r="C1947">
        <v>82.27</v>
      </c>
      <c r="D1947">
        <v>17.53</v>
      </c>
      <c r="E1947" t="s">
        <v>9</v>
      </c>
      <c r="F1947">
        <v>43.04</v>
      </c>
      <c r="G1947" t="s">
        <v>22</v>
      </c>
      <c r="H1947" t="s">
        <v>12</v>
      </c>
    </row>
    <row r="1948" spans="1:8" x14ac:dyDescent="0.25">
      <c r="A1948" s="1">
        <v>45664.083333333336</v>
      </c>
      <c r="B1948" t="s">
        <v>21</v>
      </c>
      <c r="C1948">
        <v>104.18</v>
      </c>
      <c r="D1948">
        <v>23.95</v>
      </c>
      <c r="E1948" t="s">
        <v>9</v>
      </c>
      <c r="F1948">
        <v>63.92</v>
      </c>
      <c r="G1948" t="s">
        <v>22</v>
      </c>
      <c r="H1948" t="s">
        <v>13</v>
      </c>
    </row>
    <row r="1949" spans="1:8" x14ac:dyDescent="0.25">
      <c r="A1949" s="1">
        <v>45664.125</v>
      </c>
      <c r="B1949" t="s">
        <v>21</v>
      </c>
      <c r="C1949">
        <v>487.42</v>
      </c>
      <c r="D1949">
        <v>25.57</v>
      </c>
      <c r="E1949" t="s">
        <v>9</v>
      </c>
      <c r="F1949">
        <v>36.07</v>
      </c>
      <c r="G1949" t="s">
        <v>22</v>
      </c>
      <c r="H1949" t="s">
        <v>12</v>
      </c>
    </row>
    <row r="1950" spans="1:8" x14ac:dyDescent="0.25">
      <c r="A1950" s="1">
        <v>45664.166666666664</v>
      </c>
      <c r="B1950" t="s">
        <v>21</v>
      </c>
      <c r="C1950">
        <v>433.92</v>
      </c>
      <c r="D1950">
        <v>71.92</v>
      </c>
      <c r="E1950" t="s">
        <v>9</v>
      </c>
      <c r="F1950">
        <v>71.430000000000007</v>
      </c>
      <c r="G1950" t="s">
        <v>22</v>
      </c>
      <c r="H1950" t="s">
        <v>11</v>
      </c>
    </row>
    <row r="1951" spans="1:8" x14ac:dyDescent="0.25">
      <c r="A1951" s="1">
        <v>45664.208333333336</v>
      </c>
      <c r="B1951" t="s">
        <v>21</v>
      </c>
      <c r="C1951">
        <v>490.05</v>
      </c>
      <c r="D1951">
        <v>49.19</v>
      </c>
      <c r="E1951" t="s">
        <v>9</v>
      </c>
      <c r="F1951">
        <v>39.03</v>
      </c>
      <c r="G1951" t="s">
        <v>22</v>
      </c>
      <c r="H1951" t="s">
        <v>11</v>
      </c>
    </row>
    <row r="1952" spans="1:8" x14ac:dyDescent="0.25">
      <c r="A1952" s="1">
        <v>45664.25</v>
      </c>
      <c r="B1952" t="s">
        <v>21</v>
      </c>
      <c r="C1952">
        <v>169.29</v>
      </c>
      <c r="D1952">
        <v>60.22</v>
      </c>
      <c r="E1952" t="s">
        <v>9</v>
      </c>
      <c r="F1952">
        <v>56.54</v>
      </c>
      <c r="G1952" t="s">
        <v>22</v>
      </c>
      <c r="H1952" t="s">
        <v>11</v>
      </c>
    </row>
    <row r="1953" spans="1:8" x14ac:dyDescent="0.25">
      <c r="A1953" s="1">
        <v>45664.291666666664</v>
      </c>
      <c r="B1953" t="s">
        <v>21</v>
      </c>
      <c r="C1953">
        <v>282.92</v>
      </c>
      <c r="D1953">
        <v>83.55</v>
      </c>
      <c r="E1953" t="s">
        <v>9</v>
      </c>
      <c r="F1953">
        <v>69.11</v>
      </c>
      <c r="G1953" t="s">
        <v>22</v>
      </c>
      <c r="H1953" t="s">
        <v>12</v>
      </c>
    </row>
    <row r="1954" spans="1:8" x14ac:dyDescent="0.25">
      <c r="A1954" s="1">
        <v>45664.333333333336</v>
      </c>
      <c r="B1954" t="s">
        <v>21</v>
      </c>
      <c r="C1954">
        <v>72.069999999999993</v>
      </c>
      <c r="D1954">
        <v>85.8</v>
      </c>
      <c r="E1954" t="s">
        <v>14</v>
      </c>
      <c r="F1954">
        <v>63.74</v>
      </c>
      <c r="G1954" t="s">
        <v>22</v>
      </c>
      <c r="H1954" t="s">
        <v>12</v>
      </c>
    </row>
    <row r="1955" spans="1:8" x14ac:dyDescent="0.25">
      <c r="A1955" s="1">
        <v>45664.375</v>
      </c>
      <c r="B1955" t="s">
        <v>21</v>
      </c>
      <c r="C1955">
        <v>193.23</v>
      </c>
      <c r="D1955">
        <v>43.81</v>
      </c>
      <c r="E1955" t="s">
        <v>9</v>
      </c>
      <c r="F1955">
        <v>52.54</v>
      </c>
      <c r="G1955" t="s">
        <v>22</v>
      </c>
      <c r="H1955" t="s">
        <v>13</v>
      </c>
    </row>
    <row r="1956" spans="1:8" x14ac:dyDescent="0.25">
      <c r="A1956" s="1">
        <v>45664.416666666664</v>
      </c>
      <c r="B1956" t="s">
        <v>21</v>
      </c>
      <c r="C1956">
        <v>186.76</v>
      </c>
      <c r="D1956">
        <v>35.49</v>
      </c>
      <c r="E1956" t="s">
        <v>9</v>
      </c>
      <c r="F1956">
        <v>37.76</v>
      </c>
      <c r="G1956" t="s">
        <v>22</v>
      </c>
      <c r="H1956" t="s">
        <v>12</v>
      </c>
    </row>
    <row r="1957" spans="1:8" x14ac:dyDescent="0.25">
      <c r="A1957" s="1">
        <v>45664.458333333336</v>
      </c>
      <c r="B1957" t="s">
        <v>21</v>
      </c>
      <c r="C1957">
        <v>119.15</v>
      </c>
      <c r="D1957">
        <v>63.91</v>
      </c>
      <c r="E1957" t="s">
        <v>9</v>
      </c>
      <c r="F1957">
        <v>39.31</v>
      </c>
      <c r="G1957" t="s">
        <v>22</v>
      </c>
      <c r="H1957" t="s">
        <v>11</v>
      </c>
    </row>
    <row r="1958" spans="1:8" x14ac:dyDescent="0.25">
      <c r="A1958" s="1">
        <v>45664.5</v>
      </c>
      <c r="B1958" t="s">
        <v>21</v>
      </c>
      <c r="C1958">
        <v>421.82</v>
      </c>
      <c r="D1958">
        <v>17.440000000000001</v>
      </c>
      <c r="E1958" t="s">
        <v>9</v>
      </c>
      <c r="F1958">
        <v>55.18</v>
      </c>
      <c r="G1958" t="s">
        <v>22</v>
      </c>
      <c r="H1958" t="s">
        <v>13</v>
      </c>
    </row>
    <row r="1959" spans="1:8" x14ac:dyDescent="0.25">
      <c r="A1959" s="1">
        <v>45664.541666666664</v>
      </c>
      <c r="B1959" t="s">
        <v>21</v>
      </c>
      <c r="C1959">
        <v>405.98</v>
      </c>
      <c r="D1959">
        <v>51.91</v>
      </c>
      <c r="E1959" t="s">
        <v>9</v>
      </c>
      <c r="F1959">
        <v>64.05</v>
      </c>
      <c r="G1959" t="s">
        <v>22</v>
      </c>
      <c r="H1959" t="s">
        <v>13</v>
      </c>
    </row>
    <row r="1960" spans="1:8" x14ac:dyDescent="0.25">
      <c r="A1960" s="1">
        <v>45664.583333333336</v>
      </c>
      <c r="B1960" t="s">
        <v>21</v>
      </c>
      <c r="C1960">
        <v>185.24</v>
      </c>
      <c r="D1960">
        <v>26.13</v>
      </c>
      <c r="E1960" t="s">
        <v>9</v>
      </c>
      <c r="F1960">
        <v>43.58</v>
      </c>
      <c r="G1960" t="s">
        <v>22</v>
      </c>
      <c r="H1960" t="s">
        <v>12</v>
      </c>
    </row>
    <row r="1961" spans="1:8" x14ac:dyDescent="0.25">
      <c r="A1961" s="1">
        <v>45664.625</v>
      </c>
      <c r="B1961" t="s">
        <v>21</v>
      </c>
      <c r="C1961">
        <v>378.46</v>
      </c>
      <c r="D1961">
        <v>84.56</v>
      </c>
      <c r="E1961" t="s">
        <v>9</v>
      </c>
      <c r="F1961">
        <v>88.2</v>
      </c>
      <c r="G1961" t="s">
        <v>22</v>
      </c>
      <c r="H1961" t="s">
        <v>12</v>
      </c>
    </row>
    <row r="1962" spans="1:8" x14ac:dyDescent="0.25">
      <c r="A1962" s="1">
        <v>45664.666666666664</v>
      </c>
      <c r="B1962" t="s">
        <v>21</v>
      </c>
      <c r="C1962">
        <v>393</v>
      </c>
      <c r="D1962">
        <v>94.19</v>
      </c>
      <c r="E1962" t="s">
        <v>14</v>
      </c>
      <c r="F1962">
        <v>76.67</v>
      </c>
      <c r="G1962" t="s">
        <v>22</v>
      </c>
      <c r="H1962" t="s">
        <v>13</v>
      </c>
    </row>
    <row r="1963" spans="1:8" x14ac:dyDescent="0.25">
      <c r="A1963" s="1">
        <v>45664.708333333336</v>
      </c>
      <c r="B1963" t="s">
        <v>21</v>
      </c>
      <c r="C1963">
        <v>244.44</v>
      </c>
      <c r="D1963">
        <v>62.17</v>
      </c>
      <c r="E1963" t="s">
        <v>9</v>
      </c>
      <c r="F1963">
        <v>50.92</v>
      </c>
      <c r="G1963" t="s">
        <v>22</v>
      </c>
      <c r="H1963" t="s">
        <v>12</v>
      </c>
    </row>
    <row r="1964" spans="1:8" x14ac:dyDescent="0.25">
      <c r="A1964" s="1">
        <v>45664.75</v>
      </c>
      <c r="B1964" t="s">
        <v>21</v>
      </c>
      <c r="C1964">
        <v>298.10000000000002</v>
      </c>
      <c r="D1964">
        <v>63.03</v>
      </c>
      <c r="E1964" t="s">
        <v>9</v>
      </c>
      <c r="F1964">
        <v>72.33</v>
      </c>
      <c r="G1964" t="s">
        <v>22</v>
      </c>
      <c r="H1964" t="s">
        <v>12</v>
      </c>
    </row>
    <row r="1965" spans="1:8" x14ac:dyDescent="0.25">
      <c r="A1965" s="1">
        <v>45664.791666666664</v>
      </c>
      <c r="B1965" t="s">
        <v>21</v>
      </c>
      <c r="C1965">
        <v>140.87</v>
      </c>
      <c r="D1965">
        <v>83.59</v>
      </c>
      <c r="E1965" t="s">
        <v>9</v>
      </c>
      <c r="F1965">
        <v>70.67</v>
      </c>
      <c r="G1965" t="s">
        <v>22</v>
      </c>
      <c r="H1965" t="s">
        <v>13</v>
      </c>
    </row>
    <row r="1966" spans="1:8" x14ac:dyDescent="0.25">
      <c r="A1966" s="1">
        <v>45664.833333333336</v>
      </c>
      <c r="B1966" t="s">
        <v>21</v>
      </c>
      <c r="C1966">
        <v>207.25</v>
      </c>
      <c r="D1966">
        <v>31.23</v>
      </c>
      <c r="E1966" t="s">
        <v>9</v>
      </c>
      <c r="F1966">
        <v>52.46</v>
      </c>
      <c r="G1966" t="s">
        <v>22</v>
      </c>
      <c r="H1966" t="s">
        <v>12</v>
      </c>
    </row>
    <row r="1967" spans="1:8" x14ac:dyDescent="0.25">
      <c r="A1967" s="1">
        <v>45664.875</v>
      </c>
      <c r="B1967" t="s">
        <v>21</v>
      </c>
      <c r="C1967">
        <v>407.95</v>
      </c>
      <c r="D1967">
        <v>45.43</v>
      </c>
      <c r="E1967" t="s">
        <v>9</v>
      </c>
      <c r="F1967">
        <v>53.01</v>
      </c>
      <c r="G1967" t="s">
        <v>22</v>
      </c>
      <c r="H1967" t="s">
        <v>13</v>
      </c>
    </row>
    <row r="1968" spans="1:8" x14ac:dyDescent="0.25">
      <c r="A1968" s="1">
        <v>45664.916666666664</v>
      </c>
      <c r="B1968" t="s">
        <v>21</v>
      </c>
      <c r="C1968">
        <v>79.150000000000006</v>
      </c>
      <c r="D1968">
        <v>73.849999999999994</v>
      </c>
      <c r="E1968" t="s">
        <v>9</v>
      </c>
      <c r="F1968">
        <v>42.69</v>
      </c>
      <c r="G1968" t="s">
        <v>22</v>
      </c>
      <c r="H1968" t="s">
        <v>12</v>
      </c>
    </row>
    <row r="1969" spans="1:8" x14ac:dyDescent="0.25">
      <c r="A1969" s="1">
        <v>45664.958333333336</v>
      </c>
      <c r="B1969" t="s">
        <v>21</v>
      </c>
      <c r="C1969">
        <v>278.05</v>
      </c>
      <c r="D1969">
        <v>82.04</v>
      </c>
      <c r="E1969" t="s">
        <v>9</v>
      </c>
      <c r="F1969">
        <v>64.91</v>
      </c>
      <c r="G1969" t="s">
        <v>22</v>
      </c>
      <c r="H1969" t="s">
        <v>13</v>
      </c>
    </row>
    <row r="1970" spans="1:8" x14ac:dyDescent="0.25">
      <c r="A1970" s="1">
        <v>45665</v>
      </c>
      <c r="B1970" t="s">
        <v>21</v>
      </c>
      <c r="C1970">
        <v>411.98</v>
      </c>
      <c r="D1970">
        <v>30.78</v>
      </c>
      <c r="E1970" t="s">
        <v>9</v>
      </c>
      <c r="F1970">
        <v>50.15</v>
      </c>
      <c r="G1970" t="s">
        <v>22</v>
      </c>
      <c r="H1970" t="s">
        <v>13</v>
      </c>
    </row>
    <row r="1971" spans="1:8" x14ac:dyDescent="0.25">
      <c r="A1971" s="1">
        <v>45665.041666666664</v>
      </c>
      <c r="B1971" t="s">
        <v>21</v>
      </c>
      <c r="C1971">
        <v>329.48</v>
      </c>
      <c r="D1971">
        <v>88.25</v>
      </c>
      <c r="E1971" t="s">
        <v>14</v>
      </c>
      <c r="F1971">
        <v>47.95</v>
      </c>
      <c r="G1971" t="s">
        <v>22</v>
      </c>
      <c r="H1971" t="s">
        <v>11</v>
      </c>
    </row>
    <row r="1972" spans="1:8" x14ac:dyDescent="0.25">
      <c r="A1972" s="1">
        <v>45665.083333333336</v>
      </c>
      <c r="B1972" t="s">
        <v>21</v>
      </c>
      <c r="C1972">
        <v>293.94</v>
      </c>
      <c r="D1972">
        <v>76.010000000000005</v>
      </c>
      <c r="E1972" t="s">
        <v>9</v>
      </c>
      <c r="F1972">
        <v>80.400000000000006</v>
      </c>
      <c r="G1972" t="s">
        <v>22</v>
      </c>
      <c r="H1972" t="s">
        <v>12</v>
      </c>
    </row>
    <row r="1973" spans="1:8" x14ac:dyDescent="0.25">
      <c r="A1973" s="1">
        <v>45665.125</v>
      </c>
      <c r="B1973" t="s">
        <v>21</v>
      </c>
      <c r="C1973">
        <v>189.95</v>
      </c>
      <c r="D1973">
        <v>38.79</v>
      </c>
      <c r="E1973" t="s">
        <v>9</v>
      </c>
      <c r="F1973">
        <v>70.06</v>
      </c>
      <c r="G1973" t="s">
        <v>22</v>
      </c>
      <c r="H1973" t="s">
        <v>13</v>
      </c>
    </row>
    <row r="1974" spans="1:8" x14ac:dyDescent="0.25">
      <c r="A1974" s="1">
        <v>45665.166666666664</v>
      </c>
      <c r="B1974" t="s">
        <v>21</v>
      </c>
      <c r="C1974">
        <v>219.09</v>
      </c>
      <c r="D1974">
        <v>93.58</v>
      </c>
      <c r="E1974" t="s">
        <v>14</v>
      </c>
      <c r="F1974">
        <v>69.92</v>
      </c>
      <c r="G1974" t="s">
        <v>22</v>
      </c>
      <c r="H1974" t="s">
        <v>11</v>
      </c>
    </row>
    <row r="1975" spans="1:8" x14ac:dyDescent="0.25">
      <c r="A1975" s="1">
        <v>45665.208333333336</v>
      </c>
      <c r="B1975" t="s">
        <v>21</v>
      </c>
      <c r="C1975">
        <v>162.72999999999999</v>
      </c>
      <c r="D1975">
        <v>20.48</v>
      </c>
      <c r="E1975" t="s">
        <v>9</v>
      </c>
      <c r="F1975">
        <v>54.19</v>
      </c>
      <c r="G1975" t="s">
        <v>22</v>
      </c>
      <c r="H1975" t="s">
        <v>12</v>
      </c>
    </row>
    <row r="1976" spans="1:8" x14ac:dyDescent="0.25">
      <c r="A1976" s="1">
        <v>45665.25</v>
      </c>
      <c r="B1976" t="s">
        <v>21</v>
      </c>
      <c r="C1976">
        <v>495.3</v>
      </c>
      <c r="D1976">
        <v>26.78</v>
      </c>
      <c r="E1976" t="s">
        <v>9</v>
      </c>
      <c r="F1976">
        <v>60.98</v>
      </c>
      <c r="G1976" t="s">
        <v>22</v>
      </c>
      <c r="H1976" t="s">
        <v>12</v>
      </c>
    </row>
    <row r="1977" spans="1:8" x14ac:dyDescent="0.25">
      <c r="A1977" s="1">
        <v>45665.291666666664</v>
      </c>
      <c r="B1977" t="s">
        <v>21</v>
      </c>
      <c r="C1977">
        <v>494.98</v>
      </c>
      <c r="D1977">
        <v>77.41</v>
      </c>
      <c r="E1977" t="s">
        <v>9</v>
      </c>
      <c r="F1977">
        <v>34.28</v>
      </c>
      <c r="G1977" t="s">
        <v>22</v>
      </c>
      <c r="H1977" t="s">
        <v>11</v>
      </c>
    </row>
    <row r="1978" spans="1:8" x14ac:dyDescent="0.25">
      <c r="A1978" s="1">
        <v>45665.333333333336</v>
      </c>
      <c r="B1978" t="s">
        <v>21</v>
      </c>
      <c r="C1978">
        <v>241.39</v>
      </c>
      <c r="D1978">
        <v>62.92</v>
      </c>
      <c r="E1978" t="s">
        <v>9</v>
      </c>
      <c r="F1978">
        <v>33.270000000000003</v>
      </c>
      <c r="G1978" t="s">
        <v>22</v>
      </c>
      <c r="H1978" t="s">
        <v>12</v>
      </c>
    </row>
    <row r="1979" spans="1:8" x14ac:dyDescent="0.25">
      <c r="A1979" s="1">
        <v>45665.375</v>
      </c>
      <c r="B1979" t="s">
        <v>21</v>
      </c>
      <c r="C1979">
        <v>259.02999999999997</v>
      </c>
      <c r="D1979">
        <v>86.59</v>
      </c>
      <c r="E1979" t="s">
        <v>14</v>
      </c>
      <c r="F1979">
        <v>46.35</v>
      </c>
      <c r="G1979" t="s">
        <v>22</v>
      </c>
      <c r="H1979" t="s">
        <v>11</v>
      </c>
    </row>
    <row r="1980" spans="1:8" x14ac:dyDescent="0.25">
      <c r="A1980" s="1">
        <v>45665.416666666664</v>
      </c>
      <c r="B1980" t="s">
        <v>21</v>
      </c>
      <c r="C1980">
        <v>316.25</v>
      </c>
      <c r="D1980">
        <v>15.03</v>
      </c>
      <c r="E1980" t="s">
        <v>9</v>
      </c>
      <c r="F1980">
        <v>30.07</v>
      </c>
      <c r="G1980" t="s">
        <v>22</v>
      </c>
      <c r="H1980" t="s">
        <v>12</v>
      </c>
    </row>
    <row r="1981" spans="1:8" x14ac:dyDescent="0.25">
      <c r="A1981" s="1">
        <v>45665.458333333336</v>
      </c>
      <c r="B1981" t="s">
        <v>21</v>
      </c>
      <c r="C1981">
        <v>156.09</v>
      </c>
      <c r="D1981">
        <v>40.799999999999997</v>
      </c>
      <c r="E1981" t="s">
        <v>9</v>
      </c>
      <c r="F1981">
        <v>87.28</v>
      </c>
      <c r="G1981" t="s">
        <v>22</v>
      </c>
      <c r="H1981" t="s">
        <v>11</v>
      </c>
    </row>
    <row r="1982" spans="1:8" x14ac:dyDescent="0.25">
      <c r="A1982" s="1">
        <v>45665.5</v>
      </c>
      <c r="B1982" t="s">
        <v>21</v>
      </c>
      <c r="C1982">
        <v>74.16</v>
      </c>
      <c r="D1982">
        <v>39.380000000000003</v>
      </c>
      <c r="E1982" t="s">
        <v>9</v>
      </c>
      <c r="F1982">
        <v>38.97</v>
      </c>
      <c r="G1982" t="s">
        <v>22</v>
      </c>
      <c r="H1982" t="s">
        <v>11</v>
      </c>
    </row>
    <row r="1983" spans="1:8" x14ac:dyDescent="0.25">
      <c r="A1983" s="1">
        <v>45665.541666666664</v>
      </c>
      <c r="B1983" t="s">
        <v>21</v>
      </c>
      <c r="C1983">
        <v>137.02000000000001</v>
      </c>
      <c r="D1983">
        <v>57.51</v>
      </c>
      <c r="E1983" t="s">
        <v>9</v>
      </c>
      <c r="F1983">
        <v>80.959999999999994</v>
      </c>
      <c r="G1983" t="s">
        <v>22</v>
      </c>
      <c r="H1983" t="s">
        <v>11</v>
      </c>
    </row>
    <row r="1984" spans="1:8" x14ac:dyDescent="0.25">
      <c r="A1984" s="1">
        <v>45665.583333333336</v>
      </c>
      <c r="B1984" t="s">
        <v>21</v>
      </c>
      <c r="C1984">
        <v>85.41</v>
      </c>
      <c r="D1984">
        <v>48.52</v>
      </c>
      <c r="E1984" t="s">
        <v>9</v>
      </c>
      <c r="F1984">
        <v>86.75</v>
      </c>
      <c r="G1984" t="s">
        <v>22</v>
      </c>
      <c r="H1984" t="s">
        <v>13</v>
      </c>
    </row>
    <row r="1985" spans="1:8" x14ac:dyDescent="0.25">
      <c r="A1985" s="1">
        <v>45665.625</v>
      </c>
      <c r="B1985" t="s">
        <v>21</v>
      </c>
      <c r="C1985">
        <v>165.53</v>
      </c>
      <c r="D1985">
        <v>22.17</v>
      </c>
      <c r="E1985" t="s">
        <v>9</v>
      </c>
      <c r="F1985">
        <v>66.33</v>
      </c>
      <c r="G1985" t="s">
        <v>22</v>
      </c>
      <c r="H1985" t="s">
        <v>11</v>
      </c>
    </row>
    <row r="1986" spans="1:8" x14ac:dyDescent="0.25">
      <c r="A1986" s="1">
        <v>45665.666666666664</v>
      </c>
      <c r="B1986" t="s">
        <v>21</v>
      </c>
      <c r="C1986">
        <v>261.51</v>
      </c>
      <c r="D1986">
        <v>15.58</v>
      </c>
      <c r="E1986" t="s">
        <v>9</v>
      </c>
      <c r="F1986">
        <v>74.010000000000005</v>
      </c>
      <c r="G1986" t="s">
        <v>22</v>
      </c>
      <c r="H1986" t="s">
        <v>11</v>
      </c>
    </row>
    <row r="1987" spans="1:8" x14ac:dyDescent="0.25">
      <c r="A1987" s="1">
        <v>45665.708333333336</v>
      </c>
      <c r="B1987" t="s">
        <v>21</v>
      </c>
      <c r="C1987">
        <v>286.41000000000003</v>
      </c>
      <c r="D1987">
        <v>23.29</v>
      </c>
      <c r="E1987" t="s">
        <v>9</v>
      </c>
      <c r="F1987">
        <v>89.5</v>
      </c>
      <c r="G1987" t="s">
        <v>22</v>
      </c>
      <c r="H1987" t="s">
        <v>13</v>
      </c>
    </row>
    <row r="1988" spans="1:8" x14ac:dyDescent="0.25">
      <c r="A1988" s="1">
        <v>45665.75</v>
      </c>
      <c r="B1988" t="s">
        <v>21</v>
      </c>
      <c r="C1988">
        <v>288.95</v>
      </c>
      <c r="D1988">
        <v>69.31</v>
      </c>
      <c r="E1988" t="s">
        <v>9</v>
      </c>
      <c r="F1988">
        <v>68.239999999999995</v>
      </c>
      <c r="G1988" t="s">
        <v>22</v>
      </c>
      <c r="H1988" t="s">
        <v>12</v>
      </c>
    </row>
    <row r="1989" spans="1:8" x14ac:dyDescent="0.25">
      <c r="A1989" s="1">
        <v>45665.791666666664</v>
      </c>
      <c r="B1989" t="s">
        <v>21</v>
      </c>
      <c r="C1989">
        <v>182.23</v>
      </c>
      <c r="D1989">
        <v>75.239999999999995</v>
      </c>
      <c r="E1989" t="s">
        <v>9</v>
      </c>
      <c r="F1989">
        <v>52.95</v>
      </c>
      <c r="G1989" t="s">
        <v>22</v>
      </c>
      <c r="H1989" t="s">
        <v>12</v>
      </c>
    </row>
    <row r="1990" spans="1:8" x14ac:dyDescent="0.25">
      <c r="A1990" s="1">
        <v>45665.833333333336</v>
      </c>
      <c r="B1990" t="s">
        <v>21</v>
      </c>
      <c r="C1990">
        <v>355.18</v>
      </c>
      <c r="D1990">
        <v>87.08</v>
      </c>
      <c r="E1990" t="s">
        <v>14</v>
      </c>
      <c r="F1990">
        <v>53.14</v>
      </c>
      <c r="G1990" t="s">
        <v>22</v>
      </c>
      <c r="H1990" t="s">
        <v>13</v>
      </c>
    </row>
    <row r="1991" spans="1:8" x14ac:dyDescent="0.25">
      <c r="A1991" s="1">
        <v>45665.875</v>
      </c>
      <c r="B1991" t="s">
        <v>21</v>
      </c>
      <c r="C1991">
        <v>376.16</v>
      </c>
      <c r="D1991">
        <v>18.82</v>
      </c>
      <c r="E1991" t="s">
        <v>9</v>
      </c>
      <c r="F1991">
        <v>64.89</v>
      </c>
      <c r="G1991" t="s">
        <v>22</v>
      </c>
      <c r="H1991" t="s">
        <v>13</v>
      </c>
    </row>
    <row r="1992" spans="1:8" x14ac:dyDescent="0.25">
      <c r="A1992" s="1">
        <v>45665.916666666664</v>
      </c>
      <c r="B1992" t="s">
        <v>21</v>
      </c>
      <c r="C1992">
        <v>346.79</v>
      </c>
      <c r="D1992">
        <v>58.35</v>
      </c>
      <c r="E1992" t="s">
        <v>9</v>
      </c>
      <c r="F1992">
        <v>59.68</v>
      </c>
      <c r="G1992" t="s">
        <v>22</v>
      </c>
      <c r="H1992" t="s">
        <v>12</v>
      </c>
    </row>
    <row r="1993" spans="1:8" x14ac:dyDescent="0.25">
      <c r="A1993" s="1">
        <v>45665.958333333336</v>
      </c>
      <c r="B1993" t="s">
        <v>21</v>
      </c>
      <c r="C1993">
        <v>276.68</v>
      </c>
      <c r="D1993">
        <v>27.1</v>
      </c>
      <c r="E1993" t="s">
        <v>9</v>
      </c>
      <c r="F1993">
        <v>52.16</v>
      </c>
      <c r="G1993" t="s">
        <v>22</v>
      </c>
      <c r="H1993" t="s">
        <v>11</v>
      </c>
    </row>
    <row r="1994" spans="1:8" x14ac:dyDescent="0.25">
      <c r="A1994" s="1">
        <v>45666</v>
      </c>
      <c r="B1994" t="s">
        <v>21</v>
      </c>
      <c r="C1994">
        <v>293.74</v>
      </c>
      <c r="D1994">
        <v>45.41</v>
      </c>
      <c r="E1994" t="s">
        <v>9</v>
      </c>
      <c r="F1994">
        <v>36.06</v>
      </c>
      <c r="G1994" t="s">
        <v>22</v>
      </c>
      <c r="H1994" t="s">
        <v>11</v>
      </c>
    </row>
    <row r="1995" spans="1:8" x14ac:dyDescent="0.25">
      <c r="A1995" s="1">
        <v>45666.041666666664</v>
      </c>
      <c r="B1995" t="s">
        <v>21</v>
      </c>
      <c r="C1995">
        <v>88.46</v>
      </c>
      <c r="D1995">
        <v>44.89</v>
      </c>
      <c r="E1995" t="s">
        <v>9</v>
      </c>
      <c r="F1995">
        <v>80.52</v>
      </c>
      <c r="G1995" t="s">
        <v>22</v>
      </c>
      <c r="H1995" t="s">
        <v>13</v>
      </c>
    </row>
    <row r="1996" spans="1:8" x14ac:dyDescent="0.25">
      <c r="A1996" s="1">
        <v>45666.083333333336</v>
      </c>
      <c r="B1996" t="s">
        <v>21</v>
      </c>
      <c r="C1996">
        <v>147.41999999999999</v>
      </c>
      <c r="D1996">
        <v>35.35</v>
      </c>
      <c r="E1996" t="s">
        <v>9</v>
      </c>
      <c r="F1996">
        <v>42.51</v>
      </c>
      <c r="G1996" t="s">
        <v>22</v>
      </c>
      <c r="H1996" t="s">
        <v>12</v>
      </c>
    </row>
    <row r="1997" spans="1:8" x14ac:dyDescent="0.25">
      <c r="A1997" s="1">
        <v>45666.125</v>
      </c>
      <c r="B1997" t="s">
        <v>21</v>
      </c>
      <c r="C1997">
        <v>476.56</v>
      </c>
      <c r="D1997">
        <v>72.069999999999993</v>
      </c>
      <c r="E1997" t="s">
        <v>9</v>
      </c>
      <c r="F1997">
        <v>82.89</v>
      </c>
      <c r="G1997" t="s">
        <v>22</v>
      </c>
      <c r="H1997" t="s">
        <v>13</v>
      </c>
    </row>
    <row r="1998" spans="1:8" x14ac:dyDescent="0.25">
      <c r="A1998" s="1">
        <v>45666.166666666664</v>
      </c>
      <c r="B1998" t="s">
        <v>21</v>
      </c>
      <c r="C1998">
        <v>225.89</v>
      </c>
      <c r="D1998">
        <v>21.27</v>
      </c>
      <c r="E1998" t="s">
        <v>9</v>
      </c>
      <c r="F1998">
        <v>67.53</v>
      </c>
      <c r="G1998" t="s">
        <v>22</v>
      </c>
      <c r="H1998" t="s">
        <v>13</v>
      </c>
    </row>
    <row r="1999" spans="1:8" x14ac:dyDescent="0.25">
      <c r="A1999" s="1">
        <v>45666.208333333336</v>
      </c>
      <c r="B1999" t="s">
        <v>21</v>
      </c>
      <c r="C1999">
        <v>64.16</v>
      </c>
      <c r="D1999">
        <v>70.34</v>
      </c>
      <c r="E1999" t="s">
        <v>9</v>
      </c>
      <c r="F1999">
        <v>56.31</v>
      </c>
      <c r="G1999" t="s">
        <v>22</v>
      </c>
      <c r="H1999" t="s">
        <v>12</v>
      </c>
    </row>
    <row r="2000" spans="1:8" x14ac:dyDescent="0.25">
      <c r="A2000" s="1">
        <v>45666.25</v>
      </c>
      <c r="B2000" t="s">
        <v>21</v>
      </c>
      <c r="C2000">
        <v>410.75</v>
      </c>
      <c r="D2000">
        <v>66.61</v>
      </c>
      <c r="E2000" t="s">
        <v>9</v>
      </c>
      <c r="F2000">
        <v>58.06</v>
      </c>
      <c r="G2000" t="s">
        <v>22</v>
      </c>
      <c r="H2000" t="s">
        <v>12</v>
      </c>
    </row>
    <row r="2001" spans="1:8" x14ac:dyDescent="0.25">
      <c r="A2001" s="1">
        <v>45666.291666666664</v>
      </c>
      <c r="B2001" t="s">
        <v>21</v>
      </c>
      <c r="C2001">
        <v>261.83999999999997</v>
      </c>
      <c r="D2001">
        <v>45.46</v>
      </c>
      <c r="E2001" t="s">
        <v>9</v>
      </c>
      <c r="F2001">
        <v>79.239999999999995</v>
      </c>
      <c r="G2001" t="s">
        <v>22</v>
      </c>
      <c r="H2001" t="s">
        <v>12</v>
      </c>
    </row>
    <row r="2002" spans="1:8" x14ac:dyDescent="0.25">
      <c r="A2002" s="1">
        <v>45666.333333333336</v>
      </c>
      <c r="B2002" t="s">
        <v>21</v>
      </c>
      <c r="C2002">
        <v>321.64</v>
      </c>
      <c r="D2002">
        <v>86.54</v>
      </c>
      <c r="E2002" t="s">
        <v>14</v>
      </c>
      <c r="F2002">
        <v>81.97</v>
      </c>
      <c r="G2002" t="s">
        <v>22</v>
      </c>
      <c r="H2002" t="s">
        <v>12</v>
      </c>
    </row>
    <row r="2003" spans="1:8" x14ac:dyDescent="0.25">
      <c r="A2003" s="1">
        <v>45666.375</v>
      </c>
      <c r="B2003" t="s">
        <v>21</v>
      </c>
      <c r="C2003">
        <v>171.5</v>
      </c>
      <c r="D2003">
        <v>16.829999999999998</v>
      </c>
      <c r="E2003" t="s">
        <v>9</v>
      </c>
      <c r="F2003">
        <v>45.66</v>
      </c>
      <c r="G2003" t="s">
        <v>22</v>
      </c>
      <c r="H2003" t="s">
        <v>11</v>
      </c>
    </row>
    <row r="2004" spans="1:8" x14ac:dyDescent="0.25">
      <c r="A2004" s="1">
        <v>45666.416666666664</v>
      </c>
      <c r="B2004" t="s">
        <v>21</v>
      </c>
      <c r="C2004">
        <v>367.76</v>
      </c>
      <c r="D2004">
        <v>93.9</v>
      </c>
      <c r="E2004" t="s">
        <v>14</v>
      </c>
      <c r="F2004">
        <v>61.32</v>
      </c>
      <c r="G2004" t="s">
        <v>22</v>
      </c>
      <c r="H2004" t="s">
        <v>11</v>
      </c>
    </row>
    <row r="2005" spans="1:8" x14ac:dyDescent="0.25">
      <c r="A2005" s="1">
        <v>45666.458333333336</v>
      </c>
      <c r="B2005" t="s">
        <v>21</v>
      </c>
      <c r="C2005">
        <v>110.92</v>
      </c>
      <c r="D2005">
        <v>26.62</v>
      </c>
      <c r="E2005" t="s">
        <v>9</v>
      </c>
      <c r="F2005">
        <v>67.83</v>
      </c>
      <c r="G2005" t="s">
        <v>22</v>
      </c>
      <c r="H2005" t="s">
        <v>13</v>
      </c>
    </row>
    <row r="2006" spans="1:8" x14ac:dyDescent="0.25">
      <c r="A2006" s="1">
        <v>45666.5</v>
      </c>
      <c r="B2006" t="s">
        <v>21</v>
      </c>
      <c r="C2006">
        <v>436.84</v>
      </c>
      <c r="D2006">
        <v>90.19</v>
      </c>
      <c r="E2006" t="s">
        <v>14</v>
      </c>
      <c r="F2006">
        <v>42.1</v>
      </c>
      <c r="G2006" t="s">
        <v>22</v>
      </c>
      <c r="H2006" t="s">
        <v>13</v>
      </c>
    </row>
    <row r="2007" spans="1:8" x14ac:dyDescent="0.25">
      <c r="A2007" s="1">
        <v>45666.541666666664</v>
      </c>
      <c r="B2007" t="s">
        <v>21</v>
      </c>
      <c r="C2007">
        <v>93.46</v>
      </c>
      <c r="D2007">
        <v>17.239999999999998</v>
      </c>
      <c r="E2007" t="s">
        <v>9</v>
      </c>
      <c r="F2007">
        <v>58.74</v>
      </c>
      <c r="G2007" t="s">
        <v>22</v>
      </c>
      <c r="H2007" t="s">
        <v>11</v>
      </c>
    </row>
    <row r="2008" spans="1:8" x14ac:dyDescent="0.25">
      <c r="A2008" s="1">
        <v>45666.583333333336</v>
      </c>
      <c r="B2008" t="s">
        <v>21</v>
      </c>
      <c r="C2008">
        <v>308.8</v>
      </c>
      <c r="D2008">
        <v>73.8</v>
      </c>
      <c r="E2008" t="s">
        <v>9</v>
      </c>
      <c r="F2008">
        <v>59.41</v>
      </c>
      <c r="G2008" t="s">
        <v>22</v>
      </c>
      <c r="H2008" t="s">
        <v>12</v>
      </c>
    </row>
    <row r="2009" spans="1:8" x14ac:dyDescent="0.25">
      <c r="A2009" s="1">
        <v>45666.625</v>
      </c>
      <c r="B2009" t="s">
        <v>21</v>
      </c>
      <c r="C2009">
        <v>303.26</v>
      </c>
      <c r="D2009">
        <v>36.549999999999997</v>
      </c>
      <c r="E2009" t="s">
        <v>9</v>
      </c>
      <c r="F2009">
        <v>35.74</v>
      </c>
      <c r="G2009" t="s">
        <v>22</v>
      </c>
      <c r="H2009" t="s">
        <v>11</v>
      </c>
    </row>
    <row r="2010" spans="1:8" x14ac:dyDescent="0.25">
      <c r="A2010" s="1">
        <v>45666.666666666664</v>
      </c>
      <c r="B2010" t="s">
        <v>21</v>
      </c>
      <c r="C2010">
        <v>146.9</v>
      </c>
      <c r="D2010">
        <v>72.48</v>
      </c>
      <c r="E2010" t="s">
        <v>9</v>
      </c>
      <c r="F2010">
        <v>78.64</v>
      </c>
      <c r="G2010" t="s">
        <v>22</v>
      </c>
      <c r="H2010" t="s">
        <v>12</v>
      </c>
    </row>
    <row r="2011" spans="1:8" x14ac:dyDescent="0.25">
      <c r="A2011" s="1">
        <v>45666.708333333336</v>
      </c>
      <c r="B2011" t="s">
        <v>21</v>
      </c>
      <c r="C2011">
        <v>371.61</v>
      </c>
      <c r="D2011">
        <v>59.99</v>
      </c>
      <c r="E2011" t="s">
        <v>9</v>
      </c>
      <c r="F2011">
        <v>88.62</v>
      </c>
      <c r="G2011" t="s">
        <v>22</v>
      </c>
      <c r="H2011" t="s">
        <v>11</v>
      </c>
    </row>
    <row r="2012" spans="1:8" x14ac:dyDescent="0.25">
      <c r="A2012" s="1">
        <v>45666.75</v>
      </c>
      <c r="B2012" t="s">
        <v>21</v>
      </c>
      <c r="C2012">
        <v>73.42</v>
      </c>
      <c r="D2012">
        <v>33.51</v>
      </c>
      <c r="E2012" t="s">
        <v>9</v>
      </c>
      <c r="F2012">
        <v>71.040000000000006</v>
      </c>
      <c r="G2012" t="s">
        <v>22</v>
      </c>
      <c r="H2012" t="s">
        <v>13</v>
      </c>
    </row>
    <row r="2013" spans="1:8" x14ac:dyDescent="0.25">
      <c r="A2013" s="1">
        <v>45666.791666666664</v>
      </c>
      <c r="B2013" t="s">
        <v>21</v>
      </c>
      <c r="C2013">
        <v>141.83000000000001</v>
      </c>
      <c r="D2013">
        <v>70.16</v>
      </c>
      <c r="E2013" t="s">
        <v>9</v>
      </c>
      <c r="F2013">
        <v>85.02</v>
      </c>
      <c r="G2013" t="s">
        <v>22</v>
      </c>
      <c r="H2013" t="s">
        <v>11</v>
      </c>
    </row>
    <row r="2014" spans="1:8" x14ac:dyDescent="0.25">
      <c r="A2014" s="1">
        <v>45666.833333333336</v>
      </c>
      <c r="B2014" t="s">
        <v>21</v>
      </c>
      <c r="C2014">
        <v>71.459999999999994</v>
      </c>
      <c r="D2014">
        <v>18.95</v>
      </c>
      <c r="E2014" t="s">
        <v>9</v>
      </c>
      <c r="F2014">
        <v>86.51</v>
      </c>
      <c r="G2014" t="s">
        <v>22</v>
      </c>
      <c r="H2014" t="s">
        <v>13</v>
      </c>
    </row>
    <row r="2015" spans="1:8" x14ac:dyDescent="0.25">
      <c r="A2015" s="1">
        <v>45666.875</v>
      </c>
      <c r="B2015" t="s">
        <v>21</v>
      </c>
      <c r="C2015">
        <v>155.11000000000001</v>
      </c>
      <c r="D2015">
        <v>73.62</v>
      </c>
      <c r="E2015" t="s">
        <v>9</v>
      </c>
      <c r="F2015">
        <v>30.47</v>
      </c>
      <c r="G2015" t="s">
        <v>22</v>
      </c>
      <c r="H2015" t="s">
        <v>13</v>
      </c>
    </row>
    <row r="2016" spans="1:8" x14ac:dyDescent="0.25">
      <c r="A2016" s="1">
        <v>45666.916666666664</v>
      </c>
      <c r="B2016" t="s">
        <v>21</v>
      </c>
      <c r="C2016">
        <v>161.31</v>
      </c>
      <c r="D2016">
        <v>46.51</v>
      </c>
      <c r="E2016" t="s">
        <v>9</v>
      </c>
      <c r="F2016">
        <v>73.13</v>
      </c>
      <c r="G2016" t="s">
        <v>22</v>
      </c>
      <c r="H2016" t="s">
        <v>12</v>
      </c>
    </row>
    <row r="2017" spans="1:8" x14ac:dyDescent="0.25">
      <c r="A2017" s="1">
        <v>45666.958333333336</v>
      </c>
      <c r="B2017" t="s">
        <v>21</v>
      </c>
      <c r="C2017">
        <v>351.01</v>
      </c>
      <c r="D2017">
        <v>67.06</v>
      </c>
      <c r="E2017" t="s">
        <v>9</v>
      </c>
      <c r="F2017">
        <v>56.75</v>
      </c>
      <c r="G2017" t="s">
        <v>22</v>
      </c>
      <c r="H2017" t="s">
        <v>13</v>
      </c>
    </row>
    <row r="2018" spans="1:8" x14ac:dyDescent="0.25">
      <c r="A2018" s="1">
        <v>45667</v>
      </c>
      <c r="B2018" t="s">
        <v>21</v>
      </c>
      <c r="C2018">
        <v>426.17</v>
      </c>
      <c r="D2018">
        <v>75.430000000000007</v>
      </c>
      <c r="E2018" t="s">
        <v>9</v>
      </c>
      <c r="F2018">
        <v>49.28</v>
      </c>
      <c r="G2018" t="s">
        <v>22</v>
      </c>
      <c r="H2018" t="s">
        <v>11</v>
      </c>
    </row>
    <row r="2019" spans="1:8" x14ac:dyDescent="0.25">
      <c r="A2019" s="1">
        <v>45667.041666666664</v>
      </c>
      <c r="B2019" t="s">
        <v>21</v>
      </c>
      <c r="C2019">
        <v>148.29</v>
      </c>
      <c r="D2019">
        <v>62.83</v>
      </c>
      <c r="E2019" t="s">
        <v>9</v>
      </c>
      <c r="F2019">
        <v>63.51</v>
      </c>
      <c r="G2019" t="s">
        <v>22</v>
      </c>
      <c r="H2019" t="s">
        <v>11</v>
      </c>
    </row>
    <row r="2020" spans="1:8" x14ac:dyDescent="0.25">
      <c r="A2020" s="1">
        <v>45667.083333333336</v>
      </c>
      <c r="B2020" t="s">
        <v>21</v>
      </c>
      <c r="C2020">
        <v>73.25</v>
      </c>
      <c r="D2020">
        <v>41.29</v>
      </c>
      <c r="E2020" t="s">
        <v>9</v>
      </c>
      <c r="F2020">
        <v>75.19</v>
      </c>
      <c r="G2020" t="s">
        <v>22</v>
      </c>
      <c r="H2020" t="s">
        <v>13</v>
      </c>
    </row>
    <row r="2021" spans="1:8" x14ac:dyDescent="0.25">
      <c r="A2021" s="1">
        <v>45667.125</v>
      </c>
      <c r="B2021" t="s">
        <v>21</v>
      </c>
      <c r="C2021">
        <v>117.8</v>
      </c>
      <c r="D2021">
        <v>85.53</v>
      </c>
      <c r="E2021" t="s">
        <v>14</v>
      </c>
      <c r="F2021">
        <v>40.020000000000003</v>
      </c>
      <c r="G2021" t="s">
        <v>22</v>
      </c>
      <c r="H2021" t="s">
        <v>13</v>
      </c>
    </row>
    <row r="2022" spans="1:8" x14ac:dyDescent="0.25">
      <c r="A2022" s="1">
        <v>45667.166666666664</v>
      </c>
      <c r="B2022" t="s">
        <v>21</v>
      </c>
      <c r="C2022">
        <v>377.97</v>
      </c>
      <c r="D2022">
        <v>74.569999999999993</v>
      </c>
      <c r="E2022" t="s">
        <v>9</v>
      </c>
      <c r="F2022">
        <v>53.85</v>
      </c>
      <c r="G2022" t="s">
        <v>22</v>
      </c>
      <c r="H2022" t="s">
        <v>11</v>
      </c>
    </row>
    <row r="2023" spans="1:8" x14ac:dyDescent="0.25">
      <c r="A2023" s="1">
        <v>45667.208333333336</v>
      </c>
      <c r="B2023" t="s">
        <v>21</v>
      </c>
      <c r="C2023">
        <v>163.6</v>
      </c>
      <c r="D2023">
        <v>44.28</v>
      </c>
      <c r="E2023" t="s">
        <v>9</v>
      </c>
      <c r="F2023">
        <v>80.760000000000005</v>
      </c>
      <c r="G2023" t="s">
        <v>22</v>
      </c>
      <c r="H2023" t="s">
        <v>12</v>
      </c>
    </row>
    <row r="2024" spans="1:8" x14ac:dyDescent="0.25">
      <c r="A2024" s="1">
        <v>45667.25</v>
      </c>
      <c r="B2024" t="s">
        <v>21</v>
      </c>
      <c r="C2024">
        <v>127.82</v>
      </c>
      <c r="D2024">
        <v>69.3</v>
      </c>
      <c r="E2024" t="s">
        <v>9</v>
      </c>
      <c r="F2024">
        <v>55.63</v>
      </c>
      <c r="G2024" t="s">
        <v>22</v>
      </c>
      <c r="H2024" t="s">
        <v>12</v>
      </c>
    </row>
    <row r="2025" spans="1:8" x14ac:dyDescent="0.25">
      <c r="A2025" s="1">
        <v>45667.291666666664</v>
      </c>
      <c r="B2025" t="s">
        <v>21</v>
      </c>
      <c r="C2025">
        <v>152.41999999999999</v>
      </c>
      <c r="D2025">
        <v>93.97</v>
      </c>
      <c r="E2025" t="s">
        <v>14</v>
      </c>
      <c r="F2025">
        <v>63.59</v>
      </c>
      <c r="G2025" t="s">
        <v>22</v>
      </c>
      <c r="H2025" t="s">
        <v>11</v>
      </c>
    </row>
    <row r="2026" spans="1:8" x14ac:dyDescent="0.25">
      <c r="A2026" s="1">
        <v>45667.333333333336</v>
      </c>
      <c r="B2026" t="s">
        <v>21</v>
      </c>
      <c r="C2026">
        <v>374.97</v>
      </c>
      <c r="D2026">
        <v>63.82</v>
      </c>
      <c r="E2026" t="s">
        <v>9</v>
      </c>
      <c r="F2026">
        <v>39.049999999999997</v>
      </c>
      <c r="G2026" t="s">
        <v>22</v>
      </c>
      <c r="H2026" t="s">
        <v>13</v>
      </c>
    </row>
    <row r="2027" spans="1:8" x14ac:dyDescent="0.25">
      <c r="A2027" s="1">
        <v>45667.375</v>
      </c>
      <c r="B2027" t="s">
        <v>21</v>
      </c>
      <c r="C2027">
        <v>177.86</v>
      </c>
      <c r="D2027">
        <v>73.36</v>
      </c>
      <c r="E2027" t="s">
        <v>9</v>
      </c>
      <c r="F2027">
        <v>36.520000000000003</v>
      </c>
      <c r="G2027" t="s">
        <v>22</v>
      </c>
      <c r="H2027" t="s">
        <v>13</v>
      </c>
    </row>
    <row r="2028" spans="1:8" x14ac:dyDescent="0.25">
      <c r="A2028" s="1">
        <v>45667.416666666664</v>
      </c>
      <c r="B2028" t="s">
        <v>21</v>
      </c>
      <c r="C2028">
        <v>389.54</v>
      </c>
      <c r="D2028">
        <v>72.45</v>
      </c>
      <c r="E2028" t="s">
        <v>9</v>
      </c>
      <c r="F2028">
        <v>38.450000000000003</v>
      </c>
      <c r="G2028" t="s">
        <v>22</v>
      </c>
      <c r="H2028" t="s">
        <v>13</v>
      </c>
    </row>
    <row r="2029" spans="1:8" x14ac:dyDescent="0.25">
      <c r="A2029" s="1">
        <v>45667.458333333336</v>
      </c>
      <c r="B2029" t="s">
        <v>21</v>
      </c>
      <c r="C2029">
        <v>384.25</v>
      </c>
      <c r="D2029">
        <v>52.57</v>
      </c>
      <c r="E2029" t="s">
        <v>9</v>
      </c>
      <c r="F2029">
        <v>33</v>
      </c>
      <c r="G2029" t="s">
        <v>22</v>
      </c>
      <c r="H2029" t="s">
        <v>13</v>
      </c>
    </row>
    <row r="2030" spans="1:8" x14ac:dyDescent="0.25">
      <c r="A2030" s="1">
        <v>45667.5</v>
      </c>
      <c r="B2030" t="s">
        <v>21</v>
      </c>
      <c r="C2030">
        <v>233.03</v>
      </c>
      <c r="D2030">
        <v>39.630000000000003</v>
      </c>
      <c r="E2030" t="s">
        <v>9</v>
      </c>
      <c r="F2030">
        <v>68.42</v>
      </c>
      <c r="G2030" t="s">
        <v>22</v>
      </c>
      <c r="H2030" t="s">
        <v>12</v>
      </c>
    </row>
    <row r="2031" spans="1:8" x14ac:dyDescent="0.25">
      <c r="A2031" s="1">
        <v>45667.541666666664</v>
      </c>
      <c r="B2031" t="s">
        <v>21</v>
      </c>
      <c r="C2031">
        <v>297.69</v>
      </c>
      <c r="D2031">
        <v>23.88</v>
      </c>
      <c r="E2031" t="s">
        <v>9</v>
      </c>
      <c r="F2031">
        <v>36.76</v>
      </c>
      <c r="G2031" t="s">
        <v>22</v>
      </c>
      <c r="H2031" t="s">
        <v>12</v>
      </c>
    </row>
    <row r="2032" spans="1:8" x14ac:dyDescent="0.25">
      <c r="A2032" s="1">
        <v>45667.583333333336</v>
      </c>
      <c r="B2032" t="s">
        <v>21</v>
      </c>
      <c r="C2032">
        <v>75.37</v>
      </c>
      <c r="D2032">
        <v>56.53</v>
      </c>
      <c r="E2032" t="s">
        <v>9</v>
      </c>
      <c r="F2032">
        <v>35</v>
      </c>
      <c r="G2032" t="s">
        <v>22</v>
      </c>
      <c r="H2032" t="s">
        <v>11</v>
      </c>
    </row>
    <row r="2033" spans="1:8" x14ac:dyDescent="0.25">
      <c r="A2033" s="1">
        <v>45667.625</v>
      </c>
      <c r="B2033" t="s">
        <v>21</v>
      </c>
      <c r="C2033">
        <v>325.86</v>
      </c>
      <c r="D2033">
        <v>27.97</v>
      </c>
      <c r="E2033" t="s">
        <v>9</v>
      </c>
      <c r="F2033">
        <v>31.24</v>
      </c>
      <c r="G2033" t="s">
        <v>22</v>
      </c>
      <c r="H2033" t="s">
        <v>11</v>
      </c>
    </row>
    <row r="2034" spans="1:8" x14ac:dyDescent="0.25">
      <c r="A2034" s="1">
        <v>45667.666666666664</v>
      </c>
      <c r="B2034" t="s">
        <v>21</v>
      </c>
      <c r="C2034">
        <v>364.2</v>
      </c>
      <c r="D2034">
        <v>89.02</v>
      </c>
      <c r="E2034" t="s">
        <v>14</v>
      </c>
      <c r="F2034">
        <v>78.69</v>
      </c>
      <c r="G2034" t="s">
        <v>22</v>
      </c>
      <c r="H2034" t="s">
        <v>13</v>
      </c>
    </row>
    <row r="2035" spans="1:8" x14ac:dyDescent="0.25">
      <c r="A2035" s="1">
        <v>45667.708333333336</v>
      </c>
      <c r="B2035" t="s">
        <v>21</v>
      </c>
      <c r="C2035">
        <v>149.58000000000001</v>
      </c>
      <c r="D2035">
        <v>40.51</v>
      </c>
      <c r="E2035" t="s">
        <v>9</v>
      </c>
      <c r="F2035">
        <v>43.08</v>
      </c>
      <c r="G2035" t="s">
        <v>22</v>
      </c>
      <c r="H2035" t="s">
        <v>12</v>
      </c>
    </row>
    <row r="2036" spans="1:8" x14ac:dyDescent="0.25">
      <c r="A2036" s="1">
        <v>45667.75</v>
      </c>
      <c r="B2036" t="s">
        <v>21</v>
      </c>
      <c r="C2036">
        <v>301.83</v>
      </c>
      <c r="D2036">
        <v>69.48</v>
      </c>
      <c r="E2036" t="s">
        <v>9</v>
      </c>
      <c r="F2036">
        <v>87.83</v>
      </c>
      <c r="G2036" t="s">
        <v>22</v>
      </c>
      <c r="H2036" t="s">
        <v>13</v>
      </c>
    </row>
    <row r="2037" spans="1:8" x14ac:dyDescent="0.25">
      <c r="A2037" s="1">
        <v>45667.791666666664</v>
      </c>
      <c r="B2037" t="s">
        <v>21</v>
      </c>
      <c r="C2037">
        <v>260.63</v>
      </c>
      <c r="D2037">
        <v>32.880000000000003</v>
      </c>
      <c r="E2037" t="s">
        <v>9</v>
      </c>
      <c r="F2037">
        <v>65.319999999999993</v>
      </c>
      <c r="G2037" t="s">
        <v>22</v>
      </c>
      <c r="H2037" t="s">
        <v>12</v>
      </c>
    </row>
    <row r="2038" spans="1:8" x14ac:dyDescent="0.25">
      <c r="A2038" s="1">
        <v>45667.833333333336</v>
      </c>
      <c r="B2038" t="s">
        <v>21</v>
      </c>
      <c r="C2038">
        <v>87.56</v>
      </c>
      <c r="D2038">
        <v>14.45</v>
      </c>
      <c r="E2038" t="s">
        <v>9</v>
      </c>
      <c r="F2038">
        <v>31.79</v>
      </c>
      <c r="G2038" t="s">
        <v>22</v>
      </c>
      <c r="H2038" t="s">
        <v>13</v>
      </c>
    </row>
    <row r="2039" spans="1:8" x14ac:dyDescent="0.25">
      <c r="A2039" s="1">
        <v>45667.875</v>
      </c>
      <c r="B2039" t="s">
        <v>21</v>
      </c>
      <c r="C2039">
        <v>269.58</v>
      </c>
      <c r="D2039">
        <v>29.12</v>
      </c>
      <c r="E2039" t="s">
        <v>9</v>
      </c>
      <c r="F2039">
        <v>83.68</v>
      </c>
      <c r="G2039" t="s">
        <v>22</v>
      </c>
      <c r="H2039" t="s">
        <v>13</v>
      </c>
    </row>
    <row r="2040" spans="1:8" x14ac:dyDescent="0.25">
      <c r="A2040" s="1">
        <v>45667.916666666664</v>
      </c>
      <c r="B2040" t="s">
        <v>21</v>
      </c>
      <c r="C2040">
        <v>282.36</v>
      </c>
      <c r="D2040">
        <v>21.67</v>
      </c>
      <c r="E2040" t="s">
        <v>9</v>
      </c>
      <c r="F2040">
        <v>49.3</v>
      </c>
      <c r="G2040" t="s">
        <v>22</v>
      </c>
      <c r="H2040" t="s">
        <v>11</v>
      </c>
    </row>
    <row r="2041" spans="1:8" x14ac:dyDescent="0.25">
      <c r="A2041" s="1">
        <v>45667.958333333336</v>
      </c>
      <c r="B2041" t="s">
        <v>21</v>
      </c>
      <c r="C2041">
        <v>99.82</v>
      </c>
      <c r="D2041">
        <v>79.75</v>
      </c>
      <c r="E2041" t="s">
        <v>9</v>
      </c>
      <c r="F2041">
        <v>79.760000000000005</v>
      </c>
      <c r="G2041" t="s">
        <v>22</v>
      </c>
      <c r="H2041" t="s">
        <v>12</v>
      </c>
    </row>
    <row r="2042" spans="1:8" x14ac:dyDescent="0.25">
      <c r="A2042" s="1">
        <v>45668</v>
      </c>
      <c r="B2042" t="s">
        <v>21</v>
      </c>
      <c r="C2042">
        <v>74.48</v>
      </c>
      <c r="D2042">
        <v>67.19</v>
      </c>
      <c r="E2042" t="s">
        <v>9</v>
      </c>
      <c r="F2042">
        <v>80.22</v>
      </c>
      <c r="G2042" t="s">
        <v>22</v>
      </c>
      <c r="H2042" t="s">
        <v>13</v>
      </c>
    </row>
    <row r="2043" spans="1:8" x14ac:dyDescent="0.25">
      <c r="A2043" s="1">
        <v>45668.041666666664</v>
      </c>
      <c r="B2043" t="s">
        <v>21</v>
      </c>
      <c r="C2043">
        <v>443.56</v>
      </c>
      <c r="D2043">
        <v>31.28</v>
      </c>
      <c r="E2043" t="s">
        <v>9</v>
      </c>
      <c r="F2043">
        <v>49.52</v>
      </c>
      <c r="G2043" t="s">
        <v>22</v>
      </c>
      <c r="H2043" t="s">
        <v>11</v>
      </c>
    </row>
    <row r="2044" spans="1:8" x14ac:dyDescent="0.25">
      <c r="A2044" s="1">
        <v>45668.083333333336</v>
      </c>
      <c r="B2044" t="s">
        <v>21</v>
      </c>
      <c r="C2044">
        <v>378.59</v>
      </c>
      <c r="D2044">
        <v>38.19</v>
      </c>
      <c r="E2044" t="s">
        <v>9</v>
      </c>
      <c r="F2044">
        <v>62.57</v>
      </c>
      <c r="G2044" t="s">
        <v>22</v>
      </c>
      <c r="H2044" t="s">
        <v>12</v>
      </c>
    </row>
    <row r="2045" spans="1:8" x14ac:dyDescent="0.25">
      <c r="A2045" s="1">
        <v>45668.125</v>
      </c>
      <c r="B2045" t="s">
        <v>21</v>
      </c>
      <c r="C2045">
        <v>332.43</v>
      </c>
      <c r="D2045">
        <v>89.76</v>
      </c>
      <c r="E2045" t="s">
        <v>14</v>
      </c>
      <c r="F2045">
        <v>47.94</v>
      </c>
      <c r="G2045" t="s">
        <v>22</v>
      </c>
      <c r="H2045" t="s">
        <v>13</v>
      </c>
    </row>
    <row r="2046" spans="1:8" x14ac:dyDescent="0.25">
      <c r="A2046" s="1">
        <v>45668.166666666664</v>
      </c>
      <c r="B2046" t="s">
        <v>21</v>
      </c>
      <c r="C2046">
        <v>420.34</v>
      </c>
      <c r="D2046">
        <v>61.52</v>
      </c>
      <c r="E2046" t="s">
        <v>9</v>
      </c>
      <c r="F2046">
        <v>66.78</v>
      </c>
      <c r="G2046" t="s">
        <v>22</v>
      </c>
      <c r="H2046" t="s">
        <v>13</v>
      </c>
    </row>
    <row r="2047" spans="1:8" x14ac:dyDescent="0.25">
      <c r="A2047" s="1">
        <v>45668.208333333336</v>
      </c>
      <c r="B2047" t="s">
        <v>21</v>
      </c>
      <c r="C2047">
        <v>219.27</v>
      </c>
      <c r="D2047">
        <v>51.89</v>
      </c>
      <c r="E2047" t="s">
        <v>9</v>
      </c>
      <c r="F2047">
        <v>55.16</v>
      </c>
      <c r="G2047" t="s">
        <v>22</v>
      </c>
      <c r="H2047" t="s">
        <v>13</v>
      </c>
    </row>
    <row r="2048" spans="1:8" x14ac:dyDescent="0.25">
      <c r="A2048" s="1">
        <v>45668.25</v>
      </c>
      <c r="B2048" t="s">
        <v>21</v>
      </c>
      <c r="C2048">
        <v>379.68</v>
      </c>
      <c r="D2048">
        <v>63.75</v>
      </c>
      <c r="E2048" t="s">
        <v>9</v>
      </c>
      <c r="F2048">
        <v>42.38</v>
      </c>
      <c r="G2048" t="s">
        <v>22</v>
      </c>
      <c r="H2048" t="s">
        <v>13</v>
      </c>
    </row>
    <row r="2049" spans="1:8" x14ac:dyDescent="0.25">
      <c r="A2049" s="1">
        <v>45668.291666666664</v>
      </c>
      <c r="B2049" t="s">
        <v>21</v>
      </c>
      <c r="C2049">
        <v>104.31</v>
      </c>
      <c r="D2049">
        <v>64.849999999999994</v>
      </c>
      <c r="E2049" t="s">
        <v>9</v>
      </c>
      <c r="F2049">
        <v>30.01</v>
      </c>
      <c r="G2049" t="s">
        <v>22</v>
      </c>
      <c r="H2049" t="s">
        <v>11</v>
      </c>
    </row>
    <row r="2050" spans="1:8" x14ac:dyDescent="0.25">
      <c r="A2050" s="1">
        <v>45668.333333333336</v>
      </c>
      <c r="B2050" t="s">
        <v>21</v>
      </c>
      <c r="C2050">
        <v>294.22000000000003</v>
      </c>
      <c r="D2050">
        <v>78.73</v>
      </c>
      <c r="E2050" t="s">
        <v>9</v>
      </c>
      <c r="F2050">
        <v>32.18</v>
      </c>
      <c r="G2050" t="s">
        <v>22</v>
      </c>
      <c r="H2050" t="s">
        <v>13</v>
      </c>
    </row>
    <row r="2051" spans="1:8" x14ac:dyDescent="0.25">
      <c r="A2051" s="1">
        <v>45668.375</v>
      </c>
      <c r="B2051" t="s">
        <v>21</v>
      </c>
      <c r="C2051">
        <v>243.55</v>
      </c>
      <c r="D2051">
        <v>69.98</v>
      </c>
      <c r="E2051" t="s">
        <v>9</v>
      </c>
      <c r="F2051">
        <v>61.27</v>
      </c>
      <c r="G2051" t="s">
        <v>22</v>
      </c>
      <c r="H2051" t="s">
        <v>11</v>
      </c>
    </row>
    <row r="2052" spans="1:8" x14ac:dyDescent="0.25">
      <c r="A2052" s="1">
        <v>45668.416666666664</v>
      </c>
      <c r="B2052" t="s">
        <v>21</v>
      </c>
      <c r="C2052">
        <v>128.46</v>
      </c>
      <c r="D2052">
        <v>78.12</v>
      </c>
      <c r="E2052" t="s">
        <v>9</v>
      </c>
      <c r="F2052">
        <v>87.32</v>
      </c>
      <c r="G2052" t="s">
        <v>22</v>
      </c>
      <c r="H2052" t="s">
        <v>11</v>
      </c>
    </row>
    <row r="2053" spans="1:8" x14ac:dyDescent="0.25">
      <c r="A2053" s="1">
        <v>45668.458333333336</v>
      </c>
      <c r="B2053" t="s">
        <v>21</v>
      </c>
      <c r="C2053">
        <v>137.51</v>
      </c>
      <c r="D2053">
        <v>74.75</v>
      </c>
      <c r="E2053" t="s">
        <v>9</v>
      </c>
      <c r="F2053">
        <v>46.53</v>
      </c>
      <c r="G2053" t="s">
        <v>22</v>
      </c>
      <c r="H2053" t="s">
        <v>12</v>
      </c>
    </row>
    <row r="2054" spans="1:8" x14ac:dyDescent="0.25">
      <c r="A2054" s="1">
        <v>45668.5</v>
      </c>
      <c r="B2054" t="s">
        <v>21</v>
      </c>
      <c r="C2054">
        <v>353.31</v>
      </c>
      <c r="D2054">
        <v>49.23</v>
      </c>
      <c r="E2054" t="s">
        <v>9</v>
      </c>
      <c r="F2054">
        <v>63.52</v>
      </c>
      <c r="G2054" t="s">
        <v>22</v>
      </c>
      <c r="H2054" t="s">
        <v>11</v>
      </c>
    </row>
    <row r="2055" spans="1:8" x14ac:dyDescent="0.25">
      <c r="A2055" s="1">
        <v>45668.541666666664</v>
      </c>
      <c r="B2055" t="s">
        <v>21</v>
      </c>
      <c r="C2055">
        <v>363.32</v>
      </c>
      <c r="D2055">
        <v>18.28</v>
      </c>
      <c r="E2055" t="s">
        <v>9</v>
      </c>
      <c r="F2055">
        <v>79.03</v>
      </c>
      <c r="G2055" t="s">
        <v>22</v>
      </c>
      <c r="H2055" t="s">
        <v>12</v>
      </c>
    </row>
    <row r="2056" spans="1:8" x14ac:dyDescent="0.25">
      <c r="A2056" s="1">
        <v>45668.583333333336</v>
      </c>
      <c r="B2056" t="s">
        <v>21</v>
      </c>
      <c r="C2056">
        <v>316.75</v>
      </c>
      <c r="D2056">
        <v>86.59</v>
      </c>
      <c r="E2056" t="s">
        <v>14</v>
      </c>
      <c r="F2056">
        <v>36.53</v>
      </c>
      <c r="G2056" t="s">
        <v>22</v>
      </c>
      <c r="H2056" t="s">
        <v>12</v>
      </c>
    </row>
    <row r="2057" spans="1:8" x14ac:dyDescent="0.25">
      <c r="A2057" s="1">
        <v>45668.625</v>
      </c>
      <c r="B2057" t="s">
        <v>21</v>
      </c>
      <c r="C2057">
        <v>318.5</v>
      </c>
      <c r="D2057">
        <v>37.270000000000003</v>
      </c>
      <c r="E2057" t="s">
        <v>9</v>
      </c>
      <c r="F2057">
        <v>65.55</v>
      </c>
      <c r="G2057" t="s">
        <v>22</v>
      </c>
      <c r="H2057" t="s">
        <v>12</v>
      </c>
    </row>
    <row r="2058" spans="1:8" x14ac:dyDescent="0.25">
      <c r="A2058" s="1">
        <v>45668.666666666664</v>
      </c>
      <c r="B2058" t="s">
        <v>21</v>
      </c>
      <c r="C2058">
        <v>228.47</v>
      </c>
      <c r="D2058">
        <v>55.09</v>
      </c>
      <c r="E2058" t="s">
        <v>9</v>
      </c>
      <c r="F2058">
        <v>89.75</v>
      </c>
      <c r="G2058" t="s">
        <v>22</v>
      </c>
      <c r="H2058" t="s">
        <v>12</v>
      </c>
    </row>
    <row r="2059" spans="1:8" x14ac:dyDescent="0.25">
      <c r="A2059" s="1">
        <v>45668.708333333336</v>
      </c>
      <c r="B2059" t="s">
        <v>21</v>
      </c>
      <c r="C2059">
        <v>406.51</v>
      </c>
      <c r="D2059">
        <v>91.87</v>
      </c>
      <c r="E2059" t="s">
        <v>14</v>
      </c>
      <c r="F2059">
        <v>55.62</v>
      </c>
      <c r="G2059" t="s">
        <v>22</v>
      </c>
      <c r="H2059" t="s">
        <v>12</v>
      </c>
    </row>
    <row r="2060" spans="1:8" x14ac:dyDescent="0.25">
      <c r="A2060" s="1">
        <v>45668.75</v>
      </c>
      <c r="B2060" t="s">
        <v>21</v>
      </c>
      <c r="C2060">
        <v>236.35</v>
      </c>
      <c r="D2060">
        <v>63.73</v>
      </c>
      <c r="E2060" t="s">
        <v>9</v>
      </c>
      <c r="F2060">
        <v>42.81</v>
      </c>
      <c r="G2060" t="s">
        <v>22</v>
      </c>
      <c r="H2060" t="s">
        <v>13</v>
      </c>
    </row>
    <row r="2061" spans="1:8" x14ac:dyDescent="0.25">
      <c r="A2061" s="1">
        <v>45668.791666666664</v>
      </c>
      <c r="B2061" t="s">
        <v>21</v>
      </c>
      <c r="C2061">
        <v>325.05</v>
      </c>
      <c r="D2061">
        <v>89.6</v>
      </c>
      <c r="E2061" t="s">
        <v>14</v>
      </c>
      <c r="F2061">
        <v>41.74</v>
      </c>
      <c r="G2061" t="s">
        <v>22</v>
      </c>
      <c r="H2061" t="s">
        <v>13</v>
      </c>
    </row>
    <row r="2062" spans="1:8" x14ac:dyDescent="0.25">
      <c r="A2062" s="1">
        <v>45668.833333333336</v>
      </c>
      <c r="B2062" t="s">
        <v>21</v>
      </c>
      <c r="C2062">
        <v>116.99</v>
      </c>
      <c r="D2062">
        <v>78.239999999999995</v>
      </c>
      <c r="E2062" t="s">
        <v>9</v>
      </c>
      <c r="F2062">
        <v>66.03</v>
      </c>
      <c r="G2062" t="s">
        <v>22</v>
      </c>
      <c r="H2062" t="s">
        <v>13</v>
      </c>
    </row>
    <row r="2063" spans="1:8" x14ac:dyDescent="0.25">
      <c r="A2063" s="1">
        <v>45668.875</v>
      </c>
      <c r="B2063" t="s">
        <v>21</v>
      </c>
      <c r="C2063">
        <v>208.61</v>
      </c>
      <c r="D2063">
        <v>28.06</v>
      </c>
      <c r="E2063" t="s">
        <v>9</v>
      </c>
      <c r="F2063">
        <v>52.4</v>
      </c>
      <c r="G2063" t="s">
        <v>22</v>
      </c>
      <c r="H2063" t="s">
        <v>12</v>
      </c>
    </row>
    <row r="2064" spans="1:8" x14ac:dyDescent="0.25">
      <c r="A2064" s="1">
        <v>45668.916666666664</v>
      </c>
      <c r="B2064" t="s">
        <v>21</v>
      </c>
      <c r="C2064">
        <v>240.77</v>
      </c>
      <c r="D2064">
        <v>59.09</v>
      </c>
      <c r="E2064" t="s">
        <v>9</v>
      </c>
      <c r="F2064">
        <v>42.79</v>
      </c>
      <c r="G2064" t="s">
        <v>22</v>
      </c>
      <c r="H2064" t="s">
        <v>13</v>
      </c>
    </row>
    <row r="2065" spans="1:8" x14ac:dyDescent="0.25">
      <c r="A2065" s="1">
        <v>45668.958333333336</v>
      </c>
      <c r="B2065" t="s">
        <v>21</v>
      </c>
      <c r="C2065">
        <v>230.27</v>
      </c>
      <c r="D2065">
        <v>29.59</v>
      </c>
      <c r="E2065" t="s">
        <v>9</v>
      </c>
      <c r="F2065">
        <v>46.24</v>
      </c>
      <c r="G2065" t="s">
        <v>22</v>
      </c>
      <c r="H2065" t="s">
        <v>13</v>
      </c>
    </row>
    <row r="2066" spans="1:8" x14ac:dyDescent="0.25">
      <c r="A2066" s="1">
        <v>45669</v>
      </c>
      <c r="B2066" t="s">
        <v>21</v>
      </c>
      <c r="C2066">
        <v>157.91999999999999</v>
      </c>
      <c r="D2066">
        <v>86.23</v>
      </c>
      <c r="E2066" t="s">
        <v>14</v>
      </c>
      <c r="F2066">
        <v>88.27</v>
      </c>
      <c r="G2066" t="s">
        <v>22</v>
      </c>
      <c r="H2066" t="s">
        <v>12</v>
      </c>
    </row>
    <row r="2067" spans="1:8" x14ac:dyDescent="0.25">
      <c r="A2067" s="1">
        <v>45669.041666666664</v>
      </c>
      <c r="B2067" t="s">
        <v>21</v>
      </c>
      <c r="C2067">
        <v>252.38</v>
      </c>
      <c r="D2067">
        <v>36.549999999999997</v>
      </c>
      <c r="E2067" t="s">
        <v>9</v>
      </c>
      <c r="F2067">
        <v>86.59</v>
      </c>
      <c r="G2067" t="s">
        <v>22</v>
      </c>
      <c r="H2067" t="s">
        <v>11</v>
      </c>
    </row>
    <row r="2068" spans="1:8" x14ac:dyDescent="0.25">
      <c r="A2068" s="1">
        <v>45669.083333333336</v>
      </c>
      <c r="B2068" t="s">
        <v>21</v>
      </c>
      <c r="C2068">
        <v>265.32</v>
      </c>
      <c r="D2068">
        <v>57.54</v>
      </c>
      <c r="E2068" t="s">
        <v>9</v>
      </c>
      <c r="F2068">
        <v>59.51</v>
      </c>
      <c r="G2068" t="s">
        <v>22</v>
      </c>
      <c r="H2068" t="s">
        <v>12</v>
      </c>
    </row>
    <row r="2069" spans="1:8" x14ac:dyDescent="0.25">
      <c r="A2069" s="1">
        <v>45669.125</v>
      </c>
      <c r="B2069" t="s">
        <v>21</v>
      </c>
      <c r="C2069">
        <v>234.85</v>
      </c>
      <c r="D2069">
        <v>85.03</v>
      </c>
      <c r="E2069" t="s">
        <v>14</v>
      </c>
      <c r="F2069">
        <v>61.65</v>
      </c>
      <c r="G2069" t="s">
        <v>22</v>
      </c>
      <c r="H2069" t="s">
        <v>12</v>
      </c>
    </row>
    <row r="2070" spans="1:8" x14ac:dyDescent="0.25">
      <c r="A2070" s="1">
        <v>45669.166666666664</v>
      </c>
      <c r="B2070" t="s">
        <v>21</v>
      </c>
      <c r="C2070">
        <v>202.58</v>
      </c>
      <c r="D2070">
        <v>59.81</v>
      </c>
      <c r="E2070" t="s">
        <v>9</v>
      </c>
      <c r="F2070">
        <v>47.49</v>
      </c>
      <c r="G2070" t="s">
        <v>22</v>
      </c>
      <c r="H2070" t="s">
        <v>13</v>
      </c>
    </row>
    <row r="2071" spans="1:8" x14ac:dyDescent="0.25">
      <c r="A2071" s="1">
        <v>45669.208333333336</v>
      </c>
      <c r="B2071" t="s">
        <v>21</v>
      </c>
      <c r="C2071">
        <v>260.63</v>
      </c>
      <c r="D2071">
        <v>31.62</v>
      </c>
      <c r="E2071" t="s">
        <v>9</v>
      </c>
      <c r="F2071">
        <v>50.05</v>
      </c>
      <c r="G2071" t="s">
        <v>22</v>
      </c>
      <c r="H2071" t="s">
        <v>11</v>
      </c>
    </row>
    <row r="2072" spans="1:8" x14ac:dyDescent="0.25">
      <c r="A2072" s="1">
        <v>45669.25</v>
      </c>
      <c r="B2072" t="s">
        <v>21</v>
      </c>
      <c r="C2072">
        <v>284.04000000000002</v>
      </c>
      <c r="D2072">
        <v>46.45</v>
      </c>
      <c r="E2072" t="s">
        <v>9</v>
      </c>
      <c r="F2072">
        <v>61.29</v>
      </c>
      <c r="G2072" t="s">
        <v>22</v>
      </c>
      <c r="H2072" t="s">
        <v>11</v>
      </c>
    </row>
    <row r="2073" spans="1:8" x14ac:dyDescent="0.25">
      <c r="A2073" s="1">
        <v>45669.291666666664</v>
      </c>
      <c r="B2073" t="s">
        <v>21</v>
      </c>
      <c r="C2073">
        <v>378.46</v>
      </c>
      <c r="D2073">
        <v>57.04</v>
      </c>
      <c r="E2073" t="s">
        <v>9</v>
      </c>
      <c r="F2073">
        <v>79.72</v>
      </c>
      <c r="G2073" t="s">
        <v>22</v>
      </c>
      <c r="H2073" t="s">
        <v>12</v>
      </c>
    </row>
    <row r="2074" spans="1:8" x14ac:dyDescent="0.25">
      <c r="A2074" s="1">
        <v>45669.333333333336</v>
      </c>
      <c r="B2074" t="s">
        <v>21</v>
      </c>
      <c r="C2074">
        <v>370.72</v>
      </c>
      <c r="D2074">
        <v>85.44</v>
      </c>
      <c r="E2074" t="s">
        <v>14</v>
      </c>
      <c r="F2074">
        <v>52.27</v>
      </c>
      <c r="G2074" t="s">
        <v>22</v>
      </c>
      <c r="H2074" t="s">
        <v>13</v>
      </c>
    </row>
    <row r="2075" spans="1:8" x14ac:dyDescent="0.25">
      <c r="A2075" s="1">
        <v>45669.375</v>
      </c>
      <c r="B2075" t="s">
        <v>21</v>
      </c>
      <c r="C2075">
        <v>484.48</v>
      </c>
      <c r="D2075">
        <v>56.68</v>
      </c>
      <c r="E2075" t="s">
        <v>9</v>
      </c>
      <c r="F2075">
        <v>63.21</v>
      </c>
      <c r="G2075" t="s">
        <v>22</v>
      </c>
      <c r="H2075" t="s">
        <v>11</v>
      </c>
    </row>
    <row r="2076" spans="1:8" x14ac:dyDescent="0.25">
      <c r="A2076" s="1">
        <v>45669.416666666664</v>
      </c>
      <c r="B2076" t="s">
        <v>21</v>
      </c>
      <c r="C2076">
        <v>295.93</v>
      </c>
      <c r="D2076">
        <v>30.63</v>
      </c>
      <c r="E2076" t="s">
        <v>9</v>
      </c>
      <c r="F2076">
        <v>75.31</v>
      </c>
      <c r="G2076" t="s">
        <v>22</v>
      </c>
      <c r="H2076" t="s">
        <v>13</v>
      </c>
    </row>
    <row r="2077" spans="1:8" x14ac:dyDescent="0.25">
      <c r="A2077" s="1">
        <v>45669.458333333336</v>
      </c>
      <c r="B2077" t="s">
        <v>21</v>
      </c>
      <c r="C2077">
        <v>439.97</v>
      </c>
      <c r="D2077">
        <v>78.37</v>
      </c>
      <c r="E2077" t="s">
        <v>9</v>
      </c>
      <c r="F2077">
        <v>87.76</v>
      </c>
      <c r="G2077" t="s">
        <v>22</v>
      </c>
      <c r="H2077" t="s">
        <v>11</v>
      </c>
    </row>
    <row r="2078" spans="1:8" x14ac:dyDescent="0.25">
      <c r="A2078" s="1">
        <v>45669.5</v>
      </c>
      <c r="B2078" t="s">
        <v>21</v>
      </c>
      <c r="C2078">
        <v>87.78</v>
      </c>
      <c r="D2078">
        <v>41.5</v>
      </c>
      <c r="E2078" t="s">
        <v>9</v>
      </c>
      <c r="F2078">
        <v>48.65</v>
      </c>
      <c r="G2078" t="s">
        <v>22</v>
      </c>
      <c r="H2078" t="s">
        <v>13</v>
      </c>
    </row>
    <row r="2079" spans="1:8" x14ac:dyDescent="0.25">
      <c r="A2079" s="1">
        <v>45669.541666666664</v>
      </c>
      <c r="B2079" t="s">
        <v>21</v>
      </c>
      <c r="C2079">
        <v>402.63</v>
      </c>
      <c r="D2079">
        <v>67.459999999999994</v>
      </c>
      <c r="E2079" t="s">
        <v>9</v>
      </c>
      <c r="F2079">
        <v>61.06</v>
      </c>
      <c r="G2079" t="s">
        <v>22</v>
      </c>
      <c r="H2079" t="s">
        <v>12</v>
      </c>
    </row>
    <row r="2080" spans="1:8" x14ac:dyDescent="0.25">
      <c r="A2080" s="1">
        <v>45669.583333333336</v>
      </c>
      <c r="B2080" t="s">
        <v>21</v>
      </c>
      <c r="C2080">
        <v>371.8</v>
      </c>
      <c r="D2080">
        <v>53.46</v>
      </c>
      <c r="E2080" t="s">
        <v>9</v>
      </c>
      <c r="F2080">
        <v>55.52</v>
      </c>
      <c r="G2080" t="s">
        <v>22</v>
      </c>
      <c r="H2080" t="s">
        <v>13</v>
      </c>
    </row>
    <row r="2081" spans="1:8" x14ac:dyDescent="0.25">
      <c r="A2081" s="1">
        <v>45669.625</v>
      </c>
      <c r="B2081" t="s">
        <v>21</v>
      </c>
      <c r="C2081">
        <v>442.34</v>
      </c>
      <c r="D2081">
        <v>46.02</v>
      </c>
      <c r="E2081" t="s">
        <v>9</v>
      </c>
      <c r="F2081">
        <v>50</v>
      </c>
      <c r="G2081" t="s">
        <v>22</v>
      </c>
      <c r="H2081" t="s">
        <v>11</v>
      </c>
    </row>
    <row r="2082" spans="1:8" x14ac:dyDescent="0.25">
      <c r="A2082" s="1">
        <v>45669.666666666664</v>
      </c>
      <c r="B2082" t="s">
        <v>21</v>
      </c>
      <c r="C2082">
        <v>448.83</v>
      </c>
      <c r="D2082">
        <v>36</v>
      </c>
      <c r="E2082" t="s">
        <v>9</v>
      </c>
      <c r="F2082">
        <v>32.340000000000003</v>
      </c>
      <c r="G2082" t="s">
        <v>22</v>
      </c>
      <c r="H2082" t="s">
        <v>11</v>
      </c>
    </row>
    <row r="2083" spans="1:8" x14ac:dyDescent="0.25">
      <c r="A2083" s="1">
        <v>45669.708333333336</v>
      </c>
      <c r="B2083" t="s">
        <v>21</v>
      </c>
      <c r="C2083">
        <v>438.74</v>
      </c>
      <c r="D2083">
        <v>62.29</v>
      </c>
      <c r="E2083" t="s">
        <v>9</v>
      </c>
      <c r="F2083">
        <v>64.47</v>
      </c>
      <c r="G2083" t="s">
        <v>22</v>
      </c>
      <c r="H2083" t="s">
        <v>11</v>
      </c>
    </row>
    <row r="2084" spans="1:8" x14ac:dyDescent="0.25">
      <c r="A2084" s="1">
        <v>45669.75</v>
      </c>
      <c r="B2084" t="s">
        <v>21</v>
      </c>
      <c r="C2084">
        <v>311.89</v>
      </c>
      <c r="D2084">
        <v>68.23</v>
      </c>
      <c r="E2084" t="s">
        <v>9</v>
      </c>
      <c r="F2084">
        <v>49.55</v>
      </c>
      <c r="G2084" t="s">
        <v>22</v>
      </c>
      <c r="H2084" t="s">
        <v>11</v>
      </c>
    </row>
    <row r="2085" spans="1:8" x14ac:dyDescent="0.25">
      <c r="A2085" s="1">
        <v>45669.791666666664</v>
      </c>
      <c r="B2085" t="s">
        <v>21</v>
      </c>
      <c r="C2085">
        <v>498.27</v>
      </c>
      <c r="D2085">
        <v>23.43</v>
      </c>
      <c r="E2085" t="s">
        <v>9</v>
      </c>
      <c r="F2085">
        <v>80.97</v>
      </c>
      <c r="G2085" t="s">
        <v>22</v>
      </c>
      <c r="H2085" t="s">
        <v>12</v>
      </c>
    </row>
    <row r="2086" spans="1:8" x14ac:dyDescent="0.25">
      <c r="A2086" s="1">
        <v>45669.833333333336</v>
      </c>
      <c r="B2086" t="s">
        <v>21</v>
      </c>
      <c r="C2086">
        <v>427.48</v>
      </c>
      <c r="D2086">
        <v>44.44</v>
      </c>
      <c r="E2086" t="s">
        <v>9</v>
      </c>
      <c r="F2086">
        <v>61.93</v>
      </c>
      <c r="G2086" t="s">
        <v>22</v>
      </c>
      <c r="H2086" t="s">
        <v>13</v>
      </c>
    </row>
    <row r="2087" spans="1:8" x14ac:dyDescent="0.25">
      <c r="A2087" s="1">
        <v>45669.875</v>
      </c>
      <c r="B2087" t="s">
        <v>21</v>
      </c>
      <c r="C2087">
        <v>277.91000000000003</v>
      </c>
      <c r="D2087">
        <v>84.54</v>
      </c>
      <c r="E2087" t="s">
        <v>9</v>
      </c>
      <c r="F2087">
        <v>42.81</v>
      </c>
      <c r="G2087" t="s">
        <v>22</v>
      </c>
      <c r="H2087" t="s">
        <v>13</v>
      </c>
    </row>
    <row r="2088" spans="1:8" x14ac:dyDescent="0.25">
      <c r="A2088" s="1">
        <v>45669.916666666664</v>
      </c>
      <c r="B2088" t="s">
        <v>21</v>
      </c>
      <c r="C2088">
        <v>463.15</v>
      </c>
      <c r="D2088">
        <v>34.119999999999997</v>
      </c>
      <c r="E2088" t="s">
        <v>9</v>
      </c>
      <c r="F2088">
        <v>66.790000000000006</v>
      </c>
      <c r="G2088" t="s">
        <v>22</v>
      </c>
      <c r="H2088" t="s">
        <v>13</v>
      </c>
    </row>
    <row r="2089" spans="1:8" x14ac:dyDescent="0.25">
      <c r="A2089" s="1">
        <v>45669.958333333336</v>
      </c>
      <c r="B2089" t="s">
        <v>21</v>
      </c>
      <c r="C2089">
        <v>248.24</v>
      </c>
      <c r="D2089">
        <v>56.08</v>
      </c>
      <c r="E2089" t="s">
        <v>9</v>
      </c>
      <c r="F2089">
        <v>67.92</v>
      </c>
      <c r="G2089" t="s">
        <v>22</v>
      </c>
      <c r="H2089" t="s">
        <v>11</v>
      </c>
    </row>
    <row r="2090" spans="1:8" x14ac:dyDescent="0.25">
      <c r="A2090" s="1">
        <v>45670</v>
      </c>
      <c r="B2090" t="s">
        <v>21</v>
      </c>
      <c r="C2090">
        <v>253.45</v>
      </c>
      <c r="D2090">
        <v>80.22</v>
      </c>
      <c r="E2090" t="s">
        <v>9</v>
      </c>
      <c r="F2090">
        <v>62.02</v>
      </c>
      <c r="G2090" t="s">
        <v>22</v>
      </c>
      <c r="H2090" t="s">
        <v>13</v>
      </c>
    </row>
    <row r="2091" spans="1:8" x14ac:dyDescent="0.25">
      <c r="A2091" s="1">
        <v>45670.041666666664</v>
      </c>
      <c r="B2091" t="s">
        <v>21</v>
      </c>
      <c r="C2091">
        <v>83.24</v>
      </c>
      <c r="D2091">
        <v>37.17</v>
      </c>
      <c r="E2091" t="s">
        <v>9</v>
      </c>
      <c r="F2091">
        <v>52</v>
      </c>
      <c r="G2091" t="s">
        <v>22</v>
      </c>
      <c r="H2091" t="s">
        <v>11</v>
      </c>
    </row>
    <row r="2092" spans="1:8" x14ac:dyDescent="0.25">
      <c r="A2092" s="1">
        <v>45670.083333333336</v>
      </c>
      <c r="B2092" t="s">
        <v>21</v>
      </c>
      <c r="C2092">
        <v>75.48</v>
      </c>
      <c r="D2092">
        <v>27.75</v>
      </c>
      <c r="E2092" t="s">
        <v>9</v>
      </c>
      <c r="F2092">
        <v>47.12</v>
      </c>
      <c r="G2092" t="s">
        <v>22</v>
      </c>
      <c r="H2092" t="s">
        <v>11</v>
      </c>
    </row>
    <row r="2093" spans="1:8" x14ac:dyDescent="0.25">
      <c r="A2093" s="1">
        <v>45670.125</v>
      </c>
      <c r="B2093" t="s">
        <v>21</v>
      </c>
      <c r="C2093">
        <v>353.04</v>
      </c>
      <c r="D2093">
        <v>15.49</v>
      </c>
      <c r="E2093" t="s">
        <v>9</v>
      </c>
      <c r="F2093">
        <v>75.34</v>
      </c>
      <c r="G2093" t="s">
        <v>22</v>
      </c>
      <c r="H2093" t="s">
        <v>12</v>
      </c>
    </row>
    <row r="2094" spans="1:8" x14ac:dyDescent="0.25">
      <c r="A2094" s="1">
        <v>45670.166666666664</v>
      </c>
      <c r="B2094" t="s">
        <v>21</v>
      </c>
      <c r="C2094">
        <v>99.72</v>
      </c>
      <c r="D2094">
        <v>81.19</v>
      </c>
      <c r="E2094" t="s">
        <v>9</v>
      </c>
      <c r="F2094">
        <v>71.73</v>
      </c>
      <c r="G2094" t="s">
        <v>22</v>
      </c>
      <c r="H2094" t="s">
        <v>11</v>
      </c>
    </row>
    <row r="2095" spans="1:8" x14ac:dyDescent="0.25">
      <c r="A2095" s="1">
        <v>45670.208333333336</v>
      </c>
      <c r="B2095" t="s">
        <v>21</v>
      </c>
      <c r="C2095">
        <v>448.01</v>
      </c>
      <c r="D2095">
        <v>20.91</v>
      </c>
      <c r="E2095" t="s">
        <v>9</v>
      </c>
      <c r="F2095">
        <v>56.66</v>
      </c>
      <c r="G2095" t="s">
        <v>22</v>
      </c>
      <c r="H2095" t="s">
        <v>13</v>
      </c>
    </row>
    <row r="2096" spans="1:8" x14ac:dyDescent="0.25">
      <c r="A2096" s="1">
        <v>45670.25</v>
      </c>
      <c r="B2096" t="s">
        <v>21</v>
      </c>
      <c r="C2096">
        <v>103.48</v>
      </c>
      <c r="D2096">
        <v>39.270000000000003</v>
      </c>
      <c r="E2096" t="s">
        <v>9</v>
      </c>
      <c r="F2096">
        <v>56.62</v>
      </c>
      <c r="G2096" t="s">
        <v>22</v>
      </c>
      <c r="H2096" t="s">
        <v>12</v>
      </c>
    </row>
    <row r="2097" spans="1:8" x14ac:dyDescent="0.25">
      <c r="A2097" s="1">
        <v>45670.291666666664</v>
      </c>
      <c r="B2097" t="s">
        <v>21</v>
      </c>
      <c r="C2097">
        <v>368.01</v>
      </c>
      <c r="D2097">
        <v>92.84</v>
      </c>
      <c r="E2097" t="s">
        <v>14</v>
      </c>
      <c r="F2097">
        <v>83.59</v>
      </c>
      <c r="G2097" t="s">
        <v>22</v>
      </c>
      <c r="H2097" t="s">
        <v>13</v>
      </c>
    </row>
    <row r="2098" spans="1:8" x14ac:dyDescent="0.25">
      <c r="A2098" s="1">
        <v>45670.333333333336</v>
      </c>
      <c r="B2098" t="s">
        <v>21</v>
      </c>
      <c r="C2098">
        <v>499.19</v>
      </c>
      <c r="D2098">
        <v>14.29</v>
      </c>
      <c r="E2098" t="s">
        <v>9</v>
      </c>
      <c r="F2098">
        <v>31.66</v>
      </c>
      <c r="G2098" t="s">
        <v>22</v>
      </c>
      <c r="H2098" t="s">
        <v>11</v>
      </c>
    </row>
    <row r="2099" spans="1:8" x14ac:dyDescent="0.25">
      <c r="A2099" s="1">
        <v>45670.375</v>
      </c>
      <c r="B2099" t="s">
        <v>21</v>
      </c>
      <c r="C2099">
        <v>139.76</v>
      </c>
      <c r="D2099">
        <v>18.91</v>
      </c>
      <c r="E2099" t="s">
        <v>9</v>
      </c>
      <c r="F2099">
        <v>44.23</v>
      </c>
      <c r="G2099" t="s">
        <v>22</v>
      </c>
      <c r="H2099" t="s">
        <v>13</v>
      </c>
    </row>
    <row r="2100" spans="1:8" x14ac:dyDescent="0.25">
      <c r="A2100" s="1">
        <v>45670.416666666664</v>
      </c>
      <c r="B2100" t="s">
        <v>21</v>
      </c>
      <c r="C2100">
        <v>305.49</v>
      </c>
      <c r="D2100">
        <v>92.66</v>
      </c>
      <c r="E2100" t="s">
        <v>14</v>
      </c>
      <c r="F2100">
        <v>83</v>
      </c>
      <c r="G2100" t="s">
        <v>22</v>
      </c>
      <c r="H2100" t="s">
        <v>11</v>
      </c>
    </row>
    <row r="2101" spans="1:8" x14ac:dyDescent="0.25">
      <c r="A2101" s="1">
        <v>45670.458333333336</v>
      </c>
      <c r="B2101" t="s">
        <v>21</v>
      </c>
      <c r="C2101">
        <v>276.47000000000003</v>
      </c>
      <c r="D2101">
        <v>89.02</v>
      </c>
      <c r="E2101" t="s">
        <v>14</v>
      </c>
      <c r="F2101">
        <v>78.900000000000006</v>
      </c>
      <c r="G2101" t="s">
        <v>22</v>
      </c>
      <c r="H2101" t="s">
        <v>11</v>
      </c>
    </row>
    <row r="2102" spans="1:8" x14ac:dyDescent="0.25">
      <c r="A2102" s="1">
        <v>45670.5</v>
      </c>
      <c r="B2102" t="s">
        <v>21</v>
      </c>
      <c r="C2102">
        <v>492.02</v>
      </c>
      <c r="D2102">
        <v>71.400000000000006</v>
      </c>
      <c r="E2102" t="s">
        <v>9</v>
      </c>
      <c r="F2102">
        <v>33.75</v>
      </c>
      <c r="G2102" t="s">
        <v>22</v>
      </c>
      <c r="H2102" t="s">
        <v>11</v>
      </c>
    </row>
    <row r="2103" spans="1:8" x14ac:dyDescent="0.25">
      <c r="A2103" s="1">
        <v>45670.541666666664</v>
      </c>
      <c r="B2103" t="s">
        <v>21</v>
      </c>
      <c r="C2103">
        <v>73.61</v>
      </c>
      <c r="D2103">
        <v>37.76</v>
      </c>
      <c r="E2103" t="s">
        <v>9</v>
      </c>
      <c r="F2103">
        <v>85.27</v>
      </c>
      <c r="G2103" t="s">
        <v>22</v>
      </c>
      <c r="H2103" t="s">
        <v>12</v>
      </c>
    </row>
    <row r="2104" spans="1:8" x14ac:dyDescent="0.25">
      <c r="A2104" s="1">
        <v>45670.583333333336</v>
      </c>
      <c r="B2104" t="s">
        <v>21</v>
      </c>
      <c r="C2104">
        <v>280.17</v>
      </c>
      <c r="D2104">
        <v>21.56</v>
      </c>
      <c r="E2104" t="s">
        <v>9</v>
      </c>
      <c r="F2104">
        <v>85.25</v>
      </c>
      <c r="G2104" t="s">
        <v>22</v>
      </c>
      <c r="H2104" t="s">
        <v>11</v>
      </c>
    </row>
    <row r="2105" spans="1:8" x14ac:dyDescent="0.25">
      <c r="A2105" s="1">
        <v>45670.625</v>
      </c>
      <c r="B2105" t="s">
        <v>21</v>
      </c>
      <c r="C2105">
        <v>84.5</v>
      </c>
      <c r="D2105">
        <v>42.8</v>
      </c>
      <c r="E2105" t="s">
        <v>9</v>
      </c>
      <c r="F2105">
        <v>83.99</v>
      </c>
      <c r="G2105" t="s">
        <v>22</v>
      </c>
      <c r="H2105" t="s">
        <v>11</v>
      </c>
    </row>
    <row r="2106" spans="1:8" x14ac:dyDescent="0.25">
      <c r="A2106" s="1">
        <v>45670.666666666664</v>
      </c>
      <c r="B2106" t="s">
        <v>21</v>
      </c>
      <c r="C2106">
        <v>258.86</v>
      </c>
      <c r="D2106">
        <v>16</v>
      </c>
      <c r="E2106" t="s">
        <v>9</v>
      </c>
      <c r="F2106">
        <v>84.52</v>
      </c>
      <c r="G2106" t="s">
        <v>22</v>
      </c>
      <c r="H2106" t="s">
        <v>12</v>
      </c>
    </row>
    <row r="2107" spans="1:8" x14ac:dyDescent="0.25">
      <c r="A2107" s="1">
        <v>45670.708333333336</v>
      </c>
      <c r="B2107" t="s">
        <v>21</v>
      </c>
      <c r="C2107">
        <v>424.55</v>
      </c>
      <c r="D2107">
        <v>23.04</v>
      </c>
      <c r="E2107" t="s">
        <v>9</v>
      </c>
      <c r="F2107">
        <v>85.23</v>
      </c>
      <c r="G2107" t="s">
        <v>22</v>
      </c>
      <c r="H2107" t="s">
        <v>11</v>
      </c>
    </row>
    <row r="2108" spans="1:8" x14ac:dyDescent="0.25">
      <c r="A2108" s="1">
        <v>45670.75</v>
      </c>
      <c r="B2108" t="s">
        <v>21</v>
      </c>
      <c r="C2108">
        <v>473.11</v>
      </c>
      <c r="D2108">
        <v>70.12</v>
      </c>
      <c r="E2108" t="s">
        <v>9</v>
      </c>
      <c r="F2108">
        <v>82.06</v>
      </c>
      <c r="G2108" t="s">
        <v>22</v>
      </c>
      <c r="H2108" t="s">
        <v>11</v>
      </c>
    </row>
    <row r="2109" spans="1:8" x14ac:dyDescent="0.25">
      <c r="A2109" s="1">
        <v>45670.791666666664</v>
      </c>
      <c r="B2109" t="s">
        <v>21</v>
      </c>
      <c r="C2109">
        <v>267.01</v>
      </c>
      <c r="D2109">
        <v>60.33</v>
      </c>
      <c r="E2109" t="s">
        <v>9</v>
      </c>
      <c r="F2109">
        <v>66.95</v>
      </c>
      <c r="G2109" t="s">
        <v>22</v>
      </c>
      <c r="H2109" t="s">
        <v>12</v>
      </c>
    </row>
    <row r="2110" spans="1:8" x14ac:dyDescent="0.25">
      <c r="A2110" s="1">
        <v>45670.833333333336</v>
      </c>
      <c r="B2110" t="s">
        <v>21</v>
      </c>
      <c r="C2110">
        <v>476.44</v>
      </c>
      <c r="D2110">
        <v>43.86</v>
      </c>
      <c r="E2110" t="s">
        <v>9</v>
      </c>
      <c r="F2110">
        <v>30.61</v>
      </c>
      <c r="G2110" t="s">
        <v>22</v>
      </c>
      <c r="H2110" t="s">
        <v>13</v>
      </c>
    </row>
    <row r="2111" spans="1:8" x14ac:dyDescent="0.25">
      <c r="A2111" s="1">
        <v>45670.875</v>
      </c>
      <c r="B2111" t="s">
        <v>21</v>
      </c>
      <c r="C2111">
        <v>444.57</v>
      </c>
      <c r="D2111">
        <v>80.38</v>
      </c>
      <c r="E2111" t="s">
        <v>9</v>
      </c>
      <c r="F2111">
        <v>67.06</v>
      </c>
      <c r="G2111" t="s">
        <v>22</v>
      </c>
      <c r="H2111" t="s">
        <v>11</v>
      </c>
    </row>
    <row r="2112" spans="1:8" x14ac:dyDescent="0.25">
      <c r="A2112" s="1">
        <v>45670.916666666664</v>
      </c>
      <c r="B2112" t="s">
        <v>21</v>
      </c>
      <c r="C2112">
        <v>304.49</v>
      </c>
      <c r="D2112">
        <v>65.62</v>
      </c>
      <c r="E2112" t="s">
        <v>9</v>
      </c>
      <c r="F2112">
        <v>74.37</v>
      </c>
      <c r="G2112" t="s">
        <v>22</v>
      </c>
      <c r="H2112" t="s">
        <v>11</v>
      </c>
    </row>
    <row r="2113" spans="1:8" x14ac:dyDescent="0.25">
      <c r="A2113" s="1">
        <v>45670.958333333336</v>
      </c>
      <c r="B2113" t="s">
        <v>21</v>
      </c>
      <c r="C2113">
        <v>66.27</v>
      </c>
      <c r="D2113">
        <v>40.03</v>
      </c>
      <c r="E2113" t="s">
        <v>9</v>
      </c>
      <c r="F2113">
        <v>75.81</v>
      </c>
      <c r="G2113" t="s">
        <v>22</v>
      </c>
      <c r="H2113" t="s">
        <v>12</v>
      </c>
    </row>
    <row r="2114" spans="1:8" x14ac:dyDescent="0.25">
      <c r="A2114" s="1">
        <v>45671</v>
      </c>
      <c r="B2114" t="s">
        <v>21</v>
      </c>
      <c r="C2114">
        <v>293.02999999999997</v>
      </c>
      <c r="D2114">
        <v>47.55</v>
      </c>
      <c r="E2114" t="s">
        <v>9</v>
      </c>
      <c r="F2114">
        <v>88.63</v>
      </c>
      <c r="G2114" t="s">
        <v>22</v>
      </c>
      <c r="H2114" t="s">
        <v>13</v>
      </c>
    </row>
    <row r="2115" spans="1:8" x14ac:dyDescent="0.25">
      <c r="A2115" s="1">
        <v>45671.041666666664</v>
      </c>
      <c r="B2115" t="s">
        <v>21</v>
      </c>
      <c r="C2115">
        <v>415.26</v>
      </c>
      <c r="D2115">
        <v>74.459999999999994</v>
      </c>
      <c r="E2115" t="s">
        <v>9</v>
      </c>
      <c r="F2115">
        <v>63.6</v>
      </c>
      <c r="G2115" t="s">
        <v>22</v>
      </c>
      <c r="H2115" t="s">
        <v>13</v>
      </c>
    </row>
    <row r="2116" spans="1:8" x14ac:dyDescent="0.25">
      <c r="A2116" s="1">
        <v>45671.083333333336</v>
      </c>
      <c r="B2116" t="s">
        <v>21</v>
      </c>
      <c r="C2116">
        <v>158.94</v>
      </c>
      <c r="D2116">
        <v>49.05</v>
      </c>
      <c r="E2116" t="s">
        <v>9</v>
      </c>
      <c r="F2116">
        <v>45.32</v>
      </c>
      <c r="G2116" t="s">
        <v>22</v>
      </c>
      <c r="H2116" t="s">
        <v>13</v>
      </c>
    </row>
    <row r="2117" spans="1:8" x14ac:dyDescent="0.25">
      <c r="A2117" s="1">
        <v>45671.125</v>
      </c>
      <c r="B2117" t="s">
        <v>21</v>
      </c>
      <c r="C2117">
        <v>133.69999999999999</v>
      </c>
      <c r="D2117">
        <v>34.630000000000003</v>
      </c>
      <c r="E2117" t="s">
        <v>9</v>
      </c>
      <c r="F2117">
        <v>48.3</v>
      </c>
      <c r="G2117" t="s">
        <v>22</v>
      </c>
      <c r="H2117" t="s">
        <v>11</v>
      </c>
    </row>
    <row r="2118" spans="1:8" x14ac:dyDescent="0.25">
      <c r="A2118" s="1">
        <v>45671.166666666664</v>
      </c>
      <c r="B2118" t="s">
        <v>21</v>
      </c>
      <c r="C2118">
        <v>264.01</v>
      </c>
      <c r="D2118">
        <v>38.25</v>
      </c>
      <c r="E2118" t="s">
        <v>9</v>
      </c>
      <c r="F2118">
        <v>49.39</v>
      </c>
      <c r="G2118" t="s">
        <v>22</v>
      </c>
      <c r="H2118" t="s">
        <v>12</v>
      </c>
    </row>
    <row r="2119" spans="1:8" x14ac:dyDescent="0.25">
      <c r="A2119" s="1">
        <v>45671.208333333336</v>
      </c>
      <c r="B2119" t="s">
        <v>21</v>
      </c>
      <c r="C2119">
        <v>353.28</v>
      </c>
      <c r="D2119">
        <v>57.52</v>
      </c>
      <c r="E2119" t="s">
        <v>9</v>
      </c>
      <c r="F2119">
        <v>56.65</v>
      </c>
      <c r="G2119" t="s">
        <v>22</v>
      </c>
      <c r="H2119" t="s">
        <v>12</v>
      </c>
    </row>
    <row r="2120" spans="1:8" x14ac:dyDescent="0.25">
      <c r="A2120" s="1">
        <v>45671.25</v>
      </c>
      <c r="B2120" t="s">
        <v>21</v>
      </c>
      <c r="C2120">
        <v>422.46</v>
      </c>
      <c r="D2120">
        <v>48.65</v>
      </c>
      <c r="E2120" t="s">
        <v>9</v>
      </c>
      <c r="F2120">
        <v>68.47</v>
      </c>
      <c r="G2120" t="s">
        <v>22</v>
      </c>
      <c r="H2120" t="s">
        <v>13</v>
      </c>
    </row>
    <row r="2121" spans="1:8" x14ac:dyDescent="0.25">
      <c r="A2121" s="1">
        <v>45671.291666666664</v>
      </c>
      <c r="B2121" t="s">
        <v>21</v>
      </c>
      <c r="C2121">
        <v>427.83</v>
      </c>
      <c r="D2121">
        <v>48.51</v>
      </c>
      <c r="E2121" t="s">
        <v>9</v>
      </c>
      <c r="F2121">
        <v>68.680000000000007</v>
      </c>
      <c r="G2121" t="s">
        <v>22</v>
      </c>
      <c r="H2121" t="s">
        <v>12</v>
      </c>
    </row>
    <row r="2122" spans="1:8" x14ac:dyDescent="0.25">
      <c r="A2122" s="1">
        <v>45671.333333333336</v>
      </c>
      <c r="B2122" t="s">
        <v>21</v>
      </c>
      <c r="C2122">
        <v>425.49</v>
      </c>
      <c r="D2122">
        <v>26.17</v>
      </c>
      <c r="E2122" t="s">
        <v>9</v>
      </c>
      <c r="F2122">
        <v>69.52</v>
      </c>
      <c r="G2122" t="s">
        <v>22</v>
      </c>
      <c r="H2122" t="s">
        <v>11</v>
      </c>
    </row>
    <row r="2123" spans="1:8" x14ac:dyDescent="0.25">
      <c r="A2123" s="1">
        <v>45671.375</v>
      </c>
      <c r="B2123" t="s">
        <v>21</v>
      </c>
      <c r="C2123">
        <v>467.44</v>
      </c>
      <c r="D2123">
        <v>46.99</v>
      </c>
      <c r="E2123" t="s">
        <v>9</v>
      </c>
      <c r="F2123">
        <v>89.93</v>
      </c>
      <c r="G2123" t="s">
        <v>22</v>
      </c>
      <c r="H2123" t="s">
        <v>13</v>
      </c>
    </row>
    <row r="2124" spans="1:8" x14ac:dyDescent="0.25">
      <c r="A2124" s="1">
        <v>45671.416666666664</v>
      </c>
      <c r="B2124" t="s">
        <v>21</v>
      </c>
      <c r="C2124">
        <v>113.15</v>
      </c>
      <c r="D2124">
        <v>44.06</v>
      </c>
      <c r="E2124" t="s">
        <v>9</v>
      </c>
      <c r="F2124">
        <v>72.3</v>
      </c>
      <c r="G2124" t="s">
        <v>22</v>
      </c>
      <c r="H2124" t="s">
        <v>12</v>
      </c>
    </row>
    <row r="2125" spans="1:8" x14ac:dyDescent="0.25">
      <c r="A2125" s="1">
        <v>45671.458333333336</v>
      </c>
      <c r="B2125" t="s">
        <v>21</v>
      </c>
      <c r="C2125">
        <v>160.74</v>
      </c>
      <c r="D2125">
        <v>60.76</v>
      </c>
      <c r="E2125" t="s">
        <v>9</v>
      </c>
      <c r="F2125">
        <v>55.07</v>
      </c>
      <c r="G2125" t="s">
        <v>22</v>
      </c>
      <c r="H2125" t="s">
        <v>13</v>
      </c>
    </row>
    <row r="2126" spans="1:8" x14ac:dyDescent="0.25">
      <c r="A2126" s="1">
        <v>45671.5</v>
      </c>
      <c r="B2126" t="s">
        <v>21</v>
      </c>
      <c r="C2126">
        <v>179.7</v>
      </c>
      <c r="D2126">
        <v>29.73</v>
      </c>
      <c r="E2126" t="s">
        <v>9</v>
      </c>
      <c r="F2126">
        <v>88.44</v>
      </c>
      <c r="G2126" t="s">
        <v>22</v>
      </c>
      <c r="H2126" t="s">
        <v>13</v>
      </c>
    </row>
    <row r="2127" spans="1:8" x14ac:dyDescent="0.25">
      <c r="A2127" s="1">
        <v>45671.541666666664</v>
      </c>
      <c r="B2127" t="s">
        <v>21</v>
      </c>
      <c r="C2127">
        <v>154.88999999999999</v>
      </c>
      <c r="D2127">
        <v>76.62</v>
      </c>
      <c r="E2127" t="s">
        <v>9</v>
      </c>
      <c r="F2127">
        <v>35.26</v>
      </c>
      <c r="G2127" t="s">
        <v>22</v>
      </c>
      <c r="H2127" t="s">
        <v>12</v>
      </c>
    </row>
    <row r="2128" spans="1:8" x14ac:dyDescent="0.25">
      <c r="A2128" s="1">
        <v>45671.583333333336</v>
      </c>
      <c r="B2128" t="s">
        <v>21</v>
      </c>
      <c r="C2128">
        <v>461.61</v>
      </c>
      <c r="D2128">
        <v>68.63</v>
      </c>
      <c r="E2128" t="s">
        <v>9</v>
      </c>
      <c r="F2128">
        <v>54.22</v>
      </c>
      <c r="G2128" t="s">
        <v>22</v>
      </c>
      <c r="H2128" t="s">
        <v>11</v>
      </c>
    </row>
    <row r="2129" spans="1:8" x14ac:dyDescent="0.25">
      <c r="A2129" s="1">
        <v>45671.625</v>
      </c>
      <c r="B2129" t="s">
        <v>21</v>
      </c>
      <c r="C2129">
        <v>447.18</v>
      </c>
      <c r="D2129">
        <v>90.5</v>
      </c>
      <c r="E2129" t="s">
        <v>14</v>
      </c>
      <c r="F2129">
        <v>36.03</v>
      </c>
      <c r="G2129" t="s">
        <v>22</v>
      </c>
      <c r="H2129" t="s">
        <v>11</v>
      </c>
    </row>
    <row r="2130" spans="1:8" x14ac:dyDescent="0.25">
      <c r="A2130" s="1">
        <v>45671.666666666664</v>
      </c>
      <c r="B2130" t="s">
        <v>21</v>
      </c>
      <c r="C2130">
        <v>331.43</v>
      </c>
      <c r="D2130">
        <v>80.17</v>
      </c>
      <c r="E2130" t="s">
        <v>9</v>
      </c>
      <c r="F2130">
        <v>69.209999999999994</v>
      </c>
      <c r="G2130" t="s">
        <v>22</v>
      </c>
      <c r="H2130" t="s">
        <v>13</v>
      </c>
    </row>
    <row r="2131" spans="1:8" x14ac:dyDescent="0.25">
      <c r="A2131" s="1">
        <v>45671.708333333336</v>
      </c>
      <c r="B2131" t="s">
        <v>21</v>
      </c>
      <c r="C2131">
        <v>164.05</v>
      </c>
      <c r="D2131">
        <v>42.87</v>
      </c>
      <c r="E2131" t="s">
        <v>9</v>
      </c>
      <c r="F2131">
        <v>41.48</v>
      </c>
      <c r="G2131" t="s">
        <v>22</v>
      </c>
      <c r="H2131" t="s">
        <v>13</v>
      </c>
    </row>
    <row r="2132" spans="1:8" x14ac:dyDescent="0.25">
      <c r="A2132" s="1">
        <v>45671.75</v>
      </c>
      <c r="B2132" t="s">
        <v>21</v>
      </c>
      <c r="C2132">
        <v>267.8</v>
      </c>
      <c r="D2132">
        <v>70.84</v>
      </c>
      <c r="E2132" t="s">
        <v>9</v>
      </c>
      <c r="F2132">
        <v>43.63</v>
      </c>
      <c r="G2132" t="s">
        <v>22</v>
      </c>
      <c r="H2132" t="s">
        <v>12</v>
      </c>
    </row>
    <row r="2133" spans="1:8" x14ac:dyDescent="0.25">
      <c r="A2133" s="1">
        <v>45671.791666666664</v>
      </c>
      <c r="B2133" t="s">
        <v>21</v>
      </c>
      <c r="C2133">
        <v>211.21</v>
      </c>
      <c r="D2133">
        <v>22.03</v>
      </c>
      <c r="E2133" t="s">
        <v>9</v>
      </c>
      <c r="F2133">
        <v>75.48</v>
      </c>
      <c r="G2133" t="s">
        <v>22</v>
      </c>
      <c r="H2133" t="s">
        <v>13</v>
      </c>
    </row>
    <row r="2134" spans="1:8" x14ac:dyDescent="0.25">
      <c r="A2134" s="1">
        <v>45671.833333333336</v>
      </c>
      <c r="B2134" t="s">
        <v>21</v>
      </c>
      <c r="C2134">
        <v>230.6</v>
      </c>
      <c r="D2134">
        <v>29.61</v>
      </c>
      <c r="E2134" t="s">
        <v>9</v>
      </c>
      <c r="F2134">
        <v>51.37</v>
      </c>
      <c r="G2134" t="s">
        <v>22</v>
      </c>
      <c r="H2134" t="s">
        <v>11</v>
      </c>
    </row>
    <row r="2135" spans="1:8" x14ac:dyDescent="0.25">
      <c r="A2135" s="1">
        <v>45671.875</v>
      </c>
      <c r="B2135" t="s">
        <v>21</v>
      </c>
      <c r="C2135">
        <v>438.13</v>
      </c>
      <c r="D2135">
        <v>79.59</v>
      </c>
      <c r="E2135" t="s">
        <v>9</v>
      </c>
      <c r="F2135">
        <v>37.68</v>
      </c>
      <c r="G2135" t="s">
        <v>22</v>
      </c>
      <c r="H2135" t="s">
        <v>13</v>
      </c>
    </row>
    <row r="2136" spans="1:8" x14ac:dyDescent="0.25">
      <c r="A2136" s="1">
        <v>45671.916666666664</v>
      </c>
      <c r="B2136" t="s">
        <v>21</v>
      </c>
      <c r="C2136">
        <v>123.85</v>
      </c>
      <c r="D2136">
        <v>18.41</v>
      </c>
      <c r="E2136" t="s">
        <v>9</v>
      </c>
      <c r="F2136">
        <v>49.78</v>
      </c>
      <c r="G2136" t="s">
        <v>22</v>
      </c>
      <c r="H2136" t="s">
        <v>12</v>
      </c>
    </row>
    <row r="2137" spans="1:8" x14ac:dyDescent="0.25">
      <c r="A2137" s="1">
        <v>45671.958333333336</v>
      </c>
      <c r="B2137" t="s">
        <v>21</v>
      </c>
      <c r="C2137">
        <v>208.46</v>
      </c>
      <c r="D2137">
        <v>48.72</v>
      </c>
      <c r="E2137" t="s">
        <v>9</v>
      </c>
      <c r="F2137">
        <v>79.45</v>
      </c>
      <c r="G2137" t="s">
        <v>22</v>
      </c>
      <c r="H2137" t="s">
        <v>11</v>
      </c>
    </row>
    <row r="2138" spans="1:8" x14ac:dyDescent="0.25">
      <c r="A2138" s="1">
        <v>45672</v>
      </c>
      <c r="B2138" t="s">
        <v>21</v>
      </c>
      <c r="C2138">
        <v>398.42</v>
      </c>
      <c r="D2138">
        <v>71.73</v>
      </c>
      <c r="E2138" t="s">
        <v>9</v>
      </c>
      <c r="F2138">
        <v>68.099999999999994</v>
      </c>
      <c r="G2138" t="s">
        <v>22</v>
      </c>
      <c r="H2138" t="s">
        <v>12</v>
      </c>
    </row>
    <row r="2139" spans="1:8" x14ac:dyDescent="0.25">
      <c r="A2139" s="1">
        <v>45672.041666666664</v>
      </c>
      <c r="B2139" t="s">
        <v>21</v>
      </c>
      <c r="C2139">
        <v>58.19</v>
      </c>
      <c r="D2139">
        <v>78.98</v>
      </c>
      <c r="E2139" t="s">
        <v>9</v>
      </c>
      <c r="F2139">
        <v>86.81</v>
      </c>
      <c r="G2139" t="s">
        <v>22</v>
      </c>
      <c r="H2139" t="s">
        <v>11</v>
      </c>
    </row>
    <row r="2140" spans="1:8" x14ac:dyDescent="0.25">
      <c r="A2140" s="1">
        <v>45672.083333333336</v>
      </c>
      <c r="B2140" t="s">
        <v>21</v>
      </c>
      <c r="C2140">
        <v>150.36000000000001</v>
      </c>
      <c r="D2140">
        <v>56.57</v>
      </c>
      <c r="E2140" t="s">
        <v>9</v>
      </c>
      <c r="F2140">
        <v>35.479999999999997</v>
      </c>
      <c r="G2140" t="s">
        <v>22</v>
      </c>
      <c r="H2140" t="s">
        <v>11</v>
      </c>
    </row>
    <row r="2141" spans="1:8" x14ac:dyDescent="0.25">
      <c r="A2141" s="1">
        <v>45672.125</v>
      </c>
      <c r="B2141" t="s">
        <v>21</v>
      </c>
      <c r="C2141">
        <v>311.81</v>
      </c>
      <c r="D2141">
        <v>56.28</v>
      </c>
      <c r="E2141" t="s">
        <v>9</v>
      </c>
      <c r="F2141">
        <v>49.85</v>
      </c>
      <c r="G2141" t="s">
        <v>22</v>
      </c>
      <c r="H2141" t="s">
        <v>13</v>
      </c>
    </row>
    <row r="2142" spans="1:8" x14ac:dyDescent="0.25">
      <c r="A2142" s="1">
        <v>45672.166666666664</v>
      </c>
      <c r="B2142" t="s">
        <v>21</v>
      </c>
      <c r="C2142">
        <v>481.46</v>
      </c>
      <c r="D2142">
        <v>30.69</v>
      </c>
      <c r="E2142" t="s">
        <v>9</v>
      </c>
      <c r="F2142">
        <v>69.290000000000006</v>
      </c>
      <c r="G2142" t="s">
        <v>22</v>
      </c>
      <c r="H2142" t="s">
        <v>13</v>
      </c>
    </row>
    <row r="2143" spans="1:8" x14ac:dyDescent="0.25">
      <c r="A2143" s="1">
        <v>45672.208333333336</v>
      </c>
      <c r="B2143" t="s">
        <v>21</v>
      </c>
      <c r="C2143">
        <v>361.55</v>
      </c>
      <c r="D2143">
        <v>87.82</v>
      </c>
      <c r="E2143" t="s">
        <v>14</v>
      </c>
      <c r="F2143">
        <v>60.09</v>
      </c>
      <c r="G2143" t="s">
        <v>22</v>
      </c>
      <c r="H2143" t="s">
        <v>13</v>
      </c>
    </row>
    <row r="2144" spans="1:8" x14ac:dyDescent="0.25">
      <c r="A2144" s="1">
        <v>45672.25</v>
      </c>
      <c r="B2144" t="s">
        <v>21</v>
      </c>
      <c r="C2144">
        <v>60.06</v>
      </c>
      <c r="D2144">
        <v>27.9</v>
      </c>
      <c r="E2144" t="s">
        <v>9</v>
      </c>
      <c r="F2144">
        <v>63.89</v>
      </c>
      <c r="G2144" t="s">
        <v>22</v>
      </c>
      <c r="H2144" t="s">
        <v>12</v>
      </c>
    </row>
    <row r="2145" spans="1:8" x14ac:dyDescent="0.25">
      <c r="A2145" s="1">
        <v>45672.291666666664</v>
      </c>
      <c r="B2145" t="s">
        <v>21</v>
      </c>
      <c r="C2145">
        <v>466.2</v>
      </c>
      <c r="D2145">
        <v>82.67</v>
      </c>
      <c r="E2145" t="s">
        <v>9</v>
      </c>
      <c r="F2145">
        <v>52.6</v>
      </c>
      <c r="G2145" t="s">
        <v>22</v>
      </c>
      <c r="H2145" t="s">
        <v>13</v>
      </c>
    </row>
    <row r="2146" spans="1:8" x14ac:dyDescent="0.25">
      <c r="A2146" s="1">
        <v>45672.333333333336</v>
      </c>
      <c r="B2146" t="s">
        <v>21</v>
      </c>
      <c r="C2146">
        <v>62.23</v>
      </c>
      <c r="D2146">
        <v>35.31</v>
      </c>
      <c r="E2146" t="s">
        <v>9</v>
      </c>
      <c r="F2146">
        <v>72.62</v>
      </c>
      <c r="G2146" t="s">
        <v>22</v>
      </c>
      <c r="H2146" t="s">
        <v>13</v>
      </c>
    </row>
    <row r="2147" spans="1:8" x14ac:dyDescent="0.25">
      <c r="A2147" s="1">
        <v>45672.375</v>
      </c>
      <c r="B2147" t="s">
        <v>21</v>
      </c>
      <c r="C2147">
        <v>209.02</v>
      </c>
      <c r="D2147">
        <v>79.5</v>
      </c>
      <c r="E2147" t="s">
        <v>9</v>
      </c>
      <c r="F2147">
        <v>44.15</v>
      </c>
      <c r="G2147" t="s">
        <v>22</v>
      </c>
      <c r="H2147" t="s">
        <v>12</v>
      </c>
    </row>
    <row r="2148" spans="1:8" x14ac:dyDescent="0.25">
      <c r="A2148" s="1">
        <v>45672.416666666664</v>
      </c>
      <c r="B2148" t="s">
        <v>21</v>
      </c>
      <c r="C2148">
        <v>262.64</v>
      </c>
      <c r="D2148">
        <v>41.61</v>
      </c>
      <c r="E2148" t="s">
        <v>9</v>
      </c>
      <c r="F2148">
        <v>87.28</v>
      </c>
      <c r="G2148" t="s">
        <v>22</v>
      </c>
      <c r="H2148" t="s">
        <v>12</v>
      </c>
    </row>
    <row r="2149" spans="1:8" x14ac:dyDescent="0.25">
      <c r="A2149" s="1">
        <v>45672.458333333336</v>
      </c>
      <c r="B2149" t="s">
        <v>21</v>
      </c>
      <c r="C2149">
        <v>100.52</v>
      </c>
      <c r="D2149">
        <v>72.86</v>
      </c>
      <c r="E2149" t="s">
        <v>9</v>
      </c>
      <c r="F2149">
        <v>86.66</v>
      </c>
      <c r="G2149" t="s">
        <v>22</v>
      </c>
      <c r="H2149" t="s">
        <v>11</v>
      </c>
    </row>
    <row r="2150" spans="1:8" x14ac:dyDescent="0.25">
      <c r="A2150" s="1">
        <v>45672.5</v>
      </c>
      <c r="B2150" t="s">
        <v>21</v>
      </c>
      <c r="C2150">
        <v>217.48</v>
      </c>
      <c r="D2150">
        <v>68.489999999999995</v>
      </c>
      <c r="E2150" t="s">
        <v>9</v>
      </c>
      <c r="F2150">
        <v>85.47</v>
      </c>
      <c r="G2150" t="s">
        <v>22</v>
      </c>
      <c r="H2150" t="s">
        <v>12</v>
      </c>
    </row>
    <row r="2151" spans="1:8" x14ac:dyDescent="0.25">
      <c r="A2151" s="1">
        <v>45672.541666666664</v>
      </c>
      <c r="B2151" t="s">
        <v>21</v>
      </c>
      <c r="C2151">
        <v>70.349999999999994</v>
      </c>
      <c r="D2151">
        <v>14.14</v>
      </c>
      <c r="E2151" t="s">
        <v>9</v>
      </c>
      <c r="F2151">
        <v>51.04</v>
      </c>
      <c r="G2151" t="s">
        <v>22</v>
      </c>
      <c r="H2151" t="s">
        <v>13</v>
      </c>
    </row>
    <row r="2152" spans="1:8" x14ac:dyDescent="0.25">
      <c r="A2152" s="1">
        <v>45672.583333333336</v>
      </c>
      <c r="B2152" t="s">
        <v>21</v>
      </c>
      <c r="C2152">
        <v>95.98</v>
      </c>
      <c r="D2152">
        <v>52.09</v>
      </c>
      <c r="E2152" t="s">
        <v>9</v>
      </c>
      <c r="F2152">
        <v>61.81</v>
      </c>
      <c r="G2152" t="s">
        <v>22</v>
      </c>
      <c r="H2152" t="s">
        <v>13</v>
      </c>
    </row>
    <row r="2153" spans="1:8" x14ac:dyDescent="0.25">
      <c r="A2153" s="1">
        <v>45672.625</v>
      </c>
      <c r="B2153" t="s">
        <v>21</v>
      </c>
      <c r="C2153">
        <v>461.7</v>
      </c>
      <c r="D2153">
        <v>25.36</v>
      </c>
      <c r="E2153" t="s">
        <v>9</v>
      </c>
      <c r="F2153">
        <v>62.26</v>
      </c>
      <c r="G2153" t="s">
        <v>22</v>
      </c>
      <c r="H2153" t="s">
        <v>12</v>
      </c>
    </row>
    <row r="2154" spans="1:8" x14ac:dyDescent="0.25">
      <c r="A2154" s="1">
        <v>45672.666666666664</v>
      </c>
      <c r="B2154" t="s">
        <v>21</v>
      </c>
      <c r="C2154">
        <v>142.52000000000001</v>
      </c>
      <c r="D2154">
        <v>58.08</v>
      </c>
      <c r="E2154" t="s">
        <v>9</v>
      </c>
      <c r="F2154">
        <v>78.260000000000005</v>
      </c>
      <c r="G2154" t="s">
        <v>22</v>
      </c>
      <c r="H2154" t="s">
        <v>12</v>
      </c>
    </row>
    <row r="2155" spans="1:8" x14ac:dyDescent="0.25">
      <c r="A2155" s="1">
        <v>45672.708333333336</v>
      </c>
      <c r="B2155" t="s">
        <v>21</v>
      </c>
      <c r="C2155">
        <v>228.05</v>
      </c>
      <c r="D2155">
        <v>29.28</v>
      </c>
      <c r="E2155" t="s">
        <v>9</v>
      </c>
      <c r="F2155">
        <v>63.7</v>
      </c>
      <c r="G2155" t="s">
        <v>22</v>
      </c>
      <c r="H2155" t="s">
        <v>11</v>
      </c>
    </row>
    <row r="2156" spans="1:8" x14ac:dyDescent="0.25">
      <c r="A2156" s="1">
        <v>45672.75</v>
      </c>
      <c r="B2156" t="s">
        <v>21</v>
      </c>
      <c r="C2156">
        <v>302.79000000000002</v>
      </c>
      <c r="D2156">
        <v>67.5</v>
      </c>
      <c r="E2156" t="s">
        <v>9</v>
      </c>
      <c r="F2156">
        <v>80</v>
      </c>
      <c r="G2156" t="s">
        <v>22</v>
      </c>
      <c r="H2156" t="s">
        <v>11</v>
      </c>
    </row>
    <row r="2157" spans="1:8" x14ac:dyDescent="0.25">
      <c r="A2157" s="1">
        <v>45672.791666666664</v>
      </c>
      <c r="B2157" t="s">
        <v>21</v>
      </c>
      <c r="C2157">
        <v>428.76</v>
      </c>
      <c r="D2157">
        <v>31.77</v>
      </c>
      <c r="E2157" t="s">
        <v>9</v>
      </c>
      <c r="F2157">
        <v>74.05</v>
      </c>
      <c r="G2157" t="s">
        <v>22</v>
      </c>
      <c r="H2157" t="s">
        <v>11</v>
      </c>
    </row>
    <row r="2158" spans="1:8" x14ac:dyDescent="0.25">
      <c r="A2158" s="1">
        <v>45672.833333333336</v>
      </c>
      <c r="B2158" t="s">
        <v>21</v>
      </c>
      <c r="C2158">
        <v>332.05</v>
      </c>
      <c r="D2158">
        <v>58.84</v>
      </c>
      <c r="E2158" t="s">
        <v>9</v>
      </c>
      <c r="F2158">
        <v>87.67</v>
      </c>
      <c r="G2158" t="s">
        <v>22</v>
      </c>
      <c r="H2158" t="s">
        <v>13</v>
      </c>
    </row>
    <row r="2159" spans="1:8" x14ac:dyDescent="0.25">
      <c r="A2159" s="1">
        <v>45672.875</v>
      </c>
      <c r="B2159" t="s">
        <v>21</v>
      </c>
      <c r="C2159">
        <v>91.95</v>
      </c>
      <c r="D2159">
        <v>17.73</v>
      </c>
      <c r="E2159" t="s">
        <v>9</v>
      </c>
      <c r="F2159">
        <v>36.700000000000003</v>
      </c>
      <c r="G2159" t="s">
        <v>22</v>
      </c>
      <c r="H2159" t="s">
        <v>13</v>
      </c>
    </row>
    <row r="2160" spans="1:8" x14ac:dyDescent="0.25">
      <c r="A2160" s="1">
        <v>45672.916666666664</v>
      </c>
      <c r="B2160" t="s">
        <v>21</v>
      </c>
      <c r="C2160">
        <v>468.21</v>
      </c>
      <c r="D2160">
        <v>41.22</v>
      </c>
      <c r="E2160" t="s">
        <v>9</v>
      </c>
      <c r="F2160">
        <v>34.03</v>
      </c>
      <c r="G2160" t="s">
        <v>22</v>
      </c>
      <c r="H2160" t="s">
        <v>11</v>
      </c>
    </row>
    <row r="2161" spans="1:8" x14ac:dyDescent="0.25">
      <c r="A2161" s="1">
        <v>45672.958333333336</v>
      </c>
      <c r="B2161" t="s">
        <v>21</v>
      </c>
      <c r="C2161">
        <v>470.82</v>
      </c>
      <c r="D2161">
        <v>91.35</v>
      </c>
      <c r="E2161" t="s">
        <v>14</v>
      </c>
      <c r="F2161">
        <v>87.53</v>
      </c>
      <c r="G2161" t="s">
        <v>22</v>
      </c>
      <c r="H2161" t="s">
        <v>12</v>
      </c>
    </row>
    <row r="2162" spans="1:8" x14ac:dyDescent="0.25">
      <c r="A2162" s="1">
        <v>45658</v>
      </c>
      <c r="B2162" t="s">
        <v>23</v>
      </c>
      <c r="C2162">
        <v>213.72</v>
      </c>
      <c r="D2162">
        <v>19.89</v>
      </c>
      <c r="E2162" t="s">
        <v>9</v>
      </c>
      <c r="F2162">
        <v>64.13</v>
      </c>
      <c r="G2162" t="s">
        <v>10</v>
      </c>
      <c r="H2162" t="s">
        <v>13</v>
      </c>
    </row>
    <row r="2163" spans="1:8" x14ac:dyDescent="0.25">
      <c r="A2163" s="1">
        <v>45658.041666666664</v>
      </c>
      <c r="B2163" t="s">
        <v>23</v>
      </c>
      <c r="C2163">
        <v>86.46</v>
      </c>
      <c r="D2163">
        <v>39.630000000000003</v>
      </c>
      <c r="E2163" t="s">
        <v>9</v>
      </c>
      <c r="F2163">
        <v>87.98</v>
      </c>
      <c r="G2163" t="s">
        <v>10</v>
      </c>
      <c r="H2163" t="s">
        <v>11</v>
      </c>
    </row>
    <row r="2164" spans="1:8" x14ac:dyDescent="0.25">
      <c r="A2164" s="1">
        <v>45658.083333333336</v>
      </c>
      <c r="B2164" t="s">
        <v>23</v>
      </c>
      <c r="C2164">
        <v>205.34</v>
      </c>
      <c r="D2164">
        <v>29.07</v>
      </c>
      <c r="E2164" t="s">
        <v>9</v>
      </c>
      <c r="F2164">
        <v>30.29</v>
      </c>
      <c r="G2164" t="s">
        <v>10</v>
      </c>
      <c r="H2164" t="s">
        <v>11</v>
      </c>
    </row>
    <row r="2165" spans="1:8" x14ac:dyDescent="0.25">
      <c r="A2165" s="1">
        <v>45658.125</v>
      </c>
      <c r="B2165" t="s">
        <v>23</v>
      </c>
      <c r="C2165">
        <v>94.8</v>
      </c>
      <c r="D2165">
        <v>38.82</v>
      </c>
      <c r="E2165" t="s">
        <v>9</v>
      </c>
      <c r="F2165">
        <v>60.05</v>
      </c>
      <c r="G2165" t="s">
        <v>10</v>
      </c>
      <c r="H2165" t="s">
        <v>12</v>
      </c>
    </row>
    <row r="2166" spans="1:8" x14ac:dyDescent="0.25">
      <c r="A2166" s="1">
        <v>45658.166666666664</v>
      </c>
      <c r="B2166" t="s">
        <v>23</v>
      </c>
      <c r="C2166">
        <v>462.41</v>
      </c>
      <c r="D2166">
        <v>64.87</v>
      </c>
      <c r="E2166" t="s">
        <v>9</v>
      </c>
      <c r="F2166">
        <v>80.42</v>
      </c>
      <c r="G2166" t="s">
        <v>10</v>
      </c>
      <c r="H2166" t="s">
        <v>12</v>
      </c>
    </row>
    <row r="2167" spans="1:8" x14ac:dyDescent="0.25">
      <c r="A2167" s="1">
        <v>45658.208333333336</v>
      </c>
      <c r="B2167" t="s">
        <v>23</v>
      </c>
      <c r="C2167">
        <v>456.96</v>
      </c>
      <c r="D2167">
        <v>20.93</v>
      </c>
      <c r="E2167" t="s">
        <v>9</v>
      </c>
      <c r="F2167">
        <v>43</v>
      </c>
      <c r="G2167" t="s">
        <v>10</v>
      </c>
      <c r="H2167" t="s">
        <v>11</v>
      </c>
    </row>
    <row r="2168" spans="1:8" x14ac:dyDescent="0.25">
      <c r="A2168" s="1">
        <v>45658.25</v>
      </c>
      <c r="B2168" t="s">
        <v>23</v>
      </c>
      <c r="C2168">
        <v>135.38999999999999</v>
      </c>
      <c r="D2168">
        <v>89.04</v>
      </c>
      <c r="E2168" t="s">
        <v>14</v>
      </c>
      <c r="F2168">
        <v>31.93</v>
      </c>
      <c r="G2168" t="s">
        <v>10</v>
      </c>
      <c r="H2168" t="s">
        <v>13</v>
      </c>
    </row>
    <row r="2169" spans="1:8" x14ac:dyDescent="0.25">
      <c r="A2169" s="1">
        <v>45658.291666666664</v>
      </c>
      <c r="B2169" t="s">
        <v>23</v>
      </c>
      <c r="C2169">
        <v>144.38999999999999</v>
      </c>
      <c r="D2169">
        <v>30.13</v>
      </c>
      <c r="E2169" t="s">
        <v>9</v>
      </c>
      <c r="F2169">
        <v>86.44</v>
      </c>
      <c r="G2169" t="s">
        <v>10</v>
      </c>
      <c r="H2169" t="s">
        <v>12</v>
      </c>
    </row>
    <row r="2170" spans="1:8" x14ac:dyDescent="0.25">
      <c r="A2170" s="1">
        <v>45658.333333333336</v>
      </c>
      <c r="B2170" t="s">
        <v>23</v>
      </c>
      <c r="C2170">
        <v>212.17</v>
      </c>
      <c r="D2170">
        <v>48.58</v>
      </c>
      <c r="E2170" t="s">
        <v>9</v>
      </c>
      <c r="F2170">
        <v>88.92</v>
      </c>
      <c r="G2170" t="s">
        <v>10</v>
      </c>
      <c r="H2170" t="s">
        <v>13</v>
      </c>
    </row>
    <row r="2171" spans="1:8" x14ac:dyDescent="0.25">
      <c r="A2171" s="1">
        <v>45658.375</v>
      </c>
      <c r="B2171" t="s">
        <v>23</v>
      </c>
      <c r="C2171">
        <v>441.87</v>
      </c>
      <c r="D2171">
        <v>14.47</v>
      </c>
      <c r="E2171" t="s">
        <v>9</v>
      </c>
      <c r="F2171">
        <v>53.29</v>
      </c>
      <c r="G2171" t="s">
        <v>10</v>
      </c>
      <c r="H2171" t="s">
        <v>11</v>
      </c>
    </row>
    <row r="2172" spans="1:8" x14ac:dyDescent="0.25">
      <c r="A2172" s="1">
        <v>45658.416666666664</v>
      </c>
      <c r="B2172" t="s">
        <v>23</v>
      </c>
      <c r="C2172">
        <v>235.34</v>
      </c>
      <c r="D2172">
        <v>72</v>
      </c>
      <c r="E2172" t="s">
        <v>9</v>
      </c>
      <c r="F2172">
        <v>36.57</v>
      </c>
      <c r="G2172" t="s">
        <v>10</v>
      </c>
      <c r="H2172" t="s">
        <v>12</v>
      </c>
    </row>
    <row r="2173" spans="1:8" x14ac:dyDescent="0.25">
      <c r="A2173" s="1">
        <v>45658.458333333336</v>
      </c>
      <c r="B2173" t="s">
        <v>23</v>
      </c>
      <c r="C2173">
        <v>432.52</v>
      </c>
      <c r="D2173">
        <v>62.85</v>
      </c>
      <c r="E2173" t="s">
        <v>9</v>
      </c>
      <c r="F2173">
        <v>38.74</v>
      </c>
      <c r="G2173" t="s">
        <v>10</v>
      </c>
      <c r="H2173" t="s">
        <v>13</v>
      </c>
    </row>
    <row r="2174" spans="1:8" x14ac:dyDescent="0.25">
      <c r="A2174" s="1">
        <v>45658.5</v>
      </c>
      <c r="B2174" t="s">
        <v>23</v>
      </c>
      <c r="C2174">
        <v>61.1</v>
      </c>
      <c r="D2174">
        <v>68.7</v>
      </c>
      <c r="E2174" t="s">
        <v>9</v>
      </c>
      <c r="F2174">
        <v>85.95</v>
      </c>
      <c r="G2174" t="s">
        <v>10</v>
      </c>
      <c r="H2174" t="s">
        <v>11</v>
      </c>
    </row>
    <row r="2175" spans="1:8" x14ac:dyDescent="0.25">
      <c r="A2175" s="1">
        <v>45658.541666666664</v>
      </c>
      <c r="B2175" t="s">
        <v>23</v>
      </c>
      <c r="C2175">
        <v>172.37</v>
      </c>
      <c r="D2175">
        <v>45.1</v>
      </c>
      <c r="E2175" t="s">
        <v>9</v>
      </c>
      <c r="F2175">
        <v>74.05</v>
      </c>
      <c r="G2175" t="s">
        <v>10</v>
      </c>
      <c r="H2175" t="s">
        <v>11</v>
      </c>
    </row>
    <row r="2176" spans="1:8" x14ac:dyDescent="0.25">
      <c r="A2176" s="1">
        <v>45658.583333333336</v>
      </c>
      <c r="B2176" t="s">
        <v>23</v>
      </c>
      <c r="C2176">
        <v>155.72</v>
      </c>
      <c r="D2176">
        <v>22.12</v>
      </c>
      <c r="E2176" t="s">
        <v>9</v>
      </c>
      <c r="F2176">
        <v>38.9</v>
      </c>
      <c r="G2176" t="s">
        <v>10</v>
      </c>
      <c r="H2176" t="s">
        <v>11</v>
      </c>
    </row>
    <row r="2177" spans="1:8" x14ac:dyDescent="0.25">
      <c r="A2177" s="1">
        <v>45658.625</v>
      </c>
      <c r="B2177" t="s">
        <v>23</v>
      </c>
      <c r="C2177">
        <v>229.39</v>
      </c>
      <c r="D2177">
        <v>41.47</v>
      </c>
      <c r="E2177" t="s">
        <v>9</v>
      </c>
      <c r="F2177">
        <v>56.18</v>
      </c>
      <c r="G2177" t="s">
        <v>10</v>
      </c>
      <c r="H2177" t="s">
        <v>11</v>
      </c>
    </row>
    <row r="2178" spans="1:8" x14ac:dyDescent="0.25">
      <c r="A2178" s="1">
        <v>45658.666666666664</v>
      </c>
      <c r="B2178" t="s">
        <v>23</v>
      </c>
      <c r="C2178">
        <v>126.4</v>
      </c>
      <c r="D2178">
        <v>61.03</v>
      </c>
      <c r="E2178" t="s">
        <v>9</v>
      </c>
      <c r="F2178">
        <v>59.02</v>
      </c>
      <c r="G2178" t="s">
        <v>10</v>
      </c>
      <c r="H2178" t="s">
        <v>12</v>
      </c>
    </row>
    <row r="2179" spans="1:8" x14ac:dyDescent="0.25">
      <c r="A2179" s="1">
        <v>45658.708333333336</v>
      </c>
      <c r="B2179" t="s">
        <v>23</v>
      </c>
      <c r="C2179">
        <v>202.39</v>
      </c>
      <c r="D2179">
        <v>37.78</v>
      </c>
      <c r="E2179" t="s">
        <v>9</v>
      </c>
      <c r="F2179">
        <v>42.69</v>
      </c>
      <c r="G2179" t="s">
        <v>10</v>
      </c>
      <c r="H2179" t="s">
        <v>12</v>
      </c>
    </row>
    <row r="2180" spans="1:8" x14ac:dyDescent="0.25">
      <c r="A2180" s="1">
        <v>45658.75</v>
      </c>
      <c r="B2180" t="s">
        <v>23</v>
      </c>
      <c r="C2180">
        <v>92.67</v>
      </c>
      <c r="D2180">
        <v>42.1</v>
      </c>
      <c r="E2180" t="s">
        <v>9</v>
      </c>
      <c r="F2180">
        <v>32.19</v>
      </c>
      <c r="G2180" t="s">
        <v>10</v>
      </c>
      <c r="H2180" t="s">
        <v>11</v>
      </c>
    </row>
    <row r="2181" spans="1:8" x14ac:dyDescent="0.25">
      <c r="A2181" s="1">
        <v>45658.791666666664</v>
      </c>
      <c r="B2181" t="s">
        <v>23</v>
      </c>
      <c r="C2181">
        <v>386.05</v>
      </c>
      <c r="D2181">
        <v>40.369999999999997</v>
      </c>
      <c r="E2181" t="s">
        <v>9</v>
      </c>
      <c r="F2181">
        <v>70.09</v>
      </c>
      <c r="G2181" t="s">
        <v>10</v>
      </c>
      <c r="H2181" t="s">
        <v>11</v>
      </c>
    </row>
    <row r="2182" spans="1:8" x14ac:dyDescent="0.25">
      <c r="A2182" s="1">
        <v>45658.833333333336</v>
      </c>
      <c r="B2182" t="s">
        <v>23</v>
      </c>
      <c r="C2182">
        <v>179.52</v>
      </c>
      <c r="D2182">
        <v>34.119999999999997</v>
      </c>
      <c r="E2182" t="s">
        <v>9</v>
      </c>
      <c r="F2182">
        <v>71.09</v>
      </c>
      <c r="G2182" t="s">
        <v>10</v>
      </c>
      <c r="H2182" t="s">
        <v>12</v>
      </c>
    </row>
    <row r="2183" spans="1:8" x14ac:dyDescent="0.25">
      <c r="A2183" s="1">
        <v>45658.875</v>
      </c>
      <c r="B2183" t="s">
        <v>23</v>
      </c>
      <c r="C2183">
        <v>382.39</v>
      </c>
      <c r="D2183">
        <v>91.67</v>
      </c>
      <c r="E2183" t="s">
        <v>14</v>
      </c>
      <c r="F2183">
        <v>81.739999999999995</v>
      </c>
      <c r="G2183" t="s">
        <v>10</v>
      </c>
      <c r="H2183" t="s">
        <v>13</v>
      </c>
    </row>
    <row r="2184" spans="1:8" x14ac:dyDescent="0.25">
      <c r="A2184" s="1">
        <v>45658.916666666664</v>
      </c>
      <c r="B2184" t="s">
        <v>23</v>
      </c>
      <c r="C2184">
        <v>197.07</v>
      </c>
      <c r="D2184">
        <v>27.97</v>
      </c>
      <c r="E2184" t="s">
        <v>9</v>
      </c>
      <c r="F2184">
        <v>66.08</v>
      </c>
      <c r="G2184" t="s">
        <v>10</v>
      </c>
      <c r="H2184" t="s">
        <v>13</v>
      </c>
    </row>
    <row r="2185" spans="1:8" x14ac:dyDescent="0.25">
      <c r="A2185" s="1">
        <v>45658.958333333336</v>
      </c>
      <c r="B2185" t="s">
        <v>23</v>
      </c>
      <c r="C2185">
        <v>432.59</v>
      </c>
      <c r="D2185">
        <v>89.51</v>
      </c>
      <c r="E2185" t="s">
        <v>14</v>
      </c>
      <c r="F2185">
        <v>66.069999999999993</v>
      </c>
      <c r="G2185" t="s">
        <v>10</v>
      </c>
      <c r="H2185" t="s">
        <v>11</v>
      </c>
    </row>
    <row r="2186" spans="1:8" x14ac:dyDescent="0.25">
      <c r="A2186" s="1">
        <v>45659</v>
      </c>
      <c r="B2186" t="s">
        <v>23</v>
      </c>
      <c r="C2186">
        <v>455.66</v>
      </c>
      <c r="D2186">
        <v>28.13</v>
      </c>
      <c r="E2186" t="s">
        <v>9</v>
      </c>
      <c r="F2186">
        <v>51.17</v>
      </c>
      <c r="G2186" t="s">
        <v>10</v>
      </c>
      <c r="H2186" t="s">
        <v>11</v>
      </c>
    </row>
    <row r="2187" spans="1:8" x14ac:dyDescent="0.25">
      <c r="A2187" s="1">
        <v>45659.041666666664</v>
      </c>
      <c r="B2187" t="s">
        <v>23</v>
      </c>
      <c r="C2187">
        <v>329.51</v>
      </c>
      <c r="D2187">
        <v>33.06</v>
      </c>
      <c r="E2187" t="s">
        <v>9</v>
      </c>
      <c r="F2187">
        <v>63.45</v>
      </c>
      <c r="G2187" t="s">
        <v>10</v>
      </c>
      <c r="H2187" t="s">
        <v>13</v>
      </c>
    </row>
    <row r="2188" spans="1:8" x14ac:dyDescent="0.25">
      <c r="A2188" s="1">
        <v>45659.083333333336</v>
      </c>
      <c r="B2188" t="s">
        <v>23</v>
      </c>
      <c r="C2188">
        <v>373.84</v>
      </c>
      <c r="D2188">
        <v>15.8</v>
      </c>
      <c r="E2188" t="s">
        <v>9</v>
      </c>
      <c r="F2188">
        <v>63.89</v>
      </c>
      <c r="G2188" t="s">
        <v>10</v>
      </c>
      <c r="H2188" t="s">
        <v>11</v>
      </c>
    </row>
    <row r="2189" spans="1:8" x14ac:dyDescent="0.25">
      <c r="A2189" s="1">
        <v>45659.125</v>
      </c>
      <c r="B2189" t="s">
        <v>23</v>
      </c>
      <c r="C2189">
        <v>155.47999999999999</v>
      </c>
      <c r="D2189">
        <v>57.13</v>
      </c>
      <c r="E2189" t="s">
        <v>9</v>
      </c>
      <c r="F2189">
        <v>36.85</v>
      </c>
      <c r="G2189" t="s">
        <v>10</v>
      </c>
      <c r="H2189" t="s">
        <v>12</v>
      </c>
    </row>
    <row r="2190" spans="1:8" x14ac:dyDescent="0.25">
      <c r="A2190" s="1">
        <v>45659.166666666664</v>
      </c>
      <c r="B2190" t="s">
        <v>23</v>
      </c>
      <c r="C2190">
        <v>50.6</v>
      </c>
      <c r="D2190">
        <v>40.229999999999997</v>
      </c>
      <c r="E2190" t="s">
        <v>9</v>
      </c>
      <c r="F2190">
        <v>43.2</v>
      </c>
      <c r="G2190" t="s">
        <v>10</v>
      </c>
      <c r="H2190" t="s">
        <v>11</v>
      </c>
    </row>
    <row r="2191" spans="1:8" x14ac:dyDescent="0.25">
      <c r="A2191" s="1">
        <v>45659.208333333336</v>
      </c>
      <c r="B2191" t="s">
        <v>23</v>
      </c>
      <c r="C2191">
        <v>220.75</v>
      </c>
      <c r="D2191">
        <v>81.900000000000006</v>
      </c>
      <c r="E2191" t="s">
        <v>9</v>
      </c>
      <c r="F2191">
        <v>48.79</v>
      </c>
      <c r="G2191" t="s">
        <v>10</v>
      </c>
      <c r="H2191" t="s">
        <v>13</v>
      </c>
    </row>
    <row r="2192" spans="1:8" x14ac:dyDescent="0.25">
      <c r="A2192" s="1">
        <v>45659.25</v>
      </c>
      <c r="B2192" t="s">
        <v>23</v>
      </c>
      <c r="C2192">
        <v>282.56</v>
      </c>
      <c r="D2192">
        <v>31.3</v>
      </c>
      <c r="E2192" t="s">
        <v>9</v>
      </c>
      <c r="F2192">
        <v>62.19</v>
      </c>
      <c r="G2192" t="s">
        <v>10</v>
      </c>
      <c r="H2192" t="s">
        <v>11</v>
      </c>
    </row>
    <row r="2193" spans="1:8" x14ac:dyDescent="0.25">
      <c r="A2193" s="1">
        <v>45659.291666666664</v>
      </c>
      <c r="B2193" t="s">
        <v>23</v>
      </c>
      <c r="C2193">
        <v>155.58000000000001</v>
      </c>
      <c r="D2193">
        <v>35.26</v>
      </c>
      <c r="E2193" t="s">
        <v>9</v>
      </c>
      <c r="F2193">
        <v>72.239999999999995</v>
      </c>
      <c r="G2193" t="s">
        <v>10</v>
      </c>
      <c r="H2193" t="s">
        <v>13</v>
      </c>
    </row>
    <row r="2194" spans="1:8" x14ac:dyDescent="0.25">
      <c r="A2194" s="1">
        <v>45659.333333333336</v>
      </c>
      <c r="B2194" t="s">
        <v>23</v>
      </c>
      <c r="C2194">
        <v>467.27</v>
      </c>
      <c r="D2194">
        <v>89.49</v>
      </c>
      <c r="E2194" t="s">
        <v>14</v>
      </c>
      <c r="F2194">
        <v>60.76</v>
      </c>
      <c r="G2194" t="s">
        <v>10</v>
      </c>
      <c r="H2194" t="s">
        <v>11</v>
      </c>
    </row>
    <row r="2195" spans="1:8" x14ac:dyDescent="0.25">
      <c r="A2195" s="1">
        <v>45659.375</v>
      </c>
      <c r="B2195" t="s">
        <v>23</v>
      </c>
      <c r="C2195">
        <v>355.48</v>
      </c>
      <c r="D2195">
        <v>74.55</v>
      </c>
      <c r="E2195" t="s">
        <v>9</v>
      </c>
      <c r="F2195">
        <v>36.92</v>
      </c>
      <c r="G2195" t="s">
        <v>10</v>
      </c>
      <c r="H2195" t="s">
        <v>11</v>
      </c>
    </row>
    <row r="2196" spans="1:8" x14ac:dyDescent="0.25">
      <c r="A2196" s="1">
        <v>45659.416666666664</v>
      </c>
      <c r="B2196" t="s">
        <v>23</v>
      </c>
      <c r="C2196">
        <v>275.04000000000002</v>
      </c>
      <c r="D2196">
        <v>22.37</v>
      </c>
      <c r="E2196" t="s">
        <v>9</v>
      </c>
      <c r="F2196">
        <v>41.86</v>
      </c>
      <c r="G2196" t="s">
        <v>10</v>
      </c>
      <c r="H2196" t="s">
        <v>12</v>
      </c>
    </row>
    <row r="2197" spans="1:8" x14ac:dyDescent="0.25">
      <c r="A2197" s="1">
        <v>45659.458333333336</v>
      </c>
      <c r="B2197" t="s">
        <v>23</v>
      </c>
      <c r="C2197">
        <v>246.78</v>
      </c>
      <c r="D2197">
        <v>73.290000000000006</v>
      </c>
      <c r="E2197" t="s">
        <v>9</v>
      </c>
      <c r="F2197">
        <v>71</v>
      </c>
      <c r="G2197" t="s">
        <v>10</v>
      </c>
      <c r="H2197" t="s">
        <v>13</v>
      </c>
    </row>
    <row r="2198" spans="1:8" x14ac:dyDescent="0.25">
      <c r="A2198" s="1">
        <v>45659.5</v>
      </c>
      <c r="B2198" t="s">
        <v>23</v>
      </c>
      <c r="C2198">
        <v>202.56</v>
      </c>
      <c r="D2198">
        <v>60.28</v>
      </c>
      <c r="E2198" t="s">
        <v>9</v>
      </c>
      <c r="F2198">
        <v>56.84</v>
      </c>
      <c r="G2198" t="s">
        <v>10</v>
      </c>
      <c r="H2198" t="s">
        <v>13</v>
      </c>
    </row>
    <row r="2199" spans="1:8" x14ac:dyDescent="0.25">
      <c r="A2199" s="1">
        <v>45659.541666666664</v>
      </c>
      <c r="B2199" t="s">
        <v>23</v>
      </c>
      <c r="C2199">
        <v>72.760000000000005</v>
      </c>
      <c r="D2199">
        <v>53.96</v>
      </c>
      <c r="E2199" t="s">
        <v>9</v>
      </c>
      <c r="F2199">
        <v>47.76</v>
      </c>
      <c r="G2199" t="s">
        <v>10</v>
      </c>
      <c r="H2199" t="s">
        <v>13</v>
      </c>
    </row>
    <row r="2200" spans="1:8" x14ac:dyDescent="0.25">
      <c r="A2200" s="1">
        <v>45659.583333333336</v>
      </c>
      <c r="B2200" t="s">
        <v>23</v>
      </c>
      <c r="C2200">
        <v>424.52</v>
      </c>
      <c r="D2200">
        <v>51.21</v>
      </c>
      <c r="E2200" t="s">
        <v>9</v>
      </c>
      <c r="F2200">
        <v>70.77</v>
      </c>
      <c r="G2200" t="s">
        <v>10</v>
      </c>
      <c r="H2200" t="s">
        <v>12</v>
      </c>
    </row>
    <row r="2201" spans="1:8" x14ac:dyDescent="0.25">
      <c r="A2201" s="1">
        <v>45659.625</v>
      </c>
      <c r="B2201" t="s">
        <v>23</v>
      </c>
      <c r="C2201">
        <v>279.45</v>
      </c>
      <c r="D2201">
        <v>83.91</v>
      </c>
      <c r="E2201" t="s">
        <v>9</v>
      </c>
      <c r="F2201">
        <v>55</v>
      </c>
      <c r="G2201" t="s">
        <v>10</v>
      </c>
      <c r="H2201" t="s">
        <v>13</v>
      </c>
    </row>
    <row r="2202" spans="1:8" x14ac:dyDescent="0.25">
      <c r="A2202" s="1">
        <v>45659.666666666664</v>
      </c>
      <c r="B2202" t="s">
        <v>23</v>
      </c>
      <c r="C2202">
        <v>472.5</v>
      </c>
      <c r="D2202">
        <v>77.22</v>
      </c>
      <c r="E2202" t="s">
        <v>9</v>
      </c>
      <c r="F2202">
        <v>85.27</v>
      </c>
      <c r="G2202" t="s">
        <v>10</v>
      </c>
      <c r="H2202" t="s">
        <v>13</v>
      </c>
    </row>
    <row r="2203" spans="1:8" x14ac:dyDescent="0.25">
      <c r="A2203" s="1">
        <v>45659.708333333336</v>
      </c>
      <c r="B2203" t="s">
        <v>23</v>
      </c>
      <c r="C2203">
        <v>210.45</v>
      </c>
      <c r="D2203">
        <v>81.459999999999994</v>
      </c>
      <c r="E2203" t="s">
        <v>9</v>
      </c>
      <c r="F2203">
        <v>32.659999999999997</v>
      </c>
      <c r="G2203" t="s">
        <v>10</v>
      </c>
      <c r="H2203" t="s">
        <v>11</v>
      </c>
    </row>
    <row r="2204" spans="1:8" x14ac:dyDescent="0.25">
      <c r="A2204" s="1">
        <v>45659.75</v>
      </c>
      <c r="B2204" t="s">
        <v>23</v>
      </c>
      <c r="C2204">
        <v>414.44</v>
      </c>
      <c r="D2204">
        <v>93.72</v>
      </c>
      <c r="E2204" t="s">
        <v>14</v>
      </c>
      <c r="F2204">
        <v>79.44</v>
      </c>
      <c r="G2204" t="s">
        <v>10</v>
      </c>
      <c r="H2204" t="s">
        <v>11</v>
      </c>
    </row>
    <row r="2205" spans="1:8" x14ac:dyDescent="0.25">
      <c r="A2205" s="1">
        <v>45659.791666666664</v>
      </c>
      <c r="B2205" t="s">
        <v>23</v>
      </c>
      <c r="C2205">
        <v>292.98</v>
      </c>
      <c r="D2205">
        <v>30</v>
      </c>
      <c r="E2205" t="s">
        <v>9</v>
      </c>
      <c r="F2205">
        <v>55.84</v>
      </c>
      <c r="G2205" t="s">
        <v>10</v>
      </c>
      <c r="H2205" t="s">
        <v>13</v>
      </c>
    </row>
    <row r="2206" spans="1:8" x14ac:dyDescent="0.25">
      <c r="A2206" s="1">
        <v>45659.833333333336</v>
      </c>
      <c r="B2206" t="s">
        <v>23</v>
      </c>
      <c r="C2206">
        <v>350.14</v>
      </c>
      <c r="D2206">
        <v>50.22</v>
      </c>
      <c r="E2206" t="s">
        <v>9</v>
      </c>
      <c r="F2206">
        <v>86.04</v>
      </c>
      <c r="G2206" t="s">
        <v>10</v>
      </c>
      <c r="H2206" t="s">
        <v>11</v>
      </c>
    </row>
    <row r="2207" spans="1:8" x14ac:dyDescent="0.25">
      <c r="A2207" s="1">
        <v>45659.875</v>
      </c>
      <c r="B2207" t="s">
        <v>23</v>
      </c>
      <c r="C2207">
        <v>339.91</v>
      </c>
      <c r="D2207">
        <v>15.66</v>
      </c>
      <c r="E2207" t="s">
        <v>9</v>
      </c>
      <c r="F2207">
        <v>73.48</v>
      </c>
      <c r="G2207" t="s">
        <v>10</v>
      </c>
      <c r="H2207" t="s">
        <v>11</v>
      </c>
    </row>
    <row r="2208" spans="1:8" x14ac:dyDescent="0.25">
      <c r="A2208" s="1">
        <v>45659.916666666664</v>
      </c>
      <c r="B2208" t="s">
        <v>23</v>
      </c>
      <c r="C2208">
        <v>498.82</v>
      </c>
      <c r="D2208">
        <v>84.69</v>
      </c>
      <c r="E2208" t="s">
        <v>9</v>
      </c>
      <c r="F2208">
        <v>47.84</v>
      </c>
      <c r="G2208" t="s">
        <v>10</v>
      </c>
      <c r="H2208" t="s">
        <v>12</v>
      </c>
    </row>
    <row r="2209" spans="1:8" x14ac:dyDescent="0.25">
      <c r="A2209" s="1">
        <v>45659.958333333336</v>
      </c>
      <c r="B2209" t="s">
        <v>23</v>
      </c>
      <c r="C2209">
        <v>265.41000000000003</v>
      </c>
      <c r="D2209">
        <v>46.89</v>
      </c>
      <c r="E2209" t="s">
        <v>9</v>
      </c>
      <c r="F2209">
        <v>82.39</v>
      </c>
      <c r="G2209" t="s">
        <v>10</v>
      </c>
      <c r="H2209" t="s">
        <v>11</v>
      </c>
    </row>
    <row r="2210" spans="1:8" x14ac:dyDescent="0.25">
      <c r="A2210" s="1">
        <v>45660</v>
      </c>
      <c r="B2210" t="s">
        <v>23</v>
      </c>
      <c r="C2210">
        <v>343.44</v>
      </c>
      <c r="D2210">
        <v>73.739999999999995</v>
      </c>
      <c r="E2210" t="s">
        <v>9</v>
      </c>
      <c r="F2210">
        <v>30.16</v>
      </c>
      <c r="G2210" t="s">
        <v>10</v>
      </c>
      <c r="H2210" t="s">
        <v>11</v>
      </c>
    </row>
    <row r="2211" spans="1:8" x14ac:dyDescent="0.25">
      <c r="A2211" s="1">
        <v>45660.041666666664</v>
      </c>
      <c r="B2211" t="s">
        <v>23</v>
      </c>
      <c r="C2211">
        <v>314.82</v>
      </c>
      <c r="D2211">
        <v>57.51</v>
      </c>
      <c r="E2211" t="s">
        <v>9</v>
      </c>
      <c r="F2211">
        <v>77.150000000000006</v>
      </c>
      <c r="G2211" t="s">
        <v>10</v>
      </c>
      <c r="H2211" t="s">
        <v>11</v>
      </c>
    </row>
    <row r="2212" spans="1:8" x14ac:dyDescent="0.25">
      <c r="A2212" s="1">
        <v>45660.083333333336</v>
      </c>
      <c r="B2212" t="s">
        <v>23</v>
      </c>
      <c r="C2212">
        <v>328.64</v>
      </c>
      <c r="D2212">
        <v>51.1</v>
      </c>
      <c r="E2212" t="s">
        <v>9</v>
      </c>
      <c r="F2212">
        <v>64.03</v>
      </c>
      <c r="G2212" t="s">
        <v>10</v>
      </c>
      <c r="H2212" t="s">
        <v>11</v>
      </c>
    </row>
    <row r="2213" spans="1:8" x14ac:dyDescent="0.25">
      <c r="A2213" s="1">
        <v>45660.125</v>
      </c>
      <c r="B2213" t="s">
        <v>23</v>
      </c>
      <c r="C2213">
        <v>130.69</v>
      </c>
      <c r="D2213">
        <v>79.86</v>
      </c>
      <c r="E2213" t="s">
        <v>9</v>
      </c>
      <c r="F2213">
        <v>86.43</v>
      </c>
      <c r="G2213" t="s">
        <v>10</v>
      </c>
      <c r="H2213" t="s">
        <v>11</v>
      </c>
    </row>
    <row r="2214" spans="1:8" x14ac:dyDescent="0.25">
      <c r="A2214" s="1">
        <v>45660.166666666664</v>
      </c>
      <c r="B2214" t="s">
        <v>23</v>
      </c>
      <c r="C2214">
        <v>87.71</v>
      </c>
      <c r="D2214">
        <v>27.01</v>
      </c>
      <c r="E2214" t="s">
        <v>9</v>
      </c>
      <c r="F2214">
        <v>73.989999999999995</v>
      </c>
      <c r="G2214" t="s">
        <v>10</v>
      </c>
      <c r="H2214" t="s">
        <v>13</v>
      </c>
    </row>
    <row r="2215" spans="1:8" x14ac:dyDescent="0.25">
      <c r="A2215" s="1">
        <v>45660.208333333336</v>
      </c>
      <c r="B2215" t="s">
        <v>23</v>
      </c>
      <c r="C2215">
        <v>272.33999999999997</v>
      </c>
      <c r="D2215">
        <v>43.21</v>
      </c>
      <c r="E2215" t="s">
        <v>9</v>
      </c>
      <c r="F2215">
        <v>82.35</v>
      </c>
      <c r="G2215" t="s">
        <v>10</v>
      </c>
      <c r="H2215" t="s">
        <v>13</v>
      </c>
    </row>
    <row r="2216" spans="1:8" x14ac:dyDescent="0.25">
      <c r="A2216" s="1">
        <v>45660.25</v>
      </c>
      <c r="B2216" t="s">
        <v>23</v>
      </c>
      <c r="C2216">
        <v>332.11</v>
      </c>
      <c r="D2216">
        <v>28.08</v>
      </c>
      <c r="E2216" t="s">
        <v>9</v>
      </c>
      <c r="F2216">
        <v>33.83</v>
      </c>
      <c r="G2216" t="s">
        <v>10</v>
      </c>
      <c r="H2216" t="s">
        <v>12</v>
      </c>
    </row>
    <row r="2217" spans="1:8" x14ac:dyDescent="0.25">
      <c r="A2217" s="1">
        <v>45660.291666666664</v>
      </c>
      <c r="B2217" t="s">
        <v>23</v>
      </c>
      <c r="C2217">
        <v>232.03</v>
      </c>
      <c r="D2217">
        <v>58.86</v>
      </c>
      <c r="E2217" t="s">
        <v>9</v>
      </c>
      <c r="F2217">
        <v>86.28</v>
      </c>
      <c r="G2217" t="s">
        <v>10</v>
      </c>
      <c r="H2217" t="s">
        <v>12</v>
      </c>
    </row>
    <row r="2218" spans="1:8" x14ac:dyDescent="0.25">
      <c r="A2218" s="1">
        <v>45660.333333333336</v>
      </c>
      <c r="B2218" t="s">
        <v>23</v>
      </c>
      <c r="C2218">
        <v>297.95</v>
      </c>
      <c r="D2218">
        <v>76.41</v>
      </c>
      <c r="E2218" t="s">
        <v>9</v>
      </c>
      <c r="F2218">
        <v>52.25</v>
      </c>
      <c r="G2218" t="s">
        <v>10</v>
      </c>
      <c r="H2218" t="s">
        <v>11</v>
      </c>
    </row>
    <row r="2219" spans="1:8" x14ac:dyDescent="0.25">
      <c r="A2219" s="1">
        <v>45660.375</v>
      </c>
      <c r="B2219" t="s">
        <v>23</v>
      </c>
      <c r="C2219">
        <v>53.26</v>
      </c>
      <c r="D2219">
        <v>94.03</v>
      </c>
      <c r="E2219" t="s">
        <v>14</v>
      </c>
      <c r="F2219">
        <v>69.53</v>
      </c>
      <c r="G2219" t="s">
        <v>10</v>
      </c>
      <c r="H2219" t="s">
        <v>12</v>
      </c>
    </row>
    <row r="2220" spans="1:8" x14ac:dyDescent="0.25">
      <c r="A2220" s="1">
        <v>45660.416666666664</v>
      </c>
      <c r="B2220" t="s">
        <v>23</v>
      </c>
      <c r="C2220">
        <v>256.68</v>
      </c>
      <c r="D2220">
        <v>59.81</v>
      </c>
      <c r="E2220" t="s">
        <v>9</v>
      </c>
      <c r="F2220">
        <v>71.64</v>
      </c>
      <c r="G2220" t="s">
        <v>10</v>
      </c>
      <c r="H2220" t="s">
        <v>11</v>
      </c>
    </row>
    <row r="2221" spans="1:8" x14ac:dyDescent="0.25">
      <c r="A2221" s="1">
        <v>45660.458333333336</v>
      </c>
      <c r="B2221" t="s">
        <v>23</v>
      </c>
      <c r="C2221">
        <v>447.27</v>
      </c>
      <c r="D2221">
        <v>28.92</v>
      </c>
      <c r="E2221" t="s">
        <v>9</v>
      </c>
      <c r="F2221">
        <v>80.42</v>
      </c>
      <c r="G2221" t="s">
        <v>10</v>
      </c>
      <c r="H2221" t="s">
        <v>11</v>
      </c>
    </row>
    <row r="2222" spans="1:8" x14ac:dyDescent="0.25">
      <c r="A2222" s="1">
        <v>45660.5</v>
      </c>
      <c r="B2222" t="s">
        <v>23</v>
      </c>
      <c r="C2222">
        <v>336.78</v>
      </c>
      <c r="D2222">
        <v>77.81</v>
      </c>
      <c r="E2222" t="s">
        <v>9</v>
      </c>
      <c r="F2222">
        <v>71.989999999999995</v>
      </c>
      <c r="G2222" t="s">
        <v>10</v>
      </c>
      <c r="H2222" t="s">
        <v>11</v>
      </c>
    </row>
    <row r="2223" spans="1:8" x14ac:dyDescent="0.25">
      <c r="A2223" s="1">
        <v>45660.541666666664</v>
      </c>
      <c r="B2223" t="s">
        <v>23</v>
      </c>
      <c r="C2223">
        <v>462.79</v>
      </c>
      <c r="D2223">
        <v>51.21</v>
      </c>
      <c r="E2223" t="s">
        <v>9</v>
      </c>
      <c r="F2223">
        <v>34.659999999999997</v>
      </c>
      <c r="G2223" t="s">
        <v>10</v>
      </c>
      <c r="H2223" t="s">
        <v>12</v>
      </c>
    </row>
    <row r="2224" spans="1:8" x14ac:dyDescent="0.25">
      <c r="A2224" s="1">
        <v>45660.583333333336</v>
      </c>
      <c r="B2224" t="s">
        <v>23</v>
      </c>
      <c r="C2224">
        <v>366</v>
      </c>
      <c r="D2224">
        <v>52.63</v>
      </c>
      <c r="E2224" t="s">
        <v>9</v>
      </c>
      <c r="F2224">
        <v>48.73</v>
      </c>
      <c r="G2224" t="s">
        <v>10</v>
      </c>
      <c r="H2224" t="s">
        <v>11</v>
      </c>
    </row>
    <row r="2225" spans="1:8" x14ac:dyDescent="0.25">
      <c r="A2225" s="1">
        <v>45660.625</v>
      </c>
      <c r="B2225" t="s">
        <v>23</v>
      </c>
      <c r="C2225">
        <v>149.06</v>
      </c>
      <c r="D2225">
        <v>81.75</v>
      </c>
      <c r="E2225" t="s">
        <v>9</v>
      </c>
      <c r="F2225">
        <v>71.400000000000006</v>
      </c>
      <c r="G2225" t="s">
        <v>10</v>
      </c>
      <c r="H2225" t="s">
        <v>12</v>
      </c>
    </row>
    <row r="2226" spans="1:8" x14ac:dyDescent="0.25">
      <c r="A2226" s="1">
        <v>45660.666666666664</v>
      </c>
      <c r="B2226" t="s">
        <v>23</v>
      </c>
      <c r="C2226">
        <v>222.78</v>
      </c>
      <c r="D2226">
        <v>76.44</v>
      </c>
      <c r="E2226" t="s">
        <v>9</v>
      </c>
      <c r="F2226">
        <v>38.57</v>
      </c>
      <c r="G2226" t="s">
        <v>10</v>
      </c>
      <c r="H2226" t="s">
        <v>13</v>
      </c>
    </row>
    <row r="2227" spans="1:8" x14ac:dyDescent="0.25">
      <c r="A2227" s="1">
        <v>45660.708333333336</v>
      </c>
      <c r="B2227" t="s">
        <v>23</v>
      </c>
      <c r="C2227">
        <v>168.11</v>
      </c>
      <c r="D2227">
        <v>40.619999999999997</v>
      </c>
      <c r="E2227" t="s">
        <v>9</v>
      </c>
      <c r="F2227">
        <v>36.47</v>
      </c>
      <c r="G2227" t="s">
        <v>10</v>
      </c>
      <c r="H2227" t="s">
        <v>11</v>
      </c>
    </row>
    <row r="2228" spans="1:8" x14ac:dyDescent="0.25">
      <c r="A2228" s="1">
        <v>45660.75</v>
      </c>
      <c r="B2228" t="s">
        <v>23</v>
      </c>
      <c r="C2228">
        <v>456.27</v>
      </c>
      <c r="D2228">
        <v>36.36</v>
      </c>
      <c r="E2228" t="s">
        <v>9</v>
      </c>
      <c r="F2228">
        <v>55.26</v>
      </c>
      <c r="G2228" t="s">
        <v>10</v>
      </c>
      <c r="H2228" t="s">
        <v>13</v>
      </c>
    </row>
    <row r="2229" spans="1:8" x14ac:dyDescent="0.25">
      <c r="A2229" s="1">
        <v>45660.791666666664</v>
      </c>
      <c r="B2229" t="s">
        <v>23</v>
      </c>
      <c r="C2229">
        <v>481.97</v>
      </c>
      <c r="D2229">
        <v>41.14</v>
      </c>
      <c r="E2229" t="s">
        <v>9</v>
      </c>
      <c r="F2229">
        <v>76.709999999999994</v>
      </c>
      <c r="G2229" t="s">
        <v>10</v>
      </c>
      <c r="H2229" t="s">
        <v>13</v>
      </c>
    </row>
    <row r="2230" spans="1:8" x14ac:dyDescent="0.25">
      <c r="A2230" s="1">
        <v>45660.833333333336</v>
      </c>
      <c r="B2230" t="s">
        <v>23</v>
      </c>
      <c r="C2230">
        <v>396.09</v>
      </c>
      <c r="D2230">
        <v>45.91</v>
      </c>
      <c r="E2230" t="s">
        <v>9</v>
      </c>
      <c r="F2230">
        <v>73.77</v>
      </c>
      <c r="G2230" t="s">
        <v>10</v>
      </c>
      <c r="H2230" t="s">
        <v>11</v>
      </c>
    </row>
    <row r="2231" spans="1:8" x14ac:dyDescent="0.25">
      <c r="A2231" s="1">
        <v>45660.875</v>
      </c>
      <c r="B2231" t="s">
        <v>23</v>
      </c>
      <c r="C2231">
        <v>460.8</v>
      </c>
      <c r="D2231">
        <v>75.150000000000006</v>
      </c>
      <c r="E2231" t="s">
        <v>9</v>
      </c>
      <c r="F2231">
        <v>43.63</v>
      </c>
      <c r="G2231" t="s">
        <v>10</v>
      </c>
      <c r="H2231" t="s">
        <v>12</v>
      </c>
    </row>
    <row r="2232" spans="1:8" x14ac:dyDescent="0.25">
      <c r="A2232" s="1">
        <v>45660.916666666664</v>
      </c>
      <c r="B2232" t="s">
        <v>23</v>
      </c>
      <c r="C2232">
        <v>224.41</v>
      </c>
      <c r="D2232">
        <v>60.67</v>
      </c>
      <c r="E2232" t="s">
        <v>9</v>
      </c>
      <c r="F2232">
        <v>79.89</v>
      </c>
      <c r="G2232" t="s">
        <v>10</v>
      </c>
      <c r="H2232" t="s">
        <v>11</v>
      </c>
    </row>
    <row r="2233" spans="1:8" x14ac:dyDescent="0.25">
      <c r="A2233" s="1">
        <v>45660.958333333336</v>
      </c>
      <c r="B2233" t="s">
        <v>23</v>
      </c>
      <c r="C2233">
        <v>341.41</v>
      </c>
      <c r="D2233">
        <v>14.29</v>
      </c>
      <c r="E2233" t="s">
        <v>9</v>
      </c>
      <c r="F2233">
        <v>45.22</v>
      </c>
      <c r="G2233" t="s">
        <v>10</v>
      </c>
      <c r="H2233" t="s">
        <v>12</v>
      </c>
    </row>
    <row r="2234" spans="1:8" x14ac:dyDescent="0.25">
      <c r="A2234" s="1">
        <v>45661</v>
      </c>
      <c r="B2234" t="s">
        <v>23</v>
      </c>
      <c r="C2234">
        <v>127.39</v>
      </c>
      <c r="D2234">
        <v>48.07</v>
      </c>
      <c r="E2234" t="s">
        <v>9</v>
      </c>
      <c r="F2234">
        <v>79.97</v>
      </c>
      <c r="G2234" t="s">
        <v>10</v>
      </c>
      <c r="H2234" t="s">
        <v>12</v>
      </c>
    </row>
    <row r="2235" spans="1:8" x14ac:dyDescent="0.25">
      <c r="A2235" s="1">
        <v>45661.041666666664</v>
      </c>
      <c r="B2235" t="s">
        <v>23</v>
      </c>
      <c r="C2235">
        <v>294.58999999999997</v>
      </c>
      <c r="D2235">
        <v>56.59</v>
      </c>
      <c r="E2235" t="s">
        <v>9</v>
      </c>
      <c r="F2235">
        <v>47.52</v>
      </c>
      <c r="G2235" t="s">
        <v>10</v>
      </c>
      <c r="H2235" t="s">
        <v>12</v>
      </c>
    </row>
    <row r="2236" spans="1:8" x14ac:dyDescent="0.25">
      <c r="A2236" s="1">
        <v>45661.083333333336</v>
      </c>
      <c r="B2236" t="s">
        <v>23</v>
      </c>
      <c r="C2236">
        <v>62.37</v>
      </c>
      <c r="D2236">
        <v>19.239999999999998</v>
      </c>
      <c r="E2236" t="s">
        <v>9</v>
      </c>
      <c r="F2236">
        <v>74.03</v>
      </c>
      <c r="G2236" t="s">
        <v>10</v>
      </c>
      <c r="H2236" t="s">
        <v>11</v>
      </c>
    </row>
    <row r="2237" spans="1:8" x14ac:dyDescent="0.25">
      <c r="A2237" s="1">
        <v>45661.125</v>
      </c>
      <c r="B2237" t="s">
        <v>23</v>
      </c>
      <c r="C2237">
        <v>346</v>
      </c>
      <c r="D2237">
        <v>61.07</v>
      </c>
      <c r="E2237" t="s">
        <v>9</v>
      </c>
      <c r="F2237">
        <v>61.79</v>
      </c>
      <c r="G2237" t="s">
        <v>10</v>
      </c>
      <c r="H2237" t="s">
        <v>11</v>
      </c>
    </row>
    <row r="2238" spans="1:8" x14ac:dyDescent="0.25">
      <c r="A2238" s="1">
        <v>45661.166666666664</v>
      </c>
      <c r="B2238" t="s">
        <v>23</v>
      </c>
      <c r="C2238">
        <v>185.16</v>
      </c>
      <c r="D2238">
        <v>56.7</v>
      </c>
      <c r="E2238" t="s">
        <v>9</v>
      </c>
      <c r="F2238">
        <v>57.94</v>
      </c>
      <c r="G2238" t="s">
        <v>10</v>
      </c>
      <c r="H2238" t="s">
        <v>12</v>
      </c>
    </row>
    <row r="2239" spans="1:8" x14ac:dyDescent="0.25">
      <c r="A2239" s="1">
        <v>45661.208333333336</v>
      </c>
      <c r="B2239" t="s">
        <v>23</v>
      </c>
      <c r="C2239">
        <v>162.74</v>
      </c>
      <c r="D2239">
        <v>41.04</v>
      </c>
      <c r="E2239" t="s">
        <v>9</v>
      </c>
      <c r="F2239">
        <v>58.28</v>
      </c>
      <c r="G2239" t="s">
        <v>10</v>
      </c>
      <c r="H2239" t="s">
        <v>11</v>
      </c>
    </row>
    <row r="2240" spans="1:8" x14ac:dyDescent="0.25">
      <c r="A2240" s="1">
        <v>45661.25</v>
      </c>
      <c r="B2240" t="s">
        <v>23</v>
      </c>
      <c r="C2240">
        <v>135.63999999999999</v>
      </c>
      <c r="D2240">
        <v>84.97</v>
      </c>
      <c r="E2240" t="s">
        <v>9</v>
      </c>
      <c r="F2240">
        <v>64.34</v>
      </c>
      <c r="G2240" t="s">
        <v>10</v>
      </c>
      <c r="H2240" t="s">
        <v>13</v>
      </c>
    </row>
    <row r="2241" spans="1:8" x14ac:dyDescent="0.25">
      <c r="A2241" s="1">
        <v>45661.291666666664</v>
      </c>
      <c r="B2241" t="s">
        <v>23</v>
      </c>
      <c r="C2241">
        <v>439.16</v>
      </c>
      <c r="D2241">
        <v>70.27</v>
      </c>
      <c r="E2241" t="s">
        <v>9</v>
      </c>
      <c r="F2241">
        <v>30.49</v>
      </c>
      <c r="G2241" t="s">
        <v>10</v>
      </c>
      <c r="H2241" t="s">
        <v>13</v>
      </c>
    </row>
    <row r="2242" spans="1:8" x14ac:dyDescent="0.25">
      <c r="A2242" s="1">
        <v>45661.333333333336</v>
      </c>
      <c r="B2242" t="s">
        <v>23</v>
      </c>
      <c r="C2242">
        <v>439.32</v>
      </c>
      <c r="D2242">
        <v>60.94</v>
      </c>
      <c r="E2242" t="s">
        <v>9</v>
      </c>
      <c r="F2242">
        <v>36.68</v>
      </c>
      <c r="G2242" t="s">
        <v>10</v>
      </c>
      <c r="H2242" t="s">
        <v>13</v>
      </c>
    </row>
    <row r="2243" spans="1:8" x14ac:dyDescent="0.25">
      <c r="A2243" s="1">
        <v>45661.375</v>
      </c>
      <c r="B2243" t="s">
        <v>23</v>
      </c>
      <c r="C2243">
        <v>289.04000000000002</v>
      </c>
      <c r="D2243">
        <v>69.31</v>
      </c>
      <c r="E2243" t="s">
        <v>9</v>
      </c>
      <c r="F2243">
        <v>44.24</v>
      </c>
      <c r="G2243" t="s">
        <v>10</v>
      </c>
      <c r="H2243" t="s">
        <v>12</v>
      </c>
    </row>
    <row r="2244" spans="1:8" x14ac:dyDescent="0.25">
      <c r="A2244" s="1">
        <v>45661.416666666664</v>
      </c>
      <c r="B2244" t="s">
        <v>23</v>
      </c>
      <c r="C2244">
        <v>475.05</v>
      </c>
      <c r="D2244">
        <v>49.98</v>
      </c>
      <c r="E2244" t="s">
        <v>9</v>
      </c>
      <c r="F2244">
        <v>69.69</v>
      </c>
      <c r="G2244" t="s">
        <v>10</v>
      </c>
      <c r="H2244" t="s">
        <v>11</v>
      </c>
    </row>
    <row r="2245" spans="1:8" x14ac:dyDescent="0.25">
      <c r="A2245" s="1">
        <v>45661.458333333336</v>
      </c>
      <c r="B2245" t="s">
        <v>23</v>
      </c>
      <c r="C2245">
        <v>250.45</v>
      </c>
      <c r="D2245">
        <v>71.69</v>
      </c>
      <c r="E2245" t="s">
        <v>9</v>
      </c>
      <c r="F2245">
        <v>52.55</v>
      </c>
      <c r="G2245" t="s">
        <v>10</v>
      </c>
      <c r="H2245" t="s">
        <v>13</v>
      </c>
    </row>
    <row r="2246" spans="1:8" x14ac:dyDescent="0.25">
      <c r="A2246" s="1">
        <v>45661.5</v>
      </c>
      <c r="B2246" t="s">
        <v>23</v>
      </c>
      <c r="C2246">
        <v>92.51</v>
      </c>
      <c r="D2246">
        <v>44.04</v>
      </c>
      <c r="E2246" t="s">
        <v>9</v>
      </c>
      <c r="F2246">
        <v>72.540000000000006</v>
      </c>
      <c r="G2246" t="s">
        <v>10</v>
      </c>
      <c r="H2246" t="s">
        <v>13</v>
      </c>
    </row>
    <row r="2247" spans="1:8" x14ac:dyDescent="0.25">
      <c r="A2247" s="1">
        <v>45661.541666666664</v>
      </c>
      <c r="B2247" t="s">
        <v>23</v>
      </c>
      <c r="C2247">
        <v>160.32</v>
      </c>
      <c r="D2247">
        <v>54.95</v>
      </c>
      <c r="E2247" t="s">
        <v>9</v>
      </c>
      <c r="F2247">
        <v>31.94</v>
      </c>
      <c r="G2247" t="s">
        <v>10</v>
      </c>
      <c r="H2247" t="s">
        <v>13</v>
      </c>
    </row>
    <row r="2248" spans="1:8" x14ac:dyDescent="0.25">
      <c r="A2248" s="1">
        <v>45661.583333333336</v>
      </c>
      <c r="B2248" t="s">
        <v>23</v>
      </c>
      <c r="C2248">
        <v>299.43</v>
      </c>
      <c r="D2248">
        <v>68.02</v>
      </c>
      <c r="E2248" t="s">
        <v>9</v>
      </c>
      <c r="F2248">
        <v>85.81</v>
      </c>
      <c r="G2248" t="s">
        <v>10</v>
      </c>
      <c r="H2248" t="s">
        <v>13</v>
      </c>
    </row>
    <row r="2249" spans="1:8" x14ac:dyDescent="0.25">
      <c r="A2249" s="1">
        <v>45661.625</v>
      </c>
      <c r="B2249" t="s">
        <v>23</v>
      </c>
      <c r="C2249">
        <v>194.2</v>
      </c>
      <c r="D2249">
        <v>30.09</v>
      </c>
      <c r="E2249" t="s">
        <v>9</v>
      </c>
      <c r="F2249">
        <v>81.28</v>
      </c>
      <c r="G2249" t="s">
        <v>10</v>
      </c>
      <c r="H2249" t="s">
        <v>12</v>
      </c>
    </row>
    <row r="2250" spans="1:8" x14ac:dyDescent="0.25">
      <c r="A2250" s="1">
        <v>45661.666666666664</v>
      </c>
      <c r="B2250" t="s">
        <v>23</v>
      </c>
      <c r="C2250">
        <v>386.41</v>
      </c>
      <c r="D2250">
        <v>73.17</v>
      </c>
      <c r="E2250" t="s">
        <v>9</v>
      </c>
      <c r="F2250">
        <v>32.78</v>
      </c>
      <c r="G2250" t="s">
        <v>10</v>
      </c>
      <c r="H2250" t="s">
        <v>12</v>
      </c>
    </row>
    <row r="2251" spans="1:8" x14ac:dyDescent="0.25">
      <c r="A2251" s="1">
        <v>45661.708333333336</v>
      </c>
      <c r="B2251" t="s">
        <v>23</v>
      </c>
      <c r="C2251">
        <v>105.88</v>
      </c>
      <c r="D2251">
        <v>90</v>
      </c>
      <c r="E2251" t="s">
        <v>14</v>
      </c>
      <c r="F2251">
        <v>87.98</v>
      </c>
      <c r="G2251" t="s">
        <v>10</v>
      </c>
      <c r="H2251" t="s">
        <v>12</v>
      </c>
    </row>
    <row r="2252" spans="1:8" x14ac:dyDescent="0.25">
      <c r="A2252" s="1">
        <v>45661.75</v>
      </c>
      <c r="B2252" t="s">
        <v>23</v>
      </c>
      <c r="C2252">
        <v>475.79</v>
      </c>
      <c r="D2252">
        <v>94.78</v>
      </c>
      <c r="E2252" t="s">
        <v>14</v>
      </c>
      <c r="F2252">
        <v>86.55</v>
      </c>
      <c r="G2252" t="s">
        <v>10</v>
      </c>
      <c r="H2252" t="s">
        <v>11</v>
      </c>
    </row>
    <row r="2253" spans="1:8" x14ac:dyDescent="0.25">
      <c r="A2253" s="1">
        <v>45661.791666666664</v>
      </c>
      <c r="B2253" t="s">
        <v>23</v>
      </c>
      <c r="C2253">
        <v>301.22000000000003</v>
      </c>
      <c r="D2253">
        <v>83.77</v>
      </c>
      <c r="E2253" t="s">
        <v>9</v>
      </c>
      <c r="F2253">
        <v>79.87</v>
      </c>
      <c r="G2253" t="s">
        <v>10</v>
      </c>
      <c r="H2253" t="s">
        <v>12</v>
      </c>
    </row>
    <row r="2254" spans="1:8" x14ac:dyDescent="0.25">
      <c r="A2254" s="1">
        <v>45661.833333333336</v>
      </c>
      <c r="B2254" t="s">
        <v>23</v>
      </c>
      <c r="C2254">
        <v>76.84</v>
      </c>
      <c r="D2254">
        <v>39.74</v>
      </c>
      <c r="E2254" t="s">
        <v>9</v>
      </c>
      <c r="F2254">
        <v>89.47</v>
      </c>
      <c r="G2254" t="s">
        <v>10</v>
      </c>
      <c r="H2254" t="s">
        <v>11</v>
      </c>
    </row>
    <row r="2255" spans="1:8" x14ac:dyDescent="0.25">
      <c r="A2255" s="1">
        <v>45661.875</v>
      </c>
      <c r="B2255" t="s">
        <v>23</v>
      </c>
      <c r="C2255">
        <v>231.92</v>
      </c>
      <c r="D2255">
        <v>45.9</v>
      </c>
      <c r="E2255" t="s">
        <v>9</v>
      </c>
      <c r="F2255">
        <v>48.17</v>
      </c>
      <c r="G2255" t="s">
        <v>10</v>
      </c>
      <c r="H2255" t="s">
        <v>12</v>
      </c>
    </row>
    <row r="2256" spans="1:8" x14ac:dyDescent="0.25">
      <c r="A2256" s="1">
        <v>45661.916666666664</v>
      </c>
      <c r="B2256" t="s">
        <v>23</v>
      </c>
      <c r="C2256">
        <v>134.16999999999999</v>
      </c>
      <c r="D2256">
        <v>84.06</v>
      </c>
      <c r="E2256" t="s">
        <v>9</v>
      </c>
      <c r="F2256">
        <v>53.43</v>
      </c>
      <c r="G2256" t="s">
        <v>10</v>
      </c>
      <c r="H2256" t="s">
        <v>11</v>
      </c>
    </row>
    <row r="2257" spans="1:8" x14ac:dyDescent="0.25">
      <c r="A2257" s="1">
        <v>45661.958333333336</v>
      </c>
      <c r="B2257" t="s">
        <v>23</v>
      </c>
      <c r="C2257">
        <v>425.41</v>
      </c>
      <c r="D2257">
        <v>38.64</v>
      </c>
      <c r="E2257" t="s">
        <v>9</v>
      </c>
      <c r="F2257">
        <v>58.14</v>
      </c>
      <c r="G2257" t="s">
        <v>10</v>
      </c>
      <c r="H2257" t="s">
        <v>13</v>
      </c>
    </row>
    <row r="2258" spans="1:8" x14ac:dyDescent="0.25">
      <c r="A2258" s="1">
        <v>45662</v>
      </c>
      <c r="B2258" t="s">
        <v>23</v>
      </c>
      <c r="C2258">
        <v>74.2</v>
      </c>
      <c r="D2258">
        <v>88.88</v>
      </c>
      <c r="E2258" t="s">
        <v>14</v>
      </c>
      <c r="F2258">
        <v>69.7</v>
      </c>
      <c r="G2258" t="s">
        <v>10</v>
      </c>
      <c r="H2258" t="s">
        <v>13</v>
      </c>
    </row>
    <row r="2259" spans="1:8" x14ac:dyDescent="0.25">
      <c r="A2259" s="1">
        <v>45662.041666666664</v>
      </c>
      <c r="B2259" t="s">
        <v>23</v>
      </c>
      <c r="C2259">
        <v>355.34</v>
      </c>
      <c r="D2259">
        <v>61.18</v>
      </c>
      <c r="E2259" t="s">
        <v>9</v>
      </c>
      <c r="F2259">
        <v>63.18</v>
      </c>
      <c r="G2259" t="s">
        <v>10</v>
      </c>
      <c r="H2259" t="s">
        <v>12</v>
      </c>
    </row>
    <row r="2260" spans="1:8" x14ac:dyDescent="0.25">
      <c r="A2260" s="1">
        <v>45662.083333333336</v>
      </c>
      <c r="B2260" t="s">
        <v>23</v>
      </c>
      <c r="C2260">
        <v>454.95</v>
      </c>
      <c r="D2260">
        <v>42.19</v>
      </c>
      <c r="E2260" t="s">
        <v>9</v>
      </c>
      <c r="F2260">
        <v>36.69</v>
      </c>
      <c r="G2260" t="s">
        <v>10</v>
      </c>
      <c r="H2260" t="s">
        <v>13</v>
      </c>
    </row>
    <row r="2261" spans="1:8" x14ac:dyDescent="0.25">
      <c r="A2261" s="1">
        <v>45662.125</v>
      </c>
      <c r="B2261" t="s">
        <v>23</v>
      </c>
      <c r="C2261">
        <v>377.76</v>
      </c>
      <c r="D2261">
        <v>86.65</v>
      </c>
      <c r="E2261" t="s">
        <v>14</v>
      </c>
      <c r="F2261">
        <v>33.159999999999997</v>
      </c>
      <c r="G2261" t="s">
        <v>10</v>
      </c>
      <c r="H2261" t="s">
        <v>11</v>
      </c>
    </row>
    <row r="2262" spans="1:8" x14ac:dyDescent="0.25">
      <c r="A2262" s="1">
        <v>45662.166666666664</v>
      </c>
      <c r="B2262" t="s">
        <v>23</v>
      </c>
      <c r="C2262">
        <v>135.01</v>
      </c>
      <c r="D2262">
        <v>75.47</v>
      </c>
      <c r="E2262" t="s">
        <v>9</v>
      </c>
      <c r="F2262">
        <v>35.450000000000003</v>
      </c>
      <c r="G2262" t="s">
        <v>10</v>
      </c>
      <c r="H2262" t="s">
        <v>13</v>
      </c>
    </row>
    <row r="2263" spans="1:8" x14ac:dyDescent="0.25">
      <c r="A2263" s="1">
        <v>45662.208333333336</v>
      </c>
      <c r="B2263" t="s">
        <v>23</v>
      </c>
      <c r="C2263">
        <v>78.739999999999995</v>
      </c>
      <c r="D2263">
        <v>42.87</v>
      </c>
      <c r="E2263" t="s">
        <v>9</v>
      </c>
      <c r="F2263">
        <v>66.06</v>
      </c>
      <c r="G2263" t="s">
        <v>10</v>
      </c>
      <c r="H2263" t="s">
        <v>13</v>
      </c>
    </row>
    <row r="2264" spans="1:8" x14ac:dyDescent="0.25">
      <c r="A2264" s="1">
        <v>45662.25</v>
      </c>
      <c r="B2264" t="s">
        <v>23</v>
      </c>
      <c r="C2264">
        <v>267.76</v>
      </c>
      <c r="D2264">
        <v>79.930000000000007</v>
      </c>
      <c r="E2264" t="s">
        <v>9</v>
      </c>
      <c r="F2264">
        <v>87.23</v>
      </c>
      <c r="G2264" t="s">
        <v>10</v>
      </c>
      <c r="H2264" t="s">
        <v>12</v>
      </c>
    </row>
    <row r="2265" spans="1:8" x14ac:dyDescent="0.25">
      <c r="A2265" s="1">
        <v>45662.291666666664</v>
      </c>
      <c r="B2265" t="s">
        <v>23</v>
      </c>
      <c r="C2265">
        <v>255.15</v>
      </c>
      <c r="D2265">
        <v>91.22</v>
      </c>
      <c r="E2265" t="s">
        <v>14</v>
      </c>
      <c r="F2265">
        <v>81.03</v>
      </c>
      <c r="G2265" t="s">
        <v>10</v>
      </c>
      <c r="H2265" t="s">
        <v>13</v>
      </c>
    </row>
    <row r="2266" spans="1:8" x14ac:dyDescent="0.25">
      <c r="A2266" s="1">
        <v>45662.333333333336</v>
      </c>
      <c r="B2266" t="s">
        <v>23</v>
      </c>
      <c r="C2266">
        <v>373.26</v>
      </c>
      <c r="D2266">
        <v>63.59</v>
      </c>
      <c r="E2266" t="s">
        <v>9</v>
      </c>
      <c r="F2266">
        <v>47.14</v>
      </c>
      <c r="G2266" t="s">
        <v>10</v>
      </c>
      <c r="H2266" t="s">
        <v>12</v>
      </c>
    </row>
    <row r="2267" spans="1:8" x14ac:dyDescent="0.25">
      <c r="A2267" s="1">
        <v>45662.375</v>
      </c>
      <c r="B2267" t="s">
        <v>23</v>
      </c>
      <c r="C2267">
        <v>345</v>
      </c>
      <c r="D2267">
        <v>61.99</v>
      </c>
      <c r="E2267" t="s">
        <v>9</v>
      </c>
      <c r="F2267">
        <v>35.979999999999997</v>
      </c>
      <c r="G2267" t="s">
        <v>10</v>
      </c>
      <c r="H2267" t="s">
        <v>13</v>
      </c>
    </row>
    <row r="2268" spans="1:8" x14ac:dyDescent="0.25">
      <c r="A2268" s="1">
        <v>45662.416666666664</v>
      </c>
      <c r="B2268" t="s">
        <v>23</v>
      </c>
      <c r="C2268">
        <v>485.9</v>
      </c>
      <c r="D2268">
        <v>68.45</v>
      </c>
      <c r="E2268" t="s">
        <v>9</v>
      </c>
      <c r="F2268">
        <v>39.22</v>
      </c>
      <c r="G2268" t="s">
        <v>10</v>
      </c>
      <c r="H2268" t="s">
        <v>12</v>
      </c>
    </row>
    <row r="2269" spans="1:8" x14ac:dyDescent="0.25">
      <c r="A2269" s="1">
        <v>45662.458333333336</v>
      </c>
      <c r="B2269" t="s">
        <v>23</v>
      </c>
      <c r="C2269">
        <v>240.48</v>
      </c>
      <c r="D2269">
        <v>76.69</v>
      </c>
      <c r="E2269" t="s">
        <v>9</v>
      </c>
      <c r="F2269">
        <v>88.31</v>
      </c>
      <c r="G2269" t="s">
        <v>10</v>
      </c>
      <c r="H2269" t="s">
        <v>13</v>
      </c>
    </row>
    <row r="2270" spans="1:8" x14ac:dyDescent="0.25">
      <c r="A2270" s="1">
        <v>45662.5</v>
      </c>
      <c r="B2270" t="s">
        <v>23</v>
      </c>
      <c r="C2270">
        <v>59.62</v>
      </c>
      <c r="D2270">
        <v>90.48</v>
      </c>
      <c r="E2270" t="s">
        <v>14</v>
      </c>
      <c r="F2270">
        <v>40.18</v>
      </c>
      <c r="G2270" t="s">
        <v>10</v>
      </c>
      <c r="H2270" t="s">
        <v>12</v>
      </c>
    </row>
    <row r="2271" spans="1:8" x14ac:dyDescent="0.25">
      <c r="A2271" s="1">
        <v>45662.541666666664</v>
      </c>
      <c r="B2271" t="s">
        <v>23</v>
      </c>
      <c r="C2271">
        <v>62.87</v>
      </c>
      <c r="D2271">
        <v>87.62</v>
      </c>
      <c r="E2271" t="s">
        <v>14</v>
      </c>
      <c r="F2271">
        <v>79.3</v>
      </c>
      <c r="G2271" t="s">
        <v>10</v>
      </c>
      <c r="H2271" t="s">
        <v>13</v>
      </c>
    </row>
    <row r="2272" spans="1:8" x14ac:dyDescent="0.25">
      <c r="A2272" s="1">
        <v>45662.583333333336</v>
      </c>
      <c r="B2272" t="s">
        <v>23</v>
      </c>
      <c r="C2272">
        <v>76.209999999999994</v>
      </c>
      <c r="D2272">
        <v>26.65</v>
      </c>
      <c r="E2272" t="s">
        <v>9</v>
      </c>
      <c r="F2272">
        <v>36.32</v>
      </c>
      <c r="G2272" t="s">
        <v>10</v>
      </c>
      <c r="H2272" t="s">
        <v>13</v>
      </c>
    </row>
    <row r="2273" spans="1:8" x14ac:dyDescent="0.25">
      <c r="A2273" s="1">
        <v>45662.625</v>
      </c>
      <c r="B2273" t="s">
        <v>23</v>
      </c>
      <c r="C2273">
        <v>299.75</v>
      </c>
      <c r="D2273">
        <v>33.729999999999997</v>
      </c>
      <c r="E2273" t="s">
        <v>9</v>
      </c>
      <c r="F2273">
        <v>33.130000000000003</v>
      </c>
      <c r="G2273" t="s">
        <v>10</v>
      </c>
      <c r="H2273" t="s">
        <v>12</v>
      </c>
    </row>
    <row r="2274" spans="1:8" x14ac:dyDescent="0.25">
      <c r="A2274" s="1">
        <v>45662.666666666664</v>
      </c>
      <c r="B2274" t="s">
        <v>23</v>
      </c>
      <c r="C2274">
        <v>337.85</v>
      </c>
      <c r="D2274">
        <v>60.19</v>
      </c>
      <c r="E2274" t="s">
        <v>9</v>
      </c>
      <c r="F2274">
        <v>36.770000000000003</v>
      </c>
      <c r="G2274" t="s">
        <v>10</v>
      </c>
      <c r="H2274" t="s">
        <v>13</v>
      </c>
    </row>
    <row r="2275" spans="1:8" x14ac:dyDescent="0.25">
      <c r="A2275" s="1">
        <v>45662.708333333336</v>
      </c>
      <c r="B2275" t="s">
        <v>23</v>
      </c>
      <c r="C2275">
        <v>271.23</v>
      </c>
      <c r="D2275">
        <v>15.49</v>
      </c>
      <c r="E2275" t="s">
        <v>9</v>
      </c>
      <c r="F2275">
        <v>38.880000000000003</v>
      </c>
      <c r="G2275" t="s">
        <v>10</v>
      </c>
      <c r="H2275" t="s">
        <v>12</v>
      </c>
    </row>
    <row r="2276" spans="1:8" x14ac:dyDescent="0.25">
      <c r="A2276" s="1">
        <v>45662.75</v>
      </c>
      <c r="B2276" t="s">
        <v>23</v>
      </c>
      <c r="C2276">
        <v>310.76</v>
      </c>
      <c r="D2276">
        <v>34</v>
      </c>
      <c r="E2276" t="s">
        <v>9</v>
      </c>
      <c r="F2276">
        <v>48.55</v>
      </c>
      <c r="G2276" t="s">
        <v>10</v>
      </c>
      <c r="H2276" t="s">
        <v>12</v>
      </c>
    </row>
    <row r="2277" spans="1:8" x14ac:dyDescent="0.25">
      <c r="A2277" s="1">
        <v>45662.791666666664</v>
      </c>
      <c r="B2277" t="s">
        <v>23</v>
      </c>
      <c r="C2277">
        <v>300.81</v>
      </c>
      <c r="D2277">
        <v>85.98</v>
      </c>
      <c r="E2277" t="s">
        <v>14</v>
      </c>
      <c r="F2277">
        <v>49.56</v>
      </c>
      <c r="G2277" t="s">
        <v>10</v>
      </c>
      <c r="H2277" t="s">
        <v>11</v>
      </c>
    </row>
    <row r="2278" spans="1:8" x14ac:dyDescent="0.25">
      <c r="A2278" s="1">
        <v>45662.833333333336</v>
      </c>
      <c r="B2278" t="s">
        <v>23</v>
      </c>
      <c r="C2278">
        <v>499.92</v>
      </c>
      <c r="D2278">
        <v>57.22</v>
      </c>
      <c r="E2278" t="s">
        <v>9</v>
      </c>
      <c r="F2278">
        <v>79.59</v>
      </c>
      <c r="G2278" t="s">
        <v>10</v>
      </c>
      <c r="H2278" t="s">
        <v>11</v>
      </c>
    </row>
    <row r="2279" spans="1:8" x14ac:dyDescent="0.25">
      <c r="A2279" s="1">
        <v>45662.875</v>
      </c>
      <c r="B2279" t="s">
        <v>23</v>
      </c>
      <c r="C2279">
        <v>218.6</v>
      </c>
      <c r="D2279">
        <v>34.450000000000003</v>
      </c>
      <c r="E2279" t="s">
        <v>9</v>
      </c>
      <c r="F2279">
        <v>36.85</v>
      </c>
      <c r="G2279" t="s">
        <v>10</v>
      </c>
      <c r="H2279" t="s">
        <v>11</v>
      </c>
    </row>
    <row r="2280" spans="1:8" x14ac:dyDescent="0.25">
      <c r="A2280" s="1">
        <v>45662.916666666664</v>
      </c>
      <c r="B2280" t="s">
        <v>23</v>
      </c>
      <c r="C2280">
        <v>184.19</v>
      </c>
      <c r="D2280">
        <v>82.45</v>
      </c>
      <c r="E2280" t="s">
        <v>9</v>
      </c>
      <c r="F2280">
        <v>66.13</v>
      </c>
      <c r="G2280" t="s">
        <v>10</v>
      </c>
      <c r="H2280" t="s">
        <v>12</v>
      </c>
    </row>
    <row r="2281" spans="1:8" x14ac:dyDescent="0.25">
      <c r="A2281" s="1">
        <v>45662.958333333336</v>
      </c>
      <c r="B2281" t="s">
        <v>23</v>
      </c>
      <c r="C2281">
        <v>405.25</v>
      </c>
      <c r="D2281">
        <v>68.58</v>
      </c>
      <c r="E2281" t="s">
        <v>9</v>
      </c>
      <c r="F2281">
        <v>66.56</v>
      </c>
      <c r="G2281" t="s">
        <v>10</v>
      </c>
      <c r="H2281" t="s">
        <v>12</v>
      </c>
    </row>
    <row r="2282" spans="1:8" x14ac:dyDescent="0.25">
      <c r="A2282" s="1">
        <v>45663</v>
      </c>
      <c r="B2282" t="s">
        <v>23</v>
      </c>
      <c r="C2282">
        <v>238.03</v>
      </c>
      <c r="D2282">
        <v>59.34</v>
      </c>
      <c r="E2282" t="s">
        <v>9</v>
      </c>
      <c r="F2282">
        <v>31.32</v>
      </c>
      <c r="G2282" t="s">
        <v>10</v>
      </c>
      <c r="H2282" t="s">
        <v>12</v>
      </c>
    </row>
    <row r="2283" spans="1:8" x14ac:dyDescent="0.25">
      <c r="A2283" s="1">
        <v>45663.041666666664</v>
      </c>
      <c r="B2283" t="s">
        <v>23</v>
      </c>
      <c r="C2283">
        <v>347.46</v>
      </c>
      <c r="D2283">
        <v>67.569999999999993</v>
      </c>
      <c r="E2283" t="s">
        <v>9</v>
      </c>
      <c r="F2283">
        <v>80.88</v>
      </c>
      <c r="G2283" t="s">
        <v>10</v>
      </c>
      <c r="H2283" t="s">
        <v>12</v>
      </c>
    </row>
    <row r="2284" spans="1:8" x14ac:dyDescent="0.25">
      <c r="A2284" s="1">
        <v>45663.083333333336</v>
      </c>
      <c r="B2284" t="s">
        <v>23</v>
      </c>
      <c r="C2284">
        <v>367.26</v>
      </c>
      <c r="D2284">
        <v>35.44</v>
      </c>
      <c r="E2284" t="s">
        <v>9</v>
      </c>
      <c r="F2284">
        <v>43.31</v>
      </c>
      <c r="G2284" t="s">
        <v>10</v>
      </c>
      <c r="H2284" t="s">
        <v>12</v>
      </c>
    </row>
    <row r="2285" spans="1:8" x14ac:dyDescent="0.25">
      <c r="A2285" s="1">
        <v>45663.125</v>
      </c>
      <c r="B2285" t="s">
        <v>23</v>
      </c>
      <c r="C2285">
        <v>280.73</v>
      </c>
      <c r="D2285">
        <v>52.52</v>
      </c>
      <c r="E2285" t="s">
        <v>9</v>
      </c>
      <c r="F2285">
        <v>68.709999999999994</v>
      </c>
      <c r="G2285" t="s">
        <v>10</v>
      </c>
      <c r="H2285" t="s">
        <v>12</v>
      </c>
    </row>
    <row r="2286" spans="1:8" x14ac:dyDescent="0.25">
      <c r="A2286" s="1">
        <v>45663.166666666664</v>
      </c>
      <c r="B2286" t="s">
        <v>23</v>
      </c>
      <c r="C2286">
        <v>221.6</v>
      </c>
      <c r="D2286">
        <v>29.01</v>
      </c>
      <c r="E2286" t="s">
        <v>9</v>
      </c>
      <c r="F2286">
        <v>51.32</v>
      </c>
      <c r="G2286" t="s">
        <v>10</v>
      </c>
      <c r="H2286" t="s">
        <v>12</v>
      </c>
    </row>
    <row r="2287" spans="1:8" x14ac:dyDescent="0.25">
      <c r="A2287" s="1">
        <v>45663.208333333336</v>
      </c>
      <c r="B2287" t="s">
        <v>23</v>
      </c>
      <c r="C2287">
        <v>283.88</v>
      </c>
      <c r="D2287">
        <v>69.22</v>
      </c>
      <c r="E2287" t="s">
        <v>9</v>
      </c>
      <c r="F2287">
        <v>56.97</v>
      </c>
      <c r="G2287" t="s">
        <v>10</v>
      </c>
      <c r="H2287" t="s">
        <v>11</v>
      </c>
    </row>
    <row r="2288" spans="1:8" x14ac:dyDescent="0.25">
      <c r="A2288" s="1">
        <v>45663.25</v>
      </c>
      <c r="B2288" t="s">
        <v>23</v>
      </c>
      <c r="C2288">
        <v>50.64</v>
      </c>
      <c r="D2288">
        <v>59.36</v>
      </c>
      <c r="E2288" t="s">
        <v>9</v>
      </c>
      <c r="F2288">
        <v>65.44</v>
      </c>
      <c r="G2288" t="s">
        <v>10</v>
      </c>
      <c r="H2288" t="s">
        <v>11</v>
      </c>
    </row>
    <row r="2289" spans="1:8" x14ac:dyDescent="0.25">
      <c r="A2289" s="1">
        <v>45663.291666666664</v>
      </c>
      <c r="B2289" t="s">
        <v>23</v>
      </c>
      <c r="C2289">
        <v>375.51</v>
      </c>
      <c r="D2289">
        <v>44.92</v>
      </c>
      <c r="E2289" t="s">
        <v>9</v>
      </c>
      <c r="F2289">
        <v>49.15</v>
      </c>
      <c r="G2289" t="s">
        <v>10</v>
      </c>
      <c r="H2289" t="s">
        <v>12</v>
      </c>
    </row>
    <row r="2290" spans="1:8" x14ac:dyDescent="0.25">
      <c r="A2290" s="1">
        <v>45663.333333333336</v>
      </c>
      <c r="B2290" t="s">
        <v>23</v>
      </c>
      <c r="C2290">
        <v>397.76</v>
      </c>
      <c r="D2290">
        <v>34.229999999999997</v>
      </c>
      <c r="E2290" t="s">
        <v>9</v>
      </c>
      <c r="F2290">
        <v>66.53</v>
      </c>
      <c r="G2290" t="s">
        <v>10</v>
      </c>
      <c r="H2290" t="s">
        <v>13</v>
      </c>
    </row>
    <row r="2291" spans="1:8" x14ac:dyDescent="0.25">
      <c r="A2291" s="1">
        <v>45663.375</v>
      </c>
      <c r="B2291" t="s">
        <v>23</v>
      </c>
      <c r="C2291">
        <v>144.76</v>
      </c>
      <c r="D2291">
        <v>55.99</v>
      </c>
      <c r="E2291" t="s">
        <v>9</v>
      </c>
      <c r="F2291">
        <v>62.31</v>
      </c>
      <c r="G2291" t="s">
        <v>10</v>
      </c>
      <c r="H2291" t="s">
        <v>13</v>
      </c>
    </row>
    <row r="2292" spans="1:8" x14ac:dyDescent="0.25">
      <c r="A2292" s="1">
        <v>45663.416666666664</v>
      </c>
      <c r="B2292" t="s">
        <v>23</v>
      </c>
      <c r="C2292">
        <v>178.21</v>
      </c>
      <c r="D2292">
        <v>86.58</v>
      </c>
      <c r="E2292" t="s">
        <v>14</v>
      </c>
      <c r="F2292">
        <v>81.69</v>
      </c>
      <c r="G2292" t="s">
        <v>10</v>
      </c>
      <c r="H2292" t="s">
        <v>13</v>
      </c>
    </row>
    <row r="2293" spans="1:8" x14ac:dyDescent="0.25">
      <c r="A2293" s="1">
        <v>45663.458333333336</v>
      </c>
      <c r="B2293" t="s">
        <v>23</v>
      </c>
      <c r="C2293">
        <v>499.03</v>
      </c>
      <c r="D2293">
        <v>86.9</v>
      </c>
      <c r="E2293" t="s">
        <v>14</v>
      </c>
      <c r="F2293">
        <v>85.56</v>
      </c>
      <c r="G2293" t="s">
        <v>10</v>
      </c>
      <c r="H2293" t="s">
        <v>13</v>
      </c>
    </row>
    <row r="2294" spans="1:8" x14ac:dyDescent="0.25">
      <c r="A2294" s="1">
        <v>45663.5</v>
      </c>
      <c r="B2294" t="s">
        <v>23</v>
      </c>
      <c r="C2294">
        <v>487.52</v>
      </c>
      <c r="D2294">
        <v>59.23</v>
      </c>
      <c r="E2294" t="s">
        <v>9</v>
      </c>
      <c r="F2294">
        <v>52.4</v>
      </c>
      <c r="G2294" t="s">
        <v>10</v>
      </c>
      <c r="H2294" t="s">
        <v>11</v>
      </c>
    </row>
    <row r="2295" spans="1:8" x14ac:dyDescent="0.25">
      <c r="A2295" s="1">
        <v>45663.541666666664</v>
      </c>
      <c r="B2295" t="s">
        <v>23</v>
      </c>
      <c r="C2295">
        <v>75.180000000000007</v>
      </c>
      <c r="D2295">
        <v>85.71</v>
      </c>
      <c r="E2295" t="s">
        <v>14</v>
      </c>
      <c r="F2295">
        <v>58.91</v>
      </c>
      <c r="G2295" t="s">
        <v>10</v>
      </c>
      <c r="H2295" t="s">
        <v>11</v>
      </c>
    </row>
    <row r="2296" spans="1:8" x14ac:dyDescent="0.25">
      <c r="A2296" s="1">
        <v>45663.583333333336</v>
      </c>
      <c r="B2296" t="s">
        <v>23</v>
      </c>
      <c r="C2296">
        <v>432.28</v>
      </c>
      <c r="D2296">
        <v>82.35</v>
      </c>
      <c r="E2296" t="s">
        <v>9</v>
      </c>
      <c r="F2296">
        <v>60.74</v>
      </c>
      <c r="G2296" t="s">
        <v>10</v>
      </c>
      <c r="H2296" t="s">
        <v>11</v>
      </c>
    </row>
    <row r="2297" spans="1:8" x14ac:dyDescent="0.25">
      <c r="A2297" s="1">
        <v>45663.625</v>
      </c>
      <c r="B2297" t="s">
        <v>23</v>
      </c>
      <c r="C2297">
        <v>178.24</v>
      </c>
      <c r="D2297">
        <v>45.55</v>
      </c>
      <c r="E2297" t="s">
        <v>9</v>
      </c>
      <c r="F2297">
        <v>30.04</v>
      </c>
      <c r="G2297" t="s">
        <v>10</v>
      </c>
      <c r="H2297" t="s">
        <v>12</v>
      </c>
    </row>
    <row r="2298" spans="1:8" x14ac:dyDescent="0.25">
      <c r="A2298" s="1">
        <v>45663.666666666664</v>
      </c>
      <c r="B2298" t="s">
        <v>23</v>
      </c>
      <c r="C2298">
        <v>268.95999999999998</v>
      </c>
      <c r="D2298">
        <v>83.91</v>
      </c>
      <c r="E2298" t="s">
        <v>9</v>
      </c>
      <c r="F2298">
        <v>56.91</v>
      </c>
      <c r="G2298" t="s">
        <v>10</v>
      </c>
      <c r="H2298" t="s">
        <v>11</v>
      </c>
    </row>
    <row r="2299" spans="1:8" x14ac:dyDescent="0.25">
      <c r="A2299" s="1">
        <v>45663.708333333336</v>
      </c>
      <c r="B2299" t="s">
        <v>23</v>
      </c>
      <c r="C2299">
        <v>393.36</v>
      </c>
      <c r="D2299">
        <v>27.66</v>
      </c>
      <c r="E2299" t="s">
        <v>9</v>
      </c>
      <c r="F2299">
        <v>67.89</v>
      </c>
      <c r="G2299" t="s">
        <v>10</v>
      </c>
      <c r="H2299" t="s">
        <v>12</v>
      </c>
    </row>
    <row r="2300" spans="1:8" x14ac:dyDescent="0.25">
      <c r="A2300" s="1">
        <v>45663.75</v>
      </c>
      <c r="B2300" t="s">
        <v>23</v>
      </c>
      <c r="C2300">
        <v>273.17</v>
      </c>
      <c r="D2300">
        <v>79.540000000000006</v>
      </c>
      <c r="E2300" t="s">
        <v>9</v>
      </c>
      <c r="F2300">
        <v>50.44</v>
      </c>
      <c r="G2300" t="s">
        <v>10</v>
      </c>
      <c r="H2300" t="s">
        <v>11</v>
      </c>
    </row>
    <row r="2301" spans="1:8" x14ac:dyDescent="0.25">
      <c r="A2301" s="1">
        <v>45663.791666666664</v>
      </c>
      <c r="B2301" t="s">
        <v>23</v>
      </c>
      <c r="C2301">
        <v>108.11</v>
      </c>
      <c r="D2301">
        <v>90.63</v>
      </c>
      <c r="E2301" t="s">
        <v>14</v>
      </c>
      <c r="F2301">
        <v>72.709999999999994</v>
      </c>
      <c r="G2301" t="s">
        <v>10</v>
      </c>
      <c r="H2301" t="s">
        <v>11</v>
      </c>
    </row>
    <row r="2302" spans="1:8" x14ac:dyDescent="0.25">
      <c r="A2302" s="1">
        <v>45663.833333333336</v>
      </c>
      <c r="B2302" t="s">
        <v>23</v>
      </c>
      <c r="C2302">
        <v>243.59</v>
      </c>
      <c r="D2302">
        <v>61.09</v>
      </c>
      <c r="E2302" t="s">
        <v>9</v>
      </c>
      <c r="F2302">
        <v>75.45</v>
      </c>
      <c r="G2302" t="s">
        <v>10</v>
      </c>
      <c r="H2302" t="s">
        <v>13</v>
      </c>
    </row>
    <row r="2303" spans="1:8" x14ac:dyDescent="0.25">
      <c r="A2303" s="1">
        <v>45663.875</v>
      </c>
      <c r="B2303" t="s">
        <v>23</v>
      </c>
      <c r="C2303">
        <v>301.93</v>
      </c>
      <c r="D2303">
        <v>34</v>
      </c>
      <c r="E2303" t="s">
        <v>9</v>
      </c>
      <c r="F2303">
        <v>88.63</v>
      </c>
      <c r="G2303" t="s">
        <v>10</v>
      </c>
      <c r="H2303" t="s">
        <v>13</v>
      </c>
    </row>
    <row r="2304" spans="1:8" x14ac:dyDescent="0.25">
      <c r="A2304" s="1">
        <v>45663.916666666664</v>
      </c>
      <c r="B2304" t="s">
        <v>23</v>
      </c>
      <c r="C2304">
        <v>235.85</v>
      </c>
      <c r="D2304">
        <v>26.26</v>
      </c>
      <c r="E2304" t="s">
        <v>9</v>
      </c>
      <c r="F2304">
        <v>77.12</v>
      </c>
      <c r="G2304" t="s">
        <v>10</v>
      </c>
      <c r="H2304" t="s">
        <v>11</v>
      </c>
    </row>
    <row r="2305" spans="1:8" x14ac:dyDescent="0.25">
      <c r="A2305" s="1">
        <v>45663.958333333336</v>
      </c>
      <c r="B2305" t="s">
        <v>23</v>
      </c>
      <c r="C2305">
        <v>190.17</v>
      </c>
      <c r="D2305">
        <v>32.47</v>
      </c>
      <c r="E2305" t="s">
        <v>9</v>
      </c>
      <c r="F2305">
        <v>49.02</v>
      </c>
      <c r="G2305" t="s">
        <v>10</v>
      </c>
      <c r="H2305" t="s">
        <v>12</v>
      </c>
    </row>
    <row r="2306" spans="1:8" x14ac:dyDescent="0.25">
      <c r="A2306" s="1">
        <v>45664</v>
      </c>
      <c r="B2306" t="s">
        <v>23</v>
      </c>
      <c r="C2306">
        <v>404.18</v>
      </c>
      <c r="D2306">
        <v>39.450000000000003</v>
      </c>
      <c r="E2306" t="s">
        <v>9</v>
      </c>
      <c r="F2306">
        <v>35.08</v>
      </c>
      <c r="G2306" t="s">
        <v>10</v>
      </c>
      <c r="H2306" t="s">
        <v>13</v>
      </c>
    </row>
    <row r="2307" spans="1:8" x14ac:dyDescent="0.25">
      <c r="A2307" s="1">
        <v>45664.041666666664</v>
      </c>
      <c r="B2307" t="s">
        <v>23</v>
      </c>
      <c r="C2307">
        <v>114.29</v>
      </c>
      <c r="D2307">
        <v>83.82</v>
      </c>
      <c r="E2307" t="s">
        <v>9</v>
      </c>
      <c r="F2307">
        <v>53.94</v>
      </c>
      <c r="G2307" t="s">
        <v>10</v>
      </c>
      <c r="H2307" t="s">
        <v>11</v>
      </c>
    </row>
    <row r="2308" spans="1:8" x14ac:dyDescent="0.25">
      <c r="A2308" s="1">
        <v>45664.083333333336</v>
      </c>
      <c r="B2308" t="s">
        <v>23</v>
      </c>
      <c r="C2308">
        <v>479.37</v>
      </c>
      <c r="D2308">
        <v>94.23</v>
      </c>
      <c r="E2308" t="s">
        <v>14</v>
      </c>
      <c r="F2308">
        <v>78.459999999999994</v>
      </c>
      <c r="G2308" t="s">
        <v>10</v>
      </c>
      <c r="H2308" t="s">
        <v>13</v>
      </c>
    </row>
    <row r="2309" spans="1:8" x14ac:dyDescent="0.25">
      <c r="A2309" s="1">
        <v>45664.125</v>
      </c>
      <c r="B2309" t="s">
        <v>23</v>
      </c>
      <c r="C2309">
        <v>334.08</v>
      </c>
      <c r="D2309">
        <v>22.06</v>
      </c>
      <c r="E2309" t="s">
        <v>9</v>
      </c>
      <c r="F2309">
        <v>85.52</v>
      </c>
      <c r="G2309" t="s">
        <v>10</v>
      </c>
      <c r="H2309" t="s">
        <v>13</v>
      </c>
    </row>
    <row r="2310" spans="1:8" x14ac:dyDescent="0.25">
      <c r="A2310" s="1">
        <v>45664.166666666664</v>
      </c>
      <c r="B2310" t="s">
        <v>23</v>
      </c>
      <c r="C2310">
        <v>480.44</v>
      </c>
      <c r="D2310">
        <v>77.92</v>
      </c>
      <c r="E2310" t="s">
        <v>9</v>
      </c>
      <c r="F2310">
        <v>73.44</v>
      </c>
      <c r="G2310" t="s">
        <v>10</v>
      </c>
      <c r="H2310" t="s">
        <v>11</v>
      </c>
    </row>
    <row r="2311" spans="1:8" x14ac:dyDescent="0.25">
      <c r="A2311" s="1">
        <v>45664.208333333336</v>
      </c>
      <c r="B2311" t="s">
        <v>23</v>
      </c>
      <c r="C2311">
        <v>241.09</v>
      </c>
      <c r="D2311">
        <v>24.98</v>
      </c>
      <c r="E2311" t="s">
        <v>9</v>
      </c>
      <c r="F2311">
        <v>54.95</v>
      </c>
      <c r="G2311" t="s">
        <v>10</v>
      </c>
      <c r="H2311" t="s">
        <v>13</v>
      </c>
    </row>
    <row r="2312" spans="1:8" x14ac:dyDescent="0.25">
      <c r="A2312" s="1">
        <v>45664.25</v>
      </c>
      <c r="B2312" t="s">
        <v>23</v>
      </c>
      <c r="C2312">
        <v>345.56</v>
      </c>
      <c r="D2312">
        <v>77.61</v>
      </c>
      <c r="E2312" t="s">
        <v>9</v>
      </c>
      <c r="F2312">
        <v>62.97</v>
      </c>
      <c r="G2312" t="s">
        <v>10</v>
      </c>
      <c r="H2312" t="s">
        <v>11</v>
      </c>
    </row>
    <row r="2313" spans="1:8" x14ac:dyDescent="0.25">
      <c r="A2313" s="1">
        <v>45664.291666666664</v>
      </c>
      <c r="B2313" t="s">
        <v>23</v>
      </c>
      <c r="C2313">
        <v>344.21</v>
      </c>
      <c r="D2313">
        <v>21.69</v>
      </c>
      <c r="E2313" t="s">
        <v>9</v>
      </c>
      <c r="F2313">
        <v>49.13</v>
      </c>
      <c r="G2313" t="s">
        <v>10</v>
      </c>
      <c r="H2313" t="s">
        <v>11</v>
      </c>
    </row>
    <row r="2314" spans="1:8" x14ac:dyDescent="0.25">
      <c r="A2314" s="1">
        <v>45664.333333333336</v>
      </c>
      <c r="B2314" t="s">
        <v>23</v>
      </c>
      <c r="C2314">
        <v>378.53</v>
      </c>
      <c r="D2314">
        <v>31.24</v>
      </c>
      <c r="E2314" t="s">
        <v>9</v>
      </c>
      <c r="F2314">
        <v>34.729999999999997</v>
      </c>
      <c r="G2314" t="s">
        <v>10</v>
      </c>
      <c r="H2314" t="s">
        <v>13</v>
      </c>
    </row>
    <row r="2315" spans="1:8" x14ac:dyDescent="0.25">
      <c r="A2315" s="1">
        <v>45664.375</v>
      </c>
      <c r="B2315" t="s">
        <v>23</v>
      </c>
      <c r="C2315">
        <v>162</v>
      </c>
      <c r="D2315">
        <v>32.99</v>
      </c>
      <c r="E2315" t="s">
        <v>9</v>
      </c>
      <c r="F2315">
        <v>41.57</v>
      </c>
      <c r="G2315" t="s">
        <v>10</v>
      </c>
      <c r="H2315" t="s">
        <v>12</v>
      </c>
    </row>
    <row r="2316" spans="1:8" x14ac:dyDescent="0.25">
      <c r="A2316" s="1">
        <v>45664.416666666664</v>
      </c>
      <c r="B2316" t="s">
        <v>23</v>
      </c>
      <c r="C2316">
        <v>479.68</v>
      </c>
      <c r="D2316">
        <v>20.190000000000001</v>
      </c>
      <c r="E2316" t="s">
        <v>9</v>
      </c>
      <c r="F2316">
        <v>35.75</v>
      </c>
      <c r="G2316" t="s">
        <v>10</v>
      </c>
      <c r="H2316" t="s">
        <v>13</v>
      </c>
    </row>
    <row r="2317" spans="1:8" x14ac:dyDescent="0.25">
      <c r="A2317" s="1">
        <v>45664.458333333336</v>
      </c>
      <c r="B2317" t="s">
        <v>23</v>
      </c>
      <c r="C2317">
        <v>259.08</v>
      </c>
      <c r="D2317">
        <v>15.1</v>
      </c>
      <c r="E2317" t="s">
        <v>9</v>
      </c>
      <c r="F2317">
        <v>58.9</v>
      </c>
      <c r="G2317" t="s">
        <v>10</v>
      </c>
      <c r="H2317" t="s">
        <v>11</v>
      </c>
    </row>
    <row r="2318" spans="1:8" x14ac:dyDescent="0.25">
      <c r="A2318" s="1">
        <v>45664.5</v>
      </c>
      <c r="B2318" t="s">
        <v>23</v>
      </c>
      <c r="C2318">
        <v>113.72</v>
      </c>
      <c r="D2318">
        <v>44.44</v>
      </c>
      <c r="E2318" t="s">
        <v>9</v>
      </c>
      <c r="F2318">
        <v>46.93</v>
      </c>
      <c r="G2318" t="s">
        <v>10</v>
      </c>
      <c r="H2318" t="s">
        <v>12</v>
      </c>
    </row>
    <row r="2319" spans="1:8" x14ac:dyDescent="0.25">
      <c r="A2319" s="1">
        <v>45664.541666666664</v>
      </c>
      <c r="B2319" t="s">
        <v>23</v>
      </c>
      <c r="C2319">
        <v>88.96</v>
      </c>
      <c r="D2319">
        <v>61.99</v>
      </c>
      <c r="E2319" t="s">
        <v>9</v>
      </c>
      <c r="F2319">
        <v>75.53</v>
      </c>
      <c r="G2319" t="s">
        <v>10</v>
      </c>
      <c r="H2319" t="s">
        <v>12</v>
      </c>
    </row>
    <row r="2320" spans="1:8" x14ac:dyDescent="0.25">
      <c r="A2320" s="1">
        <v>45664.583333333336</v>
      </c>
      <c r="B2320" t="s">
        <v>23</v>
      </c>
      <c r="C2320">
        <v>224.91</v>
      </c>
      <c r="D2320">
        <v>57.02</v>
      </c>
      <c r="E2320" t="s">
        <v>9</v>
      </c>
      <c r="F2320">
        <v>83.63</v>
      </c>
      <c r="G2320" t="s">
        <v>10</v>
      </c>
      <c r="H2320" t="s">
        <v>12</v>
      </c>
    </row>
    <row r="2321" spans="1:8" x14ac:dyDescent="0.25">
      <c r="A2321" s="1">
        <v>45664.625</v>
      </c>
      <c r="B2321" t="s">
        <v>23</v>
      </c>
      <c r="C2321">
        <v>411.35</v>
      </c>
      <c r="D2321">
        <v>85.23</v>
      </c>
      <c r="E2321" t="s">
        <v>14</v>
      </c>
      <c r="F2321">
        <v>86.26</v>
      </c>
      <c r="G2321" t="s">
        <v>10</v>
      </c>
      <c r="H2321" t="s">
        <v>11</v>
      </c>
    </row>
    <row r="2322" spans="1:8" x14ac:dyDescent="0.25">
      <c r="A2322" s="1">
        <v>45664.666666666664</v>
      </c>
      <c r="B2322" t="s">
        <v>23</v>
      </c>
      <c r="C2322">
        <v>98.31</v>
      </c>
      <c r="D2322">
        <v>70.47</v>
      </c>
      <c r="E2322" t="s">
        <v>9</v>
      </c>
      <c r="F2322">
        <v>42.44</v>
      </c>
      <c r="G2322" t="s">
        <v>10</v>
      </c>
      <c r="H2322" t="s">
        <v>12</v>
      </c>
    </row>
    <row r="2323" spans="1:8" x14ac:dyDescent="0.25">
      <c r="A2323" s="1">
        <v>45664.708333333336</v>
      </c>
      <c r="B2323" t="s">
        <v>23</v>
      </c>
      <c r="C2323">
        <v>497.98</v>
      </c>
      <c r="D2323">
        <v>15.12</v>
      </c>
      <c r="E2323" t="s">
        <v>9</v>
      </c>
      <c r="F2323">
        <v>51.31</v>
      </c>
      <c r="G2323" t="s">
        <v>10</v>
      </c>
      <c r="H2323" t="s">
        <v>13</v>
      </c>
    </row>
    <row r="2324" spans="1:8" x14ac:dyDescent="0.25">
      <c r="A2324" s="1">
        <v>45664.75</v>
      </c>
      <c r="B2324" t="s">
        <v>23</v>
      </c>
      <c r="C2324">
        <v>395.84</v>
      </c>
      <c r="D2324">
        <v>48.63</v>
      </c>
      <c r="E2324" t="s">
        <v>9</v>
      </c>
      <c r="F2324">
        <v>79.16</v>
      </c>
      <c r="G2324" t="s">
        <v>10</v>
      </c>
      <c r="H2324" t="s">
        <v>11</v>
      </c>
    </row>
    <row r="2325" spans="1:8" x14ac:dyDescent="0.25">
      <c r="A2325" s="1">
        <v>45664.791666666664</v>
      </c>
      <c r="B2325" t="s">
        <v>23</v>
      </c>
      <c r="C2325">
        <v>88.14</v>
      </c>
      <c r="D2325">
        <v>74.069999999999993</v>
      </c>
      <c r="E2325" t="s">
        <v>9</v>
      </c>
      <c r="F2325">
        <v>71.61</v>
      </c>
      <c r="G2325" t="s">
        <v>10</v>
      </c>
      <c r="H2325" t="s">
        <v>13</v>
      </c>
    </row>
    <row r="2326" spans="1:8" x14ac:dyDescent="0.25">
      <c r="A2326" s="1">
        <v>45664.833333333336</v>
      </c>
      <c r="B2326" t="s">
        <v>23</v>
      </c>
      <c r="C2326">
        <v>426.78</v>
      </c>
      <c r="D2326">
        <v>89.98</v>
      </c>
      <c r="E2326" t="s">
        <v>14</v>
      </c>
      <c r="F2326">
        <v>89.62</v>
      </c>
      <c r="G2326" t="s">
        <v>10</v>
      </c>
      <c r="H2326" t="s">
        <v>12</v>
      </c>
    </row>
    <row r="2327" spans="1:8" x14ac:dyDescent="0.25">
      <c r="A2327" s="1">
        <v>45664.875</v>
      </c>
      <c r="B2327" t="s">
        <v>23</v>
      </c>
      <c r="C2327">
        <v>444.42</v>
      </c>
      <c r="D2327">
        <v>83.03</v>
      </c>
      <c r="E2327" t="s">
        <v>9</v>
      </c>
      <c r="F2327">
        <v>87.89</v>
      </c>
      <c r="G2327" t="s">
        <v>10</v>
      </c>
      <c r="H2327" t="s">
        <v>13</v>
      </c>
    </row>
    <row r="2328" spans="1:8" x14ac:dyDescent="0.25">
      <c r="A2328" s="1">
        <v>45664.916666666664</v>
      </c>
      <c r="B2328" t="s">
        <v>23</v>
      </c>
      <c r="C2328">
        <v>458.9</v>
      </c>
      <c r="D2328">
        <v>79.48</v>
      </c>
      <c r="E2328" t="s">
        <v>9</v>
      </c>
      <c r="F2328">
        <v>83.68</v>
      </c>
      <c r="G2328" t="s">
        <v>10</v>
      </c>
      <c r="H2328" t="s">
        <v>11</v>
      </c>
    </row>
    <row r="2329" spans="1:8" x14ac:dyDescent="0.25">
      <c r="A2329" s="1">
        <v>45664.958333333336</v>
      </c>
      <c r="B2329" t="s">
        <v>23</v>
      </c>
      <c r="C2329">
        <v>54</v>
      </c>
      <c r="D2329">
        <v>16.97</v>
      </c>
      <c r="E2329" t="s">
        <v>9</v>
      </c>
      <c r="F2329">
        <v>65.8</v>
      </c>
      <c r="G2329" t="s">
        <v>10</v>
      </c>
      <c r="H2329" t="s">
        <v>11</v>
      </c>
    </row>
    <row r="2330" spans="1:8" x14ac:dyDescent="0.25">
      <c r="A2330" s="1">
        <v>45665</v>
      </c>
      <c r="B2330" t="s">
        <v>23</v>
      </c>
      <c r="C2330">
        <v>107.24</v>
      </c>
      <c r="D2330">
        <v>46.08</v>
      </c>
      <c r="E2330" t="s">
        <v>9</v>
      </c>
      <c r="F2330">
        <v>46.29</v>
      </c>
      <c r="G2330" t="s">
        <v>10</v>
      </c>
      <c r="H2330" t="s">
        <v>12</v>
      </c>
    </row>
    <row r="2331" spans="1:8" x14ac:dyDescent="0.25">
      <c r="A2331" s="1">
        <v>45665.041666666664</v>
      </c>
      <c r="B2331" t="s">
        <v>23</v>
      </c>
      <c r="C2331">
        <v>287.56</v>
      </c>
      <c r="D2331">
        <v>36.119999999999997</v>
      </c>
      <c r="E2331" t="s">
        <v>9</v>
      </c>
      <c r="F2331">
        <v>84.51</v>
      </c>
      <c r="G2331" t="s">
        <v>10</v>
      </c>
      <c r="H2331" t="s">
        <v>13</v>
      </c>
    </row>
    <row r="2332" spans="1:8" x14ac:dyDescent="0.25">
      <c r="A2332" s="1">
        <v>45665.083333333336</v>
      </c>
      <c r="B2332" t="s">
        <v>23</v>
      </c>
      <c r="C2332">
        <v>190.63</v>
      </c>
      <c r="D2332">
        <v>28.13</v>
      </c>
      <c r="E2332" t="s">
        <v>9</v>
      </c>
      <c r="F2332">
        <v>65.34</v>
      </c>
      <c r="G2332" t="s">
        <v>10</v>
      </c>
      <c r="H2332" t="s">
        <v>13</v>
      </c>
    </row>
    <row r="2333" spans="1:8" x14ac:dyDescent="0.25">
      <c r="A2333" s="1">
        <v>45665.125</v>
      </c>
      <c r="B2333" t="s">
        <v>23</v>
      </c>
      <c r="C2333">
        <v>417.86</v>
      </c>
      <c r="D2333">
        <v>23.9</v>
      </c>
      <c r="E2333" t="s">
        <v>9</v>
      </c>
      <c r="F2333">
        <v>40.97</v>
      </c>
      <c r="G2333" t="s">
        <v>10</v>
      </c>
      <c r="H2333" t="s">
        <v>13</v>
      </c>
    </row>
    <row r="2334" spans="1:8" x14ac:dyDescent="0.25">
      <c r="A2334" s="1">
        <v>45665.166666666664</v>
      </c>
      <c r="B2334" t="s">
        <v>23</v>
      </c>
      <c r="C2334">
        <v>104.59</v>
      </c>
      <c r="D2334">
        <v>28.22</v>
      </c>
      <c r="E2334" t="s">
        <v>9</v>
      </c>
      <c r="F2334">
        <v>44.83</v>
      </c>
      <c r="G2334" t="s">
        <v>10</v>
      </c>
      <c r="H2334" t="s">
        <v>11</v>
      </c>
    </row>
    <row r="2335" spans="1:8" x14ac:dyDescent="0.25">
      <c r="A2335" s="1">
        <v>45665.208333333336</v>
      </c>
      <c r="B2335" t="s">
        <v>23</v>
      </c>
      <c r="C2335">
        <v>474.34</v>
      </c>
      <c r="D2335">
        <v>31.15</v>
      </c>
      <c r="E2335" t="s">
        <v>9</v>
      </c>
      <c r="F2335">
        <v>33.54</v>
      </c>
      <c r="G2335" t="s">
        <v>10</v>
      </c>
      <c r="H2335" t="s">
        <v>13</v>
      </c>
    </row>
    <row r="2336" spans="1:8" x14ac:dyDescent="0.25">
      <c r="A2336" s="1">
        <v>45665.25</v>
      </c>
      <c r="B2336" t="s">
        <v>23</v>
      </c>
      <c r="C2336">
        <v>270.70999999999998</v>
      </c>
      <c r="D2336">
        <v>20.010000000000002</v>
      </c>
      <c r="E2336" t="s">
        <v>9</v>
      </c>
      <c r="F2336">
        <v>32.08</v>
      </c>
      <c r="G2336" t="s">
        <v>10</v>
      </c>
      <c r="H2336" t="s">
        <v>12</v>
      </c>
    </row>
    <row r="2337" spans="1:8" x14ac:dyDescent="0.25">
      <c r="A2337" s="1">
        <v>45665.291666666664</v>
      </c>
      <c r="B2337" t="s">
        <v>23</v>
      </c>
      <c r="C2337">
        <v>53.33</v>
      </c>
      <c r="D2337">
        <v>80.17</v>
      </c>
      <c r="E2337" t="s">
        <v>9</v>
      </c>
      <c r="F2337">
        <v>61.02</v>
      </c>
      <c r="G2337" t="s">
        <v>10</v>
      </c>
      <c r="H2337" t="s">
        <v>11</v>
      </c>
    </row>
    <row r="2338" spans="1:8" x14ac:dyDescent="0.25">
      <c r="A2338" s="1">
        <v>45665.333333333336</v>
      </c>
      <c r="B2338" t="s">
        <v>23</v>
      </c>
      <c r="C2338">
        <v>496.81</v>
      </c>
      <c r="D2338">
        <v>46.04</v>
      </c>
      <c r="E2338" t="s">
        <v>9</v>
      </c>
      <c r="F2338">
        <v>67.47</v>
      </c>
      <c r="G2338" t="s">
        <v>10</v>
      </c>
      <c r="H2338" t="s">
        <v>12</v>
      </c>
    </row>
    <row r="2339" spans="1:8" x14ac:dyDescent="0.25">
      <c r="A2339" s="1">
        <v>45665.375</v>
      </c>
      <c r="B2339" t="s">
        <v>23</v>
      </c>
      <c r="C2339">
        <v>424.19</v>
      </c>
      <c r="D2339">
        <v>51.55</v>
      </c>
      <c r="E2339" t="s">
        <v>9</v>
      </c>
      <c r="F2339">
        <v>74.25</v>
      </c>
      <c r="G2339" t="s">
        <v>10</v>
      </c>
      <c r="H2339" t="s">
        <v>12</v>
      </c>
    </row>
    <row r="2340" spans="1:8" x14ac:dyDescent="0.25">
      <c r="A2340" s="1">
        <v>45665.416666666664</v>
      </c>
      <c r="B2340" t="s">
        <v>23</v>
      </c>
      <c r="C2340">
        <v>491.18</v>
      </c>
      <c r="D2340">
        <v>44.64</v>
      </c>
      <c r="E2340" t="s">
        <v>9</v>
      </c>
      <c r="F2340">
        <v>31.53</v>
      </c>
      <c r="G2340" t="s">
        <v>10</v>
      </c>
      <c r="H2340" t="s">
        <v>12</v>
      </c>
    </row>
    <row r="2341" spans="1:8" x14ac:dyDescent="0.25">
      <c r="A2341" s="1">
        <v>45665.458333333336</v>
      </c>
      <c r="B2341" t="s">
        <v>23</v>
      </c>
      <c r="C2341">
        <v>108.96</v>
      </c>
      <c r="D2341">
        <v>70.61</v>
      </c>
      <c r="E2341" t="s">
        <v>9</v>
      </c>
      <c r="F2341">
        <v>57.37</v>
      </c>
      <c r="G2341" t="s">
        <v>10</v>
      </c>
      <c r="H2341" t="s">
        <v>12</v>
      </c>
    </row>
    <row r="2342" spans="1:8" x14ac:dyDescent="0.25">
      <c r="A2342" s="1">
        <v>45665.5</v>
      </c>
      <c r="B2342" t="s">
        <v>23</v>
      </c>
      <c r="C2342">
        <v>115.87</v>
      </c>
      <c r="D2342">
        <v>25.32</v>
      </c>
      <c r="E2342" t="s">
        <v>9</v>
      </c>
      <c r="F2342">
        <v>65</v>
      </c>
      <c r="G2342" t="s">
        <v>10</v>
      </c>
      <c r="H2342" t="s">
        <v>13</v>
      </c>
    </row>
    <row r="2343" spans="1:8" x14ac:dyDescent="0.25">
      <c r="A2343" s="1">
        <v>45665.541666666664</v>
      </c>
      <c r="B2343" t="s">
        <v>23</v>
      </c>
      <c r="C2343">
        <v>235.18</v>
      </c>
      <c r="D2343">
        <v>62.67</v>
      </c>
      <c r="E2343" t="s">
        <v>9</v>
      </c>
      <c r="F2343">
        <v>39.619999999999997</v>
      </c>
      <c r="G2343" t="s">
        <v>10</v>
      </c>
      <c r="H2343" t="s">
        <v>11</v>
      </c>
    </row>
    <row r="2344" spans="1:8" x14ac:dyDescent="0.25">
      <c r="A2344" s="1">
        <v>45665.583333333336</v>
      </c>
      <c r="B2344" t="s">
        <v>23</v>
      </c>
      <c r="C2344">
        <v>177.3</v>
      </c>
      <c r="D2344">
        <v>55.27</v>
      </c>
      <c r="E2344" t="s">
        <v>9</v>
      </c>
      <c r="F2344">
        <v>60.65</v>
      </c>
      <c r="G2344" t="s">
        <v>10</v>
      </c>
      <c r="H2344" t="s">
        <v>12</v>
      </c>
    </row>
    <row r="2345" spans="1:8" x14ac:dyDescent="0.25">
      <c r="A2345" s="1">
        <v>45665.625</v>
      </c>
      <c r="B2345" t="s">
        <v>23</v>
      </c>
      <c r="C2345">
        <v>189.36</v>
      </c>
      <c r="D2345">
        <v>38.07</v>
      </c>
      <c r="E2345" t="s">
        <v>9</v>
      </c>
      <c r="F2345">
        <v>48.35</v>
      </c>
      <c r="G2345" t="s">
        <v>10</v>
      </c>
      <c r="H2345" t="s">
        <v>12</v>
      </c>
    </row>
    <row r="2346" spans="1:8" x14ac:dyDescent="0.25">
      <c r="A2346" s="1">
        <v>45665.666666666664</v>
      </c>
      <c r="B2346" t="s">
        <v>23</v>
      </c>
      <c r="C2346">
        <v>375.71</v>
      </c>
      <c r="D2346">
        <v>68.25</v>
      </c>
      <c r="E2346" t="s">
        <v>9</v>
      </c>
      <c r="F2346">
        <v>77.92</v>
      </c>
      <c r="G2346" t="s">
        <v>10</v>
      </c>
      <c r="H2346" t="s">
        <v>13</v>
      </c>
    </row>
    <row r="2347" spans="1:8" x14ac:dyDescent="0.25">
      <c r="A2347" s="1">
        <v>45665.708333333336</v>
      </c>
      <c r="B2347" t="s">
        <v>23</v>
      </c>
      <c r="C2347">
        <v>456.76</v>
      </c>
      <c r="D2347">
        <v>17.600000000000001</v>
      </c>
      <c r="E2347" t="s">
        <v>9</v>
      </c>
      <c r="F2347">
        <v>49.35</v>
      </c>
      <c r="G2347" t="s">
        <v>10</v>
      </c>
      <c r="H2347" t="s">
        <v>12</v>
      </c>
    </row>
    <row r="2348" spans="1:8" x14ac:dyDescent="0.25">
      <c r="A2348" s="1">
        <v>45665.75</v>
      </c>
      <c r="B2348" t="s">
        <v>23</v>
      </c>
      <c r="C2348">
        <v>283.02999999999997</v>
      </c>
      <c r="D2348">
        <v>67.010000000000005</v>
      </c>
      <c r="E2348" t="s">
        <v>9</v>
      </c>
      <c r="F2348">
        <v>61.65</v>
      </c>
      <c r="G2348" t="s">
        <v>10</v>
      </c>
      <c r="H2348" t="s">
        <v>11</v>
      </c>
    </row>
    <row r="2349" spans="1:8" x14ac:dyDescent="0.25">
      <c r="A2349" s="1">
        <v>45665.791666666664</v>
      </c>
      <c r="B2349" t="s">
        <v>23</v>
      </c>
      <c r="C2349">
        <v>79.98</v>
      </c>
      <c r="D2349">
        <v>55.8</v>
      </c>
      <c r="E2349" t="s">
        <v>9</v>
      </c>
      <c r="F2349">
        <v>50.76</v>
      </c>
      <c r="G2349" t="s">
        <v>10</v>
      </c>
      <c r="H2349" t="s">
        <v>13</v>
      </c>
    </row>
    <row r="2350" spans="1:8" x14ac:dyDescent="0.25">
      <c r="A2350" s="1">
        <v>45665.833333333336</v>
      </c>
      <c r="B2350" t="s">
        <v>23</v>
      </c>
      <c r="C2350">
        <v>235.83</v>
      </c>
      <c r="D2350">
        <v>25.29</v>
      </c>
      <c r="E2350" t="s">
        <v>9</v>
      </c>
      <c r="F2350">
        <v>60.44</v>
      </c>
      <c r="G2350" t="s">
        <v>10</v>
      </c>
      <c r="H2350" t="s">
        <v>12</v>
      </c>
    </row>
    <row r="2351" spans="1:8" x14ac:dyDescent="0.25">
      <c r="A2351" s="1">
        <v>45665.875</v>
      </c>
      <c r="B2351" t="s">
        <v>23</v>
      </c>
      <c r="C2351">
        <v>96.57</v>
      </c>
      <c r="D2351">
        <v>34.54</v>
      </c>
      <c r="E2351" t="s">
        <v>9</v>
      </c>
      <c r="F2351">
        <v>85.14</v>
      </c>
      <c r="G2351" t="s">
        <v>10</v>
      </c>
      <c r="H2351" t="s">
        <v>11</v>
      </c>
    </row>
    <row r="2352" spans="1:8" x14ac:dyDescent="0.25">
      <c r="A2352" s="1">
        <v>45665.916666666664</v>
      </c>
      <c r="B2352" t="s">
        <v>23</v>
      </c>
      <c r="C2352">
        <v>56.05</v>
      </c>
      <c r="D2352">
        <v>30.58</v>
      </c>
      <c r="E2352" t="s">
        <v>9</v>
      </c>
      <c r="F2352">
        <v>70.97</v>
      </c>
      <c r="G2352" t="s">
        <v>10</v>
      </c>
      <c r="H2352" t="s">
        <v>13</v>
      </c>
    </row>
    <row r="2353" spans="1:8" x14ac:dyDescent="0.25">
      <c r="A2353" s="1">
        <v>45665.958333333336</v>
      </c>
      <c r="B2353" t="s">
        <v>23</v>
      </c>
      <c r="C2353">
        <v>163.83000000000001</v>
      </c>
      <c r="D2353">
        <v>69.349999999999994</v>
      </c>
      <c r="E2353" t="s">
        <v>9</v>
      </c>
      <c r="F2353">
        <v>73.45</v>
      </c>
      <c r="G2353" t="s">
        <v>10</v>
      </c>
      <c r="H2353" t="s">
        <v>13</v>
      </c>
    </row>
    <row r="2354" spans="1:8" x14ac:dyDescent="0.25">
      <c r="A2354" s="1">
        <v>45666</v>
      </c>
      <c r="B2354" t="s">
        <v>23</v>
      </c>
      <c r="C2354">
        <v>392.31</v>
      </c>
      <c r="D2354">
        <v>17.91</v>
      </c>
      <c r="E2354" t="s">
        <v>9</v>
      </c>
      <c r="F2354">
        <v>52.3</v>
      </c>
      <c r="G2354" t="s">
        <v>10</v>
      </c>
      <c r="H2354" t="s">
        <v>13</v>
      </c>
    </row>
    <row r="2355" spans="1:8" x14ac:dyDescent="0.25">
      <c r="A2355" s="1">
        <v>45666.041666666664</v>
      </c>
      <c r="B2355" t="s">
        <v>23</v>
      </c>
      <c r="C2355">
        <v>483.4</v>
      </c>
      <c r="D2355">
        <v>23.95</v>
      </c>
      <c r="E2355" t="s">
        <v>9</v>
      </c>
      <c r="F2355">
        <v>45.29</v>
      </c>
      <c r="G2355" t="s">
        <v>10</v>
      </c>
      <c r="H2355" t="s">
        <v>12</v>
      </c>
    </row>
    <row r="2356" spans="1:8" x14ac:dyDescent="0.25">
      <c r="A2356" s="1">
        <v>45666.083333333336</v>
      </c>
      <c r="B2356" t="s">
        <v>23</v>
      </c>
      <c r="C2356">
        <v>284.44</v>
      </c>
      <c r="D2356">
        <v>72.36</v>
      </c>
      <c r="E2356" t="s">
        <v>9</v>
      </c>
      <c r="F2356">
        <v>72.11</v>
      </c>
      <c r="G2356" t="s">
        <v>10</v>
      </c>
      <c r="H2356" t="s">
        <v>13</v>
      </c>
    </row>
    <row r="2357" spans="1:8" x14ac:dyDescent="0.25">
      <c r="A2357" s="1">
        <v>45666.125</v>
      </c>
      <c r="B2357" t="s">
        <v>23</v>
      </c>
      <c r="C2357">
        <v>219.65</v>
      </c>
      <c r="D2357">
        <v>88.66</v>
      </c>
      <c r="E2357" t="s">
        <v>14</v>
      </c>
      <c r="F2357">
        <v>32.18</v>
      </c>
      <c r="G2357" t="s">
        <v>10</v>
      </c>
      <c r="H2357" t="s">
        <v>13</v>
      </c>
    </row>
    <row r="2358" spans="1:8" x14ac:dyDescent="0.25">
      <c r="A2358" s="1">
        <v>45666.166666666664</v>
      </c>
      <c r="B2358" t="s">
        <v>23</v>
      </c>
      <c r="C2358">
        <v>153.87</v>
      </c>
      <c r="D2358">
        <v>82.74</v>
      </c>
      <c r="E2358" t="s">
        <v>9</v>
      </c>
      <c r="F2358">
        <v>38.35</v>
      </c>
      <c r="G2358" t="s">
        <v>10</v>
      </c>
      <c r="H2358" t="s">
        <v>12</v>
      </c>
    </row>
    <row r="2359" spans="1:8" x14ac:dyDescent="0.25">
      <c r="A2359" s="1">
        <v>45666.208333333336</v>
      </c>
      <c r="B2359" t="s">
        <v>23</v>
      </c>
      <c r="C2359">
        <v>72.08</v>
      </c>
      <c r="D2359">
        <v>22.78</v>
      </c>
      <c r="E2359" t="s">
        <v>9</v>
      </c>
      <c r="F2359">
        <v>61.48</v>
      </c>
      <c r="G2359" t="s">
        <v>10</v>
      </c>
      <c r="H2359" t="s">
        <v>13</v>
      </c>
    </row>
    <row r="2360" spans="1:8" x14ac:dyDescent="0.25">
      <c r="A2360" s="1">
        <v>45666.25</v>
      </c>
      <c r="B2360" t="s">
        <v>23</v>
      </c>
      <c r="C2360">
        <v>412.1</v>
      </c>
      <c r="D2360">
        <v>73.650000000000006</v>
      </c>
      <c r="E2360" t="s">
        <v>9</v>
      </c>
      <c r="F2360">
        <v>85.52</v>
      </c>
      <c r="G2360" t="s">
        <v>10</v>
      </c>
      <c r="H2360" t="s">
        <v>12</v>
      </c>
    </row>
    <row r="2361" spans="1:8" x14ac:dyDescent="0.25">
      <c r="A2361" s="1">
        <v>45666.291666666664</v>
      </c>
      <c r="B2361" t="s">
        <v>23</v>
      </c>
      <c r="C2361">
        <v>127.91</v>
      </c>
      <c r="D2361">
        <v>17.87</v>
      </c>
      <c r="E2361" t="s">
        <v>9</v>
      </c>
      <c r="F2361">
        <v>44.79</v>
      </c>
      <c r="G2361" t="s">
        <v>10</v>
      </c>
      <c r="H2361" t="s">
        <v>13</v>
      </c>
    </row>
    <row r="2362" spans="1:8" x14ac:dyDescent="0.25">
      <c r="A2362" s="1">
        <v>45666.333333333336</v>
      </c>
      <c r="B2362" t="s">
        <v>23</v>
      </c>
      <c r="C2362">
        <v>331.73</v>
      </c>
      <c r="D2362">
        <v>47.68</v>
      </c>
      <c r="E2362" t="s">
        <v>9</v>
      </c>
      <c r="F2362">
        <v>87.89</v>
      </c>
      <c r="G2362" t="s">
        <v>10</v>
      </c>
      <c r="H2362" t="s">
        <v>12</v>
      </c>
    </row>
    <row r="2363" spans="1:8" x14ac:dyDescent="0.25">
      <c r="A2363" s="1">
        <v>45666.375</v>
      </c>
      <c r="B2363" t="s">
        <v>23</v>
      </c>
      <c r="C2363">
        <v>66.2</v>
      </c>
      <c r="D2363">
        <v>81.36</v>
      </c>
      <c r="E2363" t="s">
        <v>9</v>
      </c>
      <c r="F2363">
        <v>65.489999999999995</v>
      </c>
      <c r="G2363" t="s">
        <v>10</v>
      </c>
      <c r="H2363" t="s">
        <v>13</v>
      </c>
    </row>
    <row r="2364" spans="1:8" x14ac:dyDescent="0.25">
      <c r="A2364" s="1">
        <v>45666.416666666664</v>
      </c>
      <c r="B2364" t="s">
        <v>23</v>
      </c>
      <c r="C2364">
        <v>342.65</v>
      </c>
      <c r="D2364">
        <v>31.05</v>
      </c>
      <c r="E2364" t="s">
        <v>9</v>
      </c>
      <c r="F2364">
        <v>71.790000000000006</v>
      </c>
      <c r="G2364" t="s">
        <v>10</v>
      </c>
      <c r="H2364" t="s">
        <v>11</v>
      </c>
    </row>
    <row r="2365" spans="1:8" x14ac:dyDescent="0.25">
      <c r="A2365" s="1">
        <v>45666.458333333336</v>
      </c>
      <c r="B2365" t="s">
        <v>23</v>
      </c>
      <c r="C2365">
        <v>327.33</v>
      </c>
      <c r="D2365">
        <v>28.87</v>
      </c>
      <c r="E2365" t="s">
        <v>9</v>
      </c>
      <c r="F2365">
        <v>70.739999999999995</v>
      </c>
      <c r="G2365" t="s">
        <v>10</v>
      </c>
      <c r="H2365" t="s">
        <v>11</v>
      </c>
    </row>
    <row r="2366" spans="1:8" x14ac:dyDescent="0.25">
      <c r="A2366" s="1">
        <v>45666.5</v>
      </c>
      <c r="B2366" t="s">
        <v>23</v>
      </c>
      <c r="C2366">
        <v>178.67</v>
      </c>
      <c r="D2366">
        <v>88.29</v>
      </c>
      <c r="E2366" t="s">
        <v>14</v>
      </c>
      <c r="F2366">
        <v>76.86</v>
      </c>
      <c r="G2366" t="s">
        <v>10</v>
      </c>
      <c r="H2366" t="s">
        <v>11</v>
      </c>
    </row>
    <row r="2367" spans="1:8" x14ac:dyDescent="0.25">
      <c r="A2367" s="1">
        <v>45666.541666666664</v>
      </c>
      <c r="B2367" t="s">
        <v>23</v>
      </c>
      <c r="C2367">
        <v>175.48</v>
      </c>
      <c r="D2367">
        <v>21.58</v>
      </c>
      <c r="E2367" t="s">
        <v>9</v>
      </c>
      <c r="F2367">
        <v>42.65</v>
      </c>
      <c r="G2367" t="s">
        <v>10</v>
      </c>
      <c r="H2367" t="s">
        <v>11</v>
      </c>
    </row>
    <row r="2368" spans="1:8" x14ac:dyDescent="0.25">
      <c r="A2368" s="1">
        <v>45666.583333333336</v>
      </c>
      <c r="B2368" t="s">
        <v>23</v>
      </c>
      <c r="C2368">
        <v>384.28</v>
      </c>
      <c r="D2368">
        <v>15.85</v>
      </c>
      <c r="E2368" t="s">
        <v>9</v>
      </c>
      <c r="F2368">
        <v>87.54</v>
      </c>
      <c r="G2368" t="s">
        <v>10</v>
      </c>
      <c r="H2368" t="s">
        <v>13</v>
      </c>
    </row>
    <row r="2369" spans="1:8" x14ac:dyDescent="0.25">
      <c r="A2369" s="1">
        <v>45666.625</v>
      </c>
      <c r="B2369" t="s">
        <v>23</v>
      </c>
      <c r="C2369">
        <v>289.58</v>
      </c>
      <c r="D2369">
        <v>86.79</v>
      </c>
      <c r="E2369" t="s">
        <v>14</v>
      </c>
      <c r="F2369">
        <v>89.86</v>
      </c>
      <c r="G2369" t="s">
        <v>10</v>
      </c>
      <c r="H2369" t="s">
        <v>12</v>
      </c>
    </row>
    <row r="2370" spans="1:8" x14ac:dyDescent="0.25">
      <c r="A2370" s="1">
        <v>45666.666666666664</v>
      </c>
      <c r="B2370" t="s">
        <v>23</v>
      </c>
      <c r="C2370">
        <v>89.03</v>
      </c>
      <c r="D2370">
        <v>23.49</v>
      </c>
      <c r="E2370" t="s">
        <v>9</v>
      </c>
      <c r="F2370">
        <v>72.91</v>
      </c>
      <c r="G2370" t="s">
        <v>10</v>
      </c>
      <c r="H2370" t="s">
        <v>11</v>
      </c>
    </row>
    <row r="2371" spans="1:8" x14ac:dyDescent="0.25">
      <c r="A2371" s="1">
        <v>45666.708333333336</v>
      </c>
      <c r="B2371" t="s">
        <v>23</v>
      </c>
      <c r="C2371">
        <v>462.73</v>
      </c>
      <c r="D2371">
        <v>74.069999999999993</v>
      </c>
      <c r="E2371" t="s">
        <v>9</v>
      </c>
      <c r="F2371">
        <v>50.13</v>
      </c>
      <c r="G2371" t="s">
        <v>10</v>
      </c>
      <c r="H2371" t="s">
        <v>11</v>
      </c>
    </row>
    <row r="2372" spans="1:8" x14ac:dyDescent="0.25">
      <c r="A2372" s="1">
        <v>45666.75</v>
      </c>
      <c r="B2372" t="s">
        <v>23</v>
      </c>
      <c r="C2372">
        <v>207.82</v>
      </c>
      <c r="D2372">
        <v>36.14</v>
      </c>
      <c r="E2372" t="s">
        <v>9</v>
      </c>
      <c r="F2372">
        <v>64.64</v>
      </c>
      <c r="G2372" t="s">
        <v>10</v>
      </c>
      <c r="H2372" t="s">
        <v>11</v>
      </c>
    </row>
    <row r="2373" spans="1:8" x14ac:dyDescent="0.25">
      <c r="A2373" s="1">
        <v>45666.791666666664</v>
      </c>
      <c r="B2373" t="s">
        <v>23</v>
      </c>
      <c r="C2373">
        <v>488.63</v>
      </c>
      <c r="D2373">
        <v>61.34</v>
      </c>
      <c r="E2373" t="s">
        <v>9</v>
      </c>
      <c r="F2373">
        <v>56.76</v>
      </c>
      <c r="G2373" t="s">
        <v>10</v>
      </c>
      <c r="H2373" t="s">
        <v>13</v>
      </c>
    </row>
    <row r="2374" spans="1:8" x14ac:dyDescent="0.25">
      <c r="A2374" s="1">
        <v>45666.833333333336</v>
      </c>
      <c r="B2374" t="s">
        <v>23</v>
      </c>
      <c r="C2374">
        <v>483.78</v>
      </c>
      <c r="D2374">
        <v>89.38</v>
      </c>
      <c r="E2374" t="s">
        <v>14</v>
      </c>
      <c r="F2374">
        <v>75.73</v>
      </c>
      <c r="G2374" t="s">
        <v>10</v>
      </c>
      <c r="H2374" t="s">
        <v>11</v>
      </c>
    </row>
    <row r="2375" spans="1:8" x14ac:dyDescent="0.25">
      <c r="A2375" s="1">
        <v>45666.875</v>
      </c>
      <c r="B2375" t="s">
        <v>23</v>
      </c>
      <c r="C2375">
        <v>62.14</v>
      </c>
      <c r="D2375">
        <v>86.83</v>
      </c>
      <c r="E2375" t="s">
        <v>14</v>
      </c>
      <c r="F2375">
        <v>50.29</v>
      </c>
      <c r="G2375" t="s">
        <v>10</v>
      </c>
      <c r="H2375" t="s">
        <v>12</v>
      </c>
    </row>
    <row r="2376" spans="1:8" x14ac:dyDescent="0.25">
      <c r="A2376" s="1">
        <v>45666.916666666664</v>
      </c>
      <c r="B2376" t="s">
        <v>23</v>
      </c>
      <c r="C2376">
        <v>453.05</v>
      </c>
      <c r="D2376">
        <v>77.97</v>
      </c>
      <c r="E2376" t="s">
        <v>9</v>
      </c>
      <c r="F2376">
        <v>41.72</v>
      </c>
      <c r="G2376" t="s">
        <v>10</v>
      </c>
      <c r="H2376" t="s">
        <v>13</v>
      </c>
    </row>
    <row r="2377" spans="1:8" x14ac:dyDescent="0.25">
      <c r="A2377" s="1">
        <v>45666.958333333336</v>
      </c>
      <c r="B2377" t="s">
        <v>23</v>
      </c>
      <c r="C2377">
        <v>323.77</v>
      </c>
      <c r="D2377">
        <v>17.260000000000002</v>
      </c>
      <c r="E2377" t="s">
        <v>9</v>
      </c>
      <c r="F2377">
        <v>75.709999999999994</v>
      </c>
      <c r="G2377" t="s">
        <v>10</v>
      </c>
      <c r="H2377" t="s">
        <v>12</v>
      </c>
    </row>
    <row r="2378" spans="1:8" x14ac:dyDescent="0.25">
      <c r="A2378" s="1">
        <v>45667</v>
      </c>
      <c r="B2378" t="s">
        <v>23</v>
      </c>
      <c r="C2378">
        <v>100.95</v>
      </c>
      <c r="D2378">
        <v>82.26</v>
      </c>
      <c r="E2378" t="s">
        <v>9</v>
      </c>
      <c r="F2378">
        <v>45.51</v>
      </c>
      <c r="G2378" t="s">
        <v>10</v>
      </c>
      <c r="H2378" t="s">
        <v>12</v>
      </c>
    </row>
    <row r="2379" spans="1:8" x14ac:dyDescent="0.25">
      <c r="A2379" s="1">
        <v>45667.041666666664</v>
      </c>
      <c r="B2379" t="s">
        <v>23</v>
      </c>
      <c r="C2379">
        <v>481.97</v>
      </c>
      <c r="D2379">
        <v>44.71</v>
      </c>
      <c r="E2379" t="s">
        <v>9</v>
      </c>
      <c r="F2379">
        <v>30.58</v>
      </c>
      <c r="G2379" t="s">
        <v>10</v>
      </c>
      <c r="H2379" t="s">
        <v>12</v>
      </c>
    </row>
    <row r="2380" spans="1:8" x14ac:dyDescent="0.25">
      <c r="A2380" s="1">
        <v>45667.083333333336</v>
      </c>
      <c r="B2380" t="s">
        <v>23</v>
      </c>
      <c r="C2380">
        <v>109.66</v>
      </c>
      <c r="D2380">
        <v>67.44</v>
      </c>
      <c r="E2380" t="s">
        <v>9</v>
      </c>
      <c r="F2380">
        <v>64.510000000000005</v>
      </c>
      <c r="G2380" t="s">
        <v>10</v>
      </c>
      <c r="H2380" t="s">
        <v>11</v>
      </c>
    </row>
    <row r="2381" spans="1:8" x14ac:dyDescent="0.25">
      <c r="A2381" s="1">
        <v>45667.125</v>
      </c>
      <c r="B2381" t="s">
        <v>23</v>
      </c>
      <c r="C2381">
        <v>316.97000000000003</v>
      </c>
      <c r="D2381">
        <v>29.34</v>
      </c>
      <c r="E2381" t="s">
        <v>9</v>
      </c>
      <c r="F2381">
        <v>51.67</v>
      </c>
      <c r="G2381" t="s">
        <v>10</v>
      </c>
      <c r="H2381" t="s">
        <v>12</v>
      </c>
    </row>
    <row r="2382" spans="1:8" x14ac:dyDescent="0.25">
      <c r="A2382" s="1">
        <v>45667.166666666664</v>
      </c>
      <c r="B2382" t="s">
        <v>23</v>
      </c>
      <c r="C2382">
        <v>209.62</v>
      </c>
      <c r="D2382">
        <v>16.2</v>
      </c>
      <c r="E2382" t="s">
        <v>9</v>
      </c>
      <c r="F2382">
        <v>63.19</v>
      </c>
      <c r="G2382" t="s">
        <v>10</v>
      </c>
      <c r="H2382" t="s">
        <v>11</v>
      </c>
    </row>
    <row r="2383" spans="1:8" x14ac:dyDescent="0.25">
      <c r="A2383" s="1">
        <v>45667.208333333336</v>
      </c>
      <c r="B2383" t="s">
        <v>23</v>
      </c>
      <c r="C2383">
        <v>229.48</v>
      </c>
      <c r="D2383">
        <v>74.790000000000006</v>
      </c>
      <c r="E2383" t="s">
        <v>9</v>
      </c>
      <c r="F2383">
        <v>34.39</v>
      </c>
      <c r="G2383" t="s">
        <v>10</v>
      </c>
      <c r="H2383" t="s">
        <v>12</v>
      </c>
    </row>
    <row r="2384" spans="1:8" x14ac:dyDescent="0.25">
      <c r="A2384" s="1">
        <v>45667.25</v>
      </c>
      <c r="B2384" t="s">
        <v>23</v>
      </c>
      <c r="C2384">
        <v>171.06</v>
      </c>
      <c r="D2384">
        <v>62.47</v>
      </c>
      <c r="E2384" t="s">
        <v>9</v>
      </c>
      <c r="F2384">
        <v>42.1</v>
      </c>
      <c r="G2384" t="s">
        <v>10</v>
      </c>
      <c r="H2384" t="s">
        <v>11</v>
      </c>
    </row>
    <row r="2385" spans="1:8" x14ac:dyDescent="0.25">
      <c r="A2385" s="1">
        <v>45667.291666666664</v>
      </c>
      <c r="B2385" t="s">
        <v>23</v>
      </c>
      <c r="C2385">
        <v>462.32</v>
      </c>
      <c r="D2385">
        <v>45.46</v>
      </c>
      <c r="E2385" t="s">
        <v>9</v>
      </c>
      <c r="F2385">
        <v>65.78</v>
      </c>
      <c r="G2385" t="s">
        <v>10</v>
      </c>
      <c r="H2385" t="s">
        <v>11</v>
      </c>
    </row>
    <row r="2386" spans="1:8" x14ac:dyDescent="0.25">
      <c r="A2386" s="1">
        <v>45667.333333333336</v>
      </c>
      <c r="B2386" t="s">
        <v>23</v>
      </c>
      <c r="C2386">
        <v>409.98</v>
      </c>
      <c r="D2386">
        <v>93.45</v>
      </c>
      <c r="E2386" t="s">
        <v>14</v>
      </c>
      <c r="F2386">
        <v>85.9</v>
      </c>
      <c r="G2386" t="s">
        <v>10</v>
      </c>
      <c r="H2386" t="s">
        <v>13</v>
      </c>
    </row>
    <row r="2387" spans="1:8" x14ac:dyDescent="0.25">
      <c r="A2387" s="1">
        <v>45667.375</v>
      </c>
      <c r="B2387" t="s">
        <v>23</v>
      </c>
      <c r="C2387">
        <v>164.45</v>
      </c>
      <c r="D2387">
        <v>76.569999999999993</v>
      </c>
      <c r="E2387" t="s">
        <v>9</v>
      </c>
      <c r="F2387">
        <v>45.93</v>
      </c>
      <c r="G2387" t="s">
        <v>10</v>
      </c>
      <c r="H2387" t="s">
        <v>11</v>
      </c>
    </row>
    <row r="2388" spans="1:8" x14ac:dyDescent="0.25">
      <c r="A2388" s="1">
        <v>45667.416666666664</v>
      </c>
      <c r="B2388" t="s">
        <v>23</v>
      </c>
      <c r="C2388">
        <v>308.18</v>
      </c>
      <c r="D2388">
        <v>60.67</v>
      </c>
      <c r="E2388" t="s">
        <v>9</v>
      </c>
      <c r="F2388">
        <v>87.13</v>
      </c>
      <c r="G2388" t="s">
        <v>10</v>
      </c>
      <c r="H2388" t="s">
        <v>13</v>
      </c>
    </row>
    <row r="2389" spans="1:8" x14ac:dyDescent="0.25">
      <c r="A2389" s="1">
        <v>45667.458333333336</v>
      </c>
      <c r="B2389" t="s">
        <v>23</v>
      </c>
      <c r="C2389">
        <v>117.17</v>
      </c>
      <c r="D2389">
        <v>80.37</v>
      </c>
      <c r="E2389" t="s">
        <v>9</v>
      </c>
      <c r="F2389">
        <v>46.56</v>
      </c>
      <c r="G2389" t="s">
        <v>10</v>
      </c>
      <c r="H2389" t="s">
        <v>11</v>
      </c>
    </row>
    <row r="2390" spans="1:8" x14ac:dyDescent="0.25">
      <c r="A2390" s="1">
        <v>45667.5</v>
      </c>
      <c r="B2390" t="s">
        <v>23</v>
      </c>
      <c r="C2390">
        <v>316.43</v>
      </c>
      <c r="D2390">
        <v>57.76</v>
      </c>
      <c r="E2390" t="s">
        <v>9</v>
      </c>
      <c r="F2390">
        <v>59.63</v>
      </c>
      <c r="G2390" t="s">
        <v>10</v>
      </c>
      <c r="H2390" t="s">
        <v>13</v>
      </c>
    </row>
    <row r="2391" spans="1:8" x14ac:dyDescent="0.25">
      <c r="A2391" s="1">
        <v>45667.541666666664</v>
      </c>
      <c r="B2391" t="s">
        <v>23</v>
      </c>
      <c r="C2391">
        <v>345.83</v>
      </c>
      <c r="D2391">
        <v>15.26</v>
      </c>
      <c r="E2391" t="s">
        <v>9</v>
      </c>
      <c r="F2391">
        <v>33.86</v>
      </c>
      <c r="G2391" t="s">
        <v>10</v>
      </c>
      <c r="H2391" t="s">
        <v>11</v>
      </c>
    </row>
    <row r="2392" spans="1:8" x14ac:dyDescent="0.25">
      <c r="A2392" s="1">
        <v>45667.583333333336</v>
      </c>
      <c r="B2392" t="s">
        <v>23</v>
      </c>
      <c r="C2392">
        <v>270.25</v>
      </c>
      <c r="D2392">
        <v>53.58</v>
      </c>
      <c r="E2392" t="s">
        <v>9</v>
      </c>
      <c r="F2392">
        <v>34.65</v>
      </c>
      <c r="G2392" t="s">
        <v>10</v>
      </c>
      <c r="H2392" t="s">
        <v>13</v>
      </c>
    </row>
    <row r="2393" spans="1:8" x14ac:dyDescent="0.25">
      <c r="A2393" s="1">
        <v>45667.625</v>
      </c>
      <c r="B2393" t="s">
        <v>23</v>
      </c>
      <c r="C2393">
        <v>160.16</v>
      </c>
      <c r="D2393">
        <v>60.53</v>
      </c>
      <c r="E2393" t="s">
        <v>9</v>
      </c>
      <c r="F2393">
        <v>76.099999999999994</v>
      </c>
      <c r="G2393" t="s">
        <v>10</v>
      </c>
      <c r="H2393" t="s">
        <v>11</v>
      </c>
    </row>
    <row r="2394" spans="1:8" x14ac:dyDescent="0.25">
      <c r="A2394" s="1">
        <v>45667.666666666664</v>
      </c>
      <c r="B2394" t="s">
        <v>23</v>
      </c>
      <c r="C2394">
        <v>234.05</v>
      </c>
      <c r="D2394">
        <v>56.44</v>
      </c>
      <c r="E2394" t="s">
        <v>9</v>
      </c>
      <c r="F2394">
        <v>38.090000000000003</v>
      </c>
      <c r="G2394" t="s">
        <v>10</v>
      </c>
      <c r="H2394" t="s">
        <v>11</v>
      </c>
    </row>
    <row r="2395" spans="1:8" x14ac:dyDescent="0.25">
      <c r="A2395" s="1">
        <v>45667.708333333336</v>
      </c>
      <c r="B2395" t="s">
        <v>23</v>
      </c>
      <c r="C2395">
        <v>244.45</v>
      </c>
      <c r="D2395">
        <v>58.71</v>
      </c>
      <c r="E2395" t="s">
        <v>9</v>
      </c>
      <c r="F2395">
        <v>79.989999999999995</v>
      </c>
      <c r="G2395" t="s">
        <v>10</v>
      </c>
      <c r="H2395" t="s">
        <v>11</v>
      </c>
    </row>
    <row r="2396" spans="1:8" x14ac:dyDescent="0.25">
      <c r="A2396" s="1">
        <v>45667.75</v>
      </c>
      <c r="B2396" t="s">
        <v>23</v>
      </c>
      <c r="C2396">
        <v>135.36000000000001</v>
      </c>
      <c r="D2396">
        <v>41.36</v>
      </c>
      <c r="E2396" t="s">
        <v>9</v>
      </c>
      <c r="F2396">
        <v>34.67</v>
      </c>
      <c r="G2396" t="s">
        <v>10</v>
      </c>
      <c r="H2396" t="s">
        <v>11</v>
      </c>
    </row>
    <row r="2397" spans="1:8" x14ac:dyDescent="0.25">
      <c r="A2397" s="1">
        <v>45667.791666666664</v>
      </c>
      <c r="B2397" t="s">
        <v>23</v>
      </c>
      <c r="C2397">
        <v>460.07</v>
      </c>
      <c r="D2397">
        <v>15.57</v>
      </c>
      <c r="E2397" t="s">
        <v>9</v>
      </c>
      <c r="F2397">
        <v>69.209999999999994</v>
      </c>
      <c r="G2397" t="s">
        <v>10</v>
      </c>
      <c r="H2397" t="s">
        <v>11</v>
      </c>
    </row>
    <row r="2398" spans="1:8" x14ac:dyDescent="0.25">
      <c r="A2398" s="1">
        <v>45667.833333333336</v>
      </c>
      <c r="B2398" t="s">
        <v>23</v>
      </c>
      <c r="C2398">
        <v>198.66</v>
      </c>
      <c r="D2398">
        <v>58.44</v>
      </c>
      <c r="E2398" t="s">
        <v>9</v>
      </c>
      <c r="F2398">
        <v>41.98</v>
      </c>
      <c r="G2398" t="s">
        <v>10</v>
      </c>
      <c r="H2398" t="s">
        <v>13</v>
      </c>
    </row>
    <row r="2399" spans="1:8" x14ac:dyDescent="0.25">
      <c r="A2399" s="1">
        <v>45667.875</v>
      </c>
      <c r="B2399" t="s">
        <v>23</v>
      </c>
      <c r="C2399">
        <v>431.24</v>
      </c>
      <c r="D2399">
        <v>53.85</v>
      </c>
      <c r="E2399" t="s">
        <v>9</v>
      </c>
      <c r="F2399">
        <v>79.349999999999994</v>
      </c>
      <c r="G2399" t="s">
        <v>10</v>
      </c>
      <c r="H2399" t="s">
        <v>11</v>
      </c>
    </row>
    <row r="2400" spans="1:8" x14ac:dyDescent="0.25">
      <c r="A2400" s="1">
        <v>45667.916666666664</v>
      </c>
      <c r="B2400" t="s">
        <v>23</v>
      </c>
      <c r="C2400">
        <v>116.02</v>
      </c>
      <c r="D2400">
        <v>82.11</v>
      </c>
      <c r="E2400" t="s">
        <v>9</v>
      </c>
      <c r="F2400">
        <v>38.770000000000003</v>
      </c>
      <c r="G2400" t="s">
        <v>10</v>
      </c>
      <c r="H2400" t="s">
        <v>11</v>
      </c>
    </row>
    <row r="2401" spans="1:8" x14ac:dyDescent="0.25">
      <c r="A2401" s="1">
        <v>45667.958333333336</v>
      </c>
      <c r="B2401" t="s">
        <v>23</v>
      </c>
      <c r="C2401">
        <v>252.28</v>
      </c>
      <c r="D2401">
        <v>58.53</v>
      </c>
      <c r="E2401" t="s">
        <v>9</v>
      </c>
      <c r="F2401">
        <v>83.79</v>
      </c>
      <c r="G2401" t="s">
        <v>10</v>
      </c>
      <c r="H2401" t="s">
        <v>13</v>
      </c>
    </row>
    <row r="2402" spans="1:8" x14ac:dyDescent="0.25">
      <c r="A2402" s="1">
        <v>45668</v>
      </c>
      <c r="B2402" t="s">
        <v>23</v>
      </c>
      <c r="C2402">
        <v>483.87</v>
      </c>
      <c r="D2402">
        <v>40.28</v>
      </c>
      <c r="E2402" t="s">
        <v>9</v>
      </c>
      <c r="F2402">
        <v>77.92</v>
      </c>
      <c r="G2402" t="s">
        <v>10</v>
      </c>
      <c r="H2402" t="s">
        <v>13</v>
      </c>
    </row>
    <row r="2403" spans="1:8" x14ac:dyDescent="0.25">
      <c r="A2403" s="1">
        <v>45668.041666666664</v>
      </c>
      <c r="B2403" t="s">
        <v>23</v>
      </c>
      <c r="C2403">
        <v>287.52999999999997</v>
      </c>
      <c r="D2403">
        <v>36.299999999999997</v>
      </c>
      <c r="E2403" t="s">
        <v>9</v>
      </c>
      <c r="F2403">
        <v>81.87</v>
      </c>
      <c r="G2403" t="s">
        <v>10</v>
      </c>
      <c r="H2403" t="s">
        <v>12</v>
      </c>
    </row>
    <row r="2404" spans="1:8" x14ac:dyDescent="0.25">
      <c r="A2404" s="1">
        <v>45668.083333333336</v>
      </c>
      <c r="B2404" t="s">
        <v>23</v>
      </c>
      <c r="C2404">
        <v>469.11</v>
      </c>
      <c r="D2404">
        <v>25.83</v>
      </c>
      <c r="E2404" t="s">
        <v>9</v>
      </c>
      <c r="F2404">
        <v>67.94</v>
      </c>
      <c r="G2404" t="s">
        <v>10</v>
      </c>
      <c r="H2404" t="s">
        <v>11</v>
      </c>
    </row>
    <row r="2405" spans="1:8" x14ac:dyDescent="0.25">
      <c r="A2405" s="1">
        <v>45668.125</v>
      </c>
      <c r="B2405" t="s">
        <v>23</v>
      </c>
      <c r="C2405">
        <v>104.33</v>
      </c>
      <c r="D2405">
        <v>40.409999999999997</v>
      </c>
      <c r="E2405" t="s">
        <v>9</v>
      </c>
      <c r="F2405">
        <v>63.78</v>
      </c>
      <c r="G2405" t="s">
        <v>10</v>
      </c>
      <c r="H2405" t="s">
        <v>11</v>
      </c>
    </row>
    <row r="2406" spans="1:8" x14ac:dyDescent="0.25">
      <c r="A2406" s="1">
        <v>45668.166666666664</v>
      </c>
      <c r="B2406" t="s">
        <v>23</v>
      </c>
      <c r="C2406">
        <v>410.28</v>
      </c>
      <c r="D2406">
        <v>92.75</v>
      </c>
      <c r="E2406" t="s">
        <v>14</v>
      </c>
      <c r="F2406">
        <v>42.89</v>
      </c>
      <c r="G2406" t="s">
        <v>10</v>
      </c>
      <c r="H2406" t="s">
        <v>13</v>
      </c>
    </row>
    <row r="2407" spans="1:8" x14ac:dyDescent="0.25">
      <c r="A2407" s="1">
        <v>45668.208333333336</v>
      </c>
      <c r="B2407" t="s">
        <v>23</v>
      </c>
      <c r="C2407">
        <v>162.59</v>
      </c>
      <c r="D2407">
        <v>72.66</v>
      </c>
      <c r="E2407" t="s">
        <v>9</v>
      </c>
      <c r="F2407">
        <v>64.5</v>
      </c>
      <c r="G2407" t="s">
        <v>10</v>
      </c>
      <c r="H2407" t="s">
        <v>11</v>
      </c>
    </row>
    <row r="2408" spans="1:8" x14ac:dyDescent="0.25">
      <c r="A2408" s="1">
        <v>45668.25</v>
      </c>
      <c r="B2408" t="s">
        <v>23</v>
      </c>
      <c r="C2408">
        <v>58.95</v>
      </c>
      <c r="D2408">
        <v>57.83</v>
      </c>
      <c r="E2408" t="s">
        <v>9</v>
      </c>
      <c r="F2408">
        <v>87.4</v>
      </c>
      <c r="G2408" t="s">
        <v>10</v>
      </c>
      <c r="H2408" t="s">
        <v>11</v>
      </c>
    </row>
    <row r="2409" spans="1:8" x14ac:dyDescent="0.25">
      <c r="A2409" s="1">
        <v>45668.291666666664</v>
      </c>
      <c r="B2409" t="s">
        <v>23</v>
      </c>
      <c r="C2409">
        <v>239.06</v>
      </c>
      <c r="D2409">
        <v>92.48</v>
      </c>
      <c r="E2409" t="s">
        <v>14</v>
      </c>
      <c r="F2409">
        <v>71.680000000000007</v>
      </c>
      <c r="G2409" t="s">
        <v>10</v>
      </c>
      <c r="H2409" t="s">
        <v>12</v>
      </c>
    </row>
    <row r="2410" spans="1:8" x14ac:dyDescent="0.25">
      <c r="A2410" s="1">
        <v>45668.333333333336</v>
      </c>
      <c r="B2410" t="s">
        <v>23</v>
      </c>
      <c r="C2410">
        <v>286.37</v>
      </c>
      <c r="D2410">
        <v>70.86</v>
      </c>
      <c r="E2410" t="s">
        <v>9</v>
      </c>
      <c r="F2410">
        <v>88.2</v>
      </c>
      <c r="G2410" t="s">
        <v>10</v>
      </c>
      <c r="H2410" t="s">
        <v>11</v>
      </c>
    </row>
    <row r="2411" spans="1:8" x14ac:dyDescent="0.25">
      <c r="A2411" s="1">
        <v>45668.375</v>
      </c>
      <c r="B2411" t="s">
        <v>23</v>
      </c>
      <c r="C2411">
        <v>452.76</v>
      </c>
      <c r="D2411">
        <v>70.650000000000006</v>
      </c>
      <c r="E2411" t="s">
        <v>9</v>
      </c>
      <c r="F2411">
        <v>74.11</v>
      </c>
      <c r="G2411" t="s">
        <v>10</v>
      </c>
      <c r="H2411" t="s">
        <v>13</v>
      </c>
    </row>
    <row r="2412" spans="1:8" x14ac:dyDescent="0.25">
      <c r="A2412" s="1">
        <v>45668.416666666664</v>
      </c>
      <c r="B2412" t="s">
        <v>23</v>
      </c>
      <c r="C2412">
        <v>402.34</v>
      </c>
      <c r="D2412">
        <v>38.03</v>
      </c>
      <c r="E2412" t="s">
        <v>9</v>
      </c>
      <c r="F2412">
        <v>63.77</v>
      </c>
      <c r="G2412" t="s">
        <v>10</v>
      </c>
      <c r="H2412" t="s">
        <v>12</v>
      </c>
    </row>
    <row r="2413" spans="1:8" x14ac:dyDescent="0.25">
      <c r="A2413" s="1">
        <v>45668.458333333336</v>
      </c>
      <c r="B2413" t="s">
        <v>23</v>
      </c>
      <c r="C2413">
        <v>338.65</v>
      </c>
      <c r="D2413">
        <v>29.07</v>
      </c>
      <c r="E2413" t="s">
        <v>9</v>
      </c>
      <c r="F2413">
        <v>48.16</v>
      </c>
      <c r="G2413" t="s">
        <v>10</v>
      </c>
      <c r="H2413" t="s">
        <v>12</v>
      </c>
    </row>
    <row r="2414" spans="1:8" x14ac:dyDescent="0.25">
      <c r="A2414" s="1">
        <v>45668.5</v>
      </c>
      <c r="B2414" t="s">
        <v>23</v>
      </c>
      <c r="C2414">
        <v>321.23</v>
      </c>
      <c r="D2414">
        <v>29.14</v>
      </c>
      <c r="E2414" t="s">
        <v>9</v>
      </c>
      <c r="F2414">
        <v>62.52</v>
      </c>
      <c r="G2414" t="s">
        <v>10</v>
      </c>
      <c r="H2414" t="s">
        <v>11</v>
      </c>
    </row>
    <row r="2415" spans="1:8" x14ac:dyDescent="0.25">
      <c r="A2415" s="1">
        <v>45668.541666666664</v>
      </c>
      <c r="B2415" t="s">
        <v>23</v>
      </c>
      <c r="C2415">
        <v>69.930000000000007</v>
      </c>
      <c r="D2415">
        <v>74.73</v>
      </c>
      <c r="E2415" t="s">
        <v>9</v>
      </c>
      <c r="F2415">
        <v>34.29</v>
      </c>
      <c r="G2415" t="s">
        <v>10</v>
      </c>
      <c r="H2415" t="s">
        <v>12</v>
      </c>
    </row>
    <row r="2416" spans="1:8" x14ac:dyDescent="0.25">
      <c r="A2416" s="1">
        <v>45668.583333333336</v>
      </c>
      <c r="B2416" t="s">
        <v>23</v>
      </c>
      <c r="C2416">
        <v>493.68</v>
      </c>
      <c r="D2416">
        <v>16.559999999999999</v>
      </c>
      <c r="E2416" t="s">
        <v>9</v>
      </c>
      <c r="F2416">
        <v>69.75</v>
      </c>
      <c r="G2416" t="s">
        <v>10</v>
      </c>
      <c r="H2416" t="s">
        <v>12</v>
      </c>
    </row>
    <row r="2417" spans="1:8" x14ac:dyDescent="0.25">
      <c r="A2417" s="1">
        <v>45668.625</v>
      </c>
      <c r="B2417" t="s">
        <v>23</v>
      </c>
      <c r="C2417">
        <v>340.7</v>
      </c>
      <c r="D2417">
        <v>42.85</v>
      </c>
      <c r="E2417" t="s">
        <v>9</v>
      </c>
      <c r="F2417">
        <v>70.430000000000007</v>
      </c>
      <c r="G2417" t="s">
        <v>10</v>
      </c>
      <c r="H2417" t="s">
        <v>12</v>
      </c>
    </row>
    <row r="2418" spans="1:8" x14ac:dyDescent="0.25">
      <c r="A2418" s="1">
        <v>45668.666666666664</v>
      </c>
      <c r="B2418" t="s">
        <v>23</v>
      </c>
      <c r="C2418">
        <v>360.75</v>
      </c>
      <c r="D2418">
        <v>23.23</v>
      </c>
      <c r="E2418" t="s">
        <v>9</v>
      </c>
      <c r="F2418">
        <v>69.41</v>
      </c>
      <c r="G2418" t="s">
        <v>10</v>
      </c>
      <c r="H2418" t="s">
        <v>13</v>
      </c>
    </row>
    <row r="2419" spans="1:8" x14ac:dyDescent="0.25">
      <c r="A2419" s="1">
        <v>45668.708333333336</v>
      </c>
      <c r="B2419" t="s">
        <v>23</v>
      </c>
      <c r="C2419">
        <v>62.96</v>
      </c>
      <c r="D2419">
        <v>47.61</v>
      </c>
      <c r="E2419" t="s">
        <v>9</v>
      </c>
      <c r="F2419">
        <v>56.01</v>
      </c>
      <c r="G2419" t="s">
        <v>10</v>
      </c>
      <c r="H2419" t="s">
        <v>13</v>
      </c>
    </row>
    <row r="2420" spans="1:8" x14ac:dyDescent="0.25">
      <c r="A2420" s="1">
        <v>45668.75</v>
      </c>
      <c r="B2420" t="s">
        <v>23</v>
      </c>
      <c r="C2420">
        <v>367.17</v>
      </c>
      <c r="D2420">
        <v>39.020000000000003</v>
      </c>
      <c r="E2420" t="s">
        <v>9</v>
      </c>
      <c r="F2420">
        <v>48.92</v>
      </c>
      <c r="G2420" t="s">
        <v>10</v>
      </c>
      <c r="H2420" t="s">
        <v>13</v>
      </c>
    </row>
    <row r="2421" spans="1:8" x14ac:dyDescent="0.25">
      <c r="A2421" s="1">
        <v>45668.791666666664</v>
      </c>
      <c r="B2421" t="s">
        <v>23</v>
      </c>
      <c r="C2421">
        <v>359.07</v>
      </c>
      <c r="D2421">
        <v>59.99</v>
      </c>
      <c r="E2421" t="s">
        <v>9</v>
      </c>
      <c r="F2421">
        <v>50.97</v>
      </c>
      <c r="G2421" t="s">
        <v>10</v>
      </c>
      <c r="H2421" t="s">
        <v>13</v>
      </c>
    </row>
    <row r="2422" spans="1:8" x14ac:dyDescent="0.25">
      <c r="A2422" s="1">
        <v>45668.833333333336</v>
      </c>
      <c r="B2422" t="s">
        <v>23</v>
      </c>
      <c r="C2422">
        <v>302.42</v>
      </c>
      <c r="D2422">
        <v>32.18</v>
      </c>
      <c r="E2422" t="s">
        <v>9</v>
      </c>
      <c r="F2422">
        <v>60.61</v>
      </c>
      <c r="G2422" t="s">
        <v>10</v>
      </c>
      <c r="H2422" t="s">
        <v>13</v>
      </c>
    </row>
    <row r="2423" spans="1:8" x14ac:dyDescent="0.25">
      <c r="A2423" s="1">
        <v>45668.875</v>
      </c>
      <c r="B2423" t="s">
        <v>23</v>
      </c>
      <c r="C2423">
        <v>336.36</v>
      </c>
      <c r="D2423">
        <v>67.459999999999994</v>
      </c>
      <c r="E2423" t="s">
        <v>9</v>
      </c>
      <c r="F2423">
        <v>47.34</v>
      </c>
      <c r="G2423" t="s">
        <v>10</v>
      </c>
      <c r="H2423" t="s">
        <v>13</v>
      </c>
    </row>
    <row r="2424" spans="1:8" x14ac:dyDescent="0.25">
      <c r="A2424" s="1">
        <v>45668.916666666664</v>
      </c>
      <c r="B2424" t="s">
        <v>23</v>
      </c>
      <c r="C2424">
        <v>259.45</v>
      </c>
      <c r="D2424">
        <v>89.04</v>
      </c>
      <c r="E2424" t="s">
        <v>14</v>
      </c>
      <c r="F2424">
        <v>30.59</v>
      </c>
      <c r="G2424" t="s">
        <v>10</v>
      </c>
      <c r="H2424" t="s">
        <v>12</v>
      </c>
    </row>
    <row r="2425" spans="1:8" x14ac:dyDescent="0.25">
      <c r="A2425" s="1">
        <v>45668.958333333336</v>
      </c>
      <c r="B2425" t="s">
        <v>23</v>
      </c>
      <c r="C2425">
        <v>234.27</v>
      </c>
      <c r="D2425">
        <v>27.73</v>
      </c>
      <c r="E2425" t="s">
        <v>9</v>
      </c>
      <c r="F2425">
        <v>75.400000000000006</v>
      </c>
      <c r="G2425" t="s">
        <v>10</v>
      </c>
      <c r="H2425" t="s">
        <v>12</v>
      </c>
    </row>
    <row r="2426" spans="1:8" x14ac:dyDescent="0.25">
      <c r="A2426" s="1">
        <v>45669</v>
      </c>
      <c r="B2426" t="s">
        <v>23</v>
      </c>
      <c r="C2426">
        <v>428.22</v>
      </c>
      <c r="D2426">
        <v>81.430000000000007</v>
      </c>
      <c r="E2426" t="s">
        <v>9</v>
      </c>
      <c r="F2426">
        <v>70.069999999999993</v>
      </c>
      <c r="G2426" t="s">
        <v>10</v>
      </c>
      <c r="H2426" t="s">
        <v>12</v>
      </c>
    </row>
    <row r="2427" spans="1:8" x14ac:dyDescent="0.25">
      <c r="A2427" s="1">
        <v>45669.041666666664</v>
      </c>
      <c r="B2427" t="s">
        <v>23</v>
      </c>
      <c r="C2427">
        <v>56.94</v>
      </c>
      <c r="D2427">
        <v>22.69</v>
      </c>
      <c r="E2427" t="s">
        <v>9</v>
      </c>
      <c r="F2427">
        <v>35.549999999999997</v>
      </c>
      <c r="G2427" t="s">
        <v>10</v>
      </c>
      <c r="H2427" t="s">
        <v>13</v>
      </c>
    </row>
    <row r="2428" spans="1:8" x14ac:dyDescent="0.25">
      <c r="A2428" s="1">
        <v>45669.083333333336</v>
      </c>
      <c r="B2428" t="s">
        <v>23</v>
      </c>
      <c r="C2428">
        <v>357.27</v>
      </c>
      <c r="D2428">
        <v>86.68</v>
      </c>
      <c r="E2428" t="s">
        <v>14</v>
      </c>
      <c r="F2428">
        <v>49.95</v>
      </c>
      <c r="G2428" t="s">
        <v>10</v>
      </c>
      <c r="H2428" t="s">
        <v>11</v>
      </c>
    </row>
    <row r="2429" spans="1:8" x14ac:dyDescent="0.25">
      <c r="A2429" s="1">
        <v>45669.125</v>
      </c>
      <c r="B2429" t="s">
        <v>23</v>
      </c>
      <c r="C2429">
        <v>189.82</v>
      </c>
      <c r="D2429">
        <v>84.51</v>
      </c>
      <c r="E2429" t="s">
        <v>9</v>
      </c>
      <c r="F2429">
        <v>40.229999999999997</v>
      </c>
      <c r="G2429" t="s">
        <v>10</v>
      </c>
      <c r="H2429" t="s">
        <v>11</v>
      </c>
    </row>
    <row r="2430" spans="1:8" x14ac:dyDescent="0.25">
      <c r="A2430" s="1">
        <v>45669.166666666664</v>
      </c>
      <c r="B2430" t="s">
        <v>23</v>
      </c>
      <c r="C2430">
        <v>106.98</v>
      </c>
      <c r="D2430">
        <v>80.040000000000006</v>
      </c>
      <c r="E2430" t="s">
        <v>9</v>
      </c>
      <c r="F2430">
        <v>85.1</v>
      </c>
      <c r="G2430" t="s">
        <v>10</v>
      </c>
      <c r="H2430" t="s">
        <v>13</v>
      </c>
    </row>
    <row r="2431" spans="1:8" x14ac:dyDescent="0.25">
      <c r="A2431" s="1">
        <v>45669.208333333336</v>
      </c>
      <c r="B2431" t="s">
        <v>23</v>
      </c>
      <c r="C2431">
        <v>417.38</v>
      </c>
      <c r="D2431">
        <v>89.51</v>
      </c>
      <c r="E2431" t="s">
        <v>14</v>
      </c>
      <c r="F2431">
        <v>82.58</v>
      </c>
      <c r="G2431" t="s">
        <v>10</v>
      </c>
      <c r="H2431" t="s">
        <v>11</v>
      </c>
    </row>
    <row r="2432" spans="1:8" x14ac:dyDescent="0.25">
      <c r="A2432" s="1">
        <v>45669.25</v>
      </c>
      <c r="B2432" t="s">
        <v>23</v>
      </c>
      <c r="C2432">
        <v>284.32</v>
      </c>
      <c r="D2432">
        <v>81.16</v>
      </c>
      <c r="E2432" t="s">
        <v>9</v>
      </c>
      <c r="F2432">
        <v>32.39</v>
      </c>
      <c r="G2432" t="s">
        <v>10</v>
      </c>
      <c r="H2432" t="s">
        <v>12</v>
      </c>
    </row>
    <row r="2433" spans="1:8" x14ac:dyDescent="0.25">
      <c r="A2433" s="1">
        <v>45669.291666666664</v>
      </c>
      <c r="B2433" t="s">
        <v>23</v>
      </c>
      <c r="C2433">
        <v>92.4</v>
      </c>
      <c r="D2433">
        <v>39.520000000000003</v>
      </c>
      <c r="E2433" t="s">
        <v>9</v>
      </c>
      <c r="F2433">
        <v>82.51</v>
      </c>
      <c r="G2433" t="s">
        <v>10</v>
      </c>
      <c r="H2433" t="s">
        <v>13</v>
      </c>
    </row>
    <row r="2434" spans="1:8" x14ac:dyDescent="0.25">
      <c r="A2434" s="1">
        <v>45669.333333333336</v>
      </c>
      <c r="B2434" t="s">
        <v>23</v>
      </c>
      <c r="C2434">
        <v>256.11</v>
      </c>
      <c r="D2434">
        <v>74.95</v>
      </c>
      <c r="E2434" t="s">
        <v>9</v>
      </c>
      <c r="F2434">
        <v>77.56</v>
      </c>
      <c r="G2434" t="s">
        <v>10</v>
      </c>
      <c r="H2434" t="s">
        <v>12</v>
      </c>
    </row>
    <row r="2435" spans="1:8" x14ac:dyDescent="0.25">
      <c r="A2435" s="1">
        <v>45669.375</v>
      </c>
      <c r="B2435" t="s">
        <v>23</v>
      </c>
      <c r="C2435">
        <v>468.41</v>
      </c>
      <c r="D2435">
        <v>84.25</v>
      </c>
      <c r="E2435" t="s">
        <v>9</v>
      </c>
      <c r="F2435">
        <v>31.09</v>
      </c>
      <c r="G2435" t="s">
        <v>10</v>
      </c>
      <c r="H2435" t="s">
        <v>12</v>
      </c>
    </row>
    <row r="2436" spans="1:8" x14ac:dyDescent="0.25">
      <c r="A2436" s="1">
        <v>45669.416666666664</v>
      </c>
      <c r="B2436" t="s">
        <v>23</v>
      </c>
      <c r="C2436">
        <v>77.52</v>
      </c>
      <c r="D2436">
        <v>53.64</v>
      </c>
      <c r="E2436" t="s">
        <v>9</v>
      </c>
      <c r="F2436">
        <v>78.8</v>
      </c>
      <c r="G2436" t="s">
        <v>10</v>
      </c>
      <c r="H2436" t="s">
        <v>12</v>
      </c>
    </row>
    <row r="2437" spans="1:8" x14ac:dyDescent="0.25">
      <c r="A2437" s="1">
        <v>45669.458333333336</v>
      </c>
      <c r="B2437" t="s">
        <v>23</v>
      </c>
      <c r="C2437">
        <v>90.37</v>
      </c>
      <c r="D2437">
        <v>66.239999999999995</v>
      </c>
      <c r="E2437" t="s">
        <v>9</v>
      </c>
      <c r="F2437">
        <v>66.98</v>
      </c>
      <c r="G2437" t="s">
        <v>10</v>
      </c>
      <c r="H2437" t="s">
        <v>11</v>
      </c>
    </row>
    <row r="2438" spans="1:8" x14ac:dyDescent="0.25">
      <c r="A2438" s="1">
        <v>45669.5</v>
      </c>
      <c r="B2438" t="s">
        <v>23</v>
      </c>
      <c r="C2438">
        <v>375.8</v>
      </c>
      <c r="D2438">
        <v>59.77</v>
      </c>
      <c r="E2438" t="s">
        <v>9</v>
      </c>
      <c r="F2438">
        <v>58.09</v>
      </c>
      <c r="G2438" t="s">
        <v>10</v>
      </c>
      <c r="H2438" t="s">
        <v>11</v>
      </c>
    </row>
    <row r="2439" spans="1:8" x14ac:dyDescent="0.25">
      <c r="A2439" s="1">
        <v>45669.541666666664</v>
      </c>
      <c r="B2439" t="s">
        <v>23</v>
      </c>
      <c r="C2439">
        <v>307.91000000000003</v>
      </c>
      <c r="D2439">
        <v>93.18</v>
      </c>
      <c r="E2439" t="s">
        <v>14</v>
      </c>
      <c r="F2439">
        <v>44.22</v>
      </c>
      <c r="G2439" t="s">
        <v>10</v>
      </c>
      <c r="H2439" t="s">
        <v>13</v>
      </c>
    </row>
    <row r="2440" spans="1:8" x14ac:dyDescent="0.25">
      <c r="A2440" s="1">
        <v>45669.583333333336</v>
      </c>
      <c r="B2440" t="s">
        <v>23</v>
      </c>
      <c r="C2440">
        <v>339.22</v>
      </c>
      <c r="D2440">
        <v>51.1</v>
      </c>
      <c r="E2440" t="s">
        <v>9</v>
      </c>
      <c r="F2440">
        <v>81.88</v>
      </c>
      <c r="G2440" t="s">
        <v>10</v>
      </c>
      <c r="H2440" t="s">
        <v>11</v>
      </c>
    </row>
    <row r="2441" spans="1:8" x14ac:dyDescent="0.25">
      <c r="A2441" s="1">
        <v>45669.625</v>
      </c>
      <c r="B2441" t="s">
        <v>23</v>
      </c>
      <c r="C2441">
        <v>365.83</v>
      </c>
      <c r="D2441">
        <v>17.149999999999999</v>
      </c>
      <c r="E2441" t="s">
        <v>9</v>
      </c>
      <c r="F2441">
        <v>87.43</v>
      </c>
      <c r="G2441" t="s">
        <v>10</v>
      </c>
      <c r="H2441" t="s">
        <v>13</v>
      </c>
    </row>
    <row r="2442" spans="1:8" x14ac:dyDescent="0.25">
      <c r="A2442" s="1">
        <v>45669.666666666664</v>
      </c>
      <c r="B2442" t="s">
        <v>23</v>
      </c>
      <c r="C2442">
        <v>446.56</v>
      </c>
      <c r="D2442">
        <v>86.45</v>
      </c>
      <c r="E2442" t="s">
        <v>14</v>
      </c>
      <c r="F2442">
        <v>61.47</v>
      </c>
      <c r="G2442" t="s">
        <v>10</v>
      </c>
      <c r="H2442" t="s">
        <v>13</v>
      </c>
    </row>
    <row r="2443" spans="1:8" x14ac:dyDescent="0.25">
      <c r="A2443" s="1">
        <v>45669.708333333336</v>
      </c>
      <c r="B2443" t="s">
        <v>23</v>
      </c>
      <c r="C2443">
        <v>86.2</v>
      </c>
      <c r="D2443">
        <v>26.67</v>
      </c>
      <c r="E2443" t="s">
        <v>9</v>
      </c>
      <c r="F2443">
        <v>44.99</v>
      </c>
      <c r="G2443" t="s">
        <v>10</v>
      </c>
      <c r="H2443" t="s">
        <v>11</v>
      </c>
    </row>
    <row r="2444" spans="1:8" x14ac:dyDescent="0.25">
      <c r="A2444" s="1">
        <v>45669.75</v>
      </c>
      <c r="B2444" t="s">
        <v>23</v>
      </c>
      <c r="C2444">
        <v>297.89999999999998</v>
      </c>
      <c r="D2444">
        <v>47.26</v>
      </c>
      <c r="E2444" t="s">
        <v>9</v>
      </c>
      <c r="F2444">
        <v>80.3</v>
      </c>
      <c r="G2444" t="s">
        <v>10</v>
      </c>
      <c r="H2444" t="s">
        <v>12</v>
      </c>
    </row>
    <row r="2445" spans="1:8" x14ac:dyDescent="0.25">
      <c r="A2445" s="1">
        <v>45669.791666666664</v>
      </c>
      <c r="B2445" t="s">
        <v>23</v>
      </c>
      <c r="C2445">
        <v>283.18</v>
      </c>
      <c r="D2445">
        <v>56.26</v>
      </c>
      <c r="E2445" t="s">
        <v>9</v>
      </c>
      <c r="F2445">
        <v>62.37</v>
      </c>
      <c r="G2445" t="s">
        <v>10</v>
      </c>
      <c r="H2445" t="s">
        <v>12</v>
      </c>
    </row>
    <row r="2446" spans="1:8" x14ac:dyDescent="0.25">
      <c r="A2446" s="1">
        <v>45669.833333333336</v>
      </c>
      <c r="B2446" t="s">
        <v>23</v>
      </c>
      <c r="C2446">
        <v>360.4</v>
      </c>
      <c r="D2446">
        <v>69.75</v>
      </c>
      <c r="E2446" t="s">
        <v>9</v>
      </c>
      <c r="F2446">
        <v>72.290000000000006</v>
      </c>
      <c r="G2446" t="s">
        <v>10</v>
      </c>
      <c r="H2446" t="s">
        <v>12</v>
      </c>
    </row>
    <row r="2447" spans="1:8" x14ac:dyDescent="0.25">
      <c r="A2447" s="1">
        <v>45669.875</v>
      </c>
      <c r="B2447" t="s">
        <v>23</v>
      </c>
      <c r="C2447">
        <v>309.05</v>
      </c>
      <c r="D2447">
        <v>62.13</v>
      </c>
      <c r="E2447" t="s">
        <v>9</v>
      </c>
      <c r="F2447">
        <v>48.9</v>
      </c>
      <c r="G2447" t="s">
        <v>10</v>
      </c>
      <c r="H2447" t="s">
        <v>13</v>
      </c>
    </row>
    <row r="2448" spans="1:8" x14ac:dyDescent="0.25">
      <c r="A2448" s="1">
        <v>45669.916666666664</v>
      </c>
      <c r="B2448" t="s">
        <v>23</v>
      </c>
      <c r="C2448">
        <v>467.87</v>
      </c>
      <c r="D2448">
        <v>93.06</v>
      </c>
      <c r="E2448" t="s">
        <v>14</v>
      </c>
      <c r="F2448">
        <v>86.34</v>
      </c>
      <c r="G2448" t="s">
        <v>10</v>
      </c>
      <c r="H2448" t="s">
        <v>13</v>
      </c>
    </row>
    <row r="2449" spans="1:8" x14ac:dyDescent="0.25">
      <c r="A2449" s="1">
        <v>45669.958333333336</v>
      </c>
      <c r="B2449" t="s">
        <v>23</v>
      </c>
      <c r="C2449">
        <v>426.94</v>
      </c>
      <c r="D2449">
        <v>85.53</v>
      </c>
      <c r="E2449" t="s">
        <v>14</v>
      </c>
      <c r="F2449">
        <v>57.97</v>
      </c>
      <c r="G2449" t="s">
        <v>10</v>
      </c>
      <c r="H2449" t="s">
        <v>12</v>
      </c>
    </row>
    <row r="2450" spans="1:8" x14ac:dyDescent="0.25">
      <c r="A2450" s="1">
        <v>45670</v>
      </c>
      <c r="B2450" t="s">
        <v>23</v>
      </c>
      <c r="C2450">
        <v>476.42</v>
      </c>
      <c r="D2450">
        <v>85.46</v>
      </c>
      <c r="E2450" t="s">
        <v>14</v>
      </c>
      <c r="F2450">
        <v>44.66</v>
      </c>
      <c r="G2450" t="s">
        <v>10</v>
      </c>
      <c r="H2450" t="s">
        <v>12</v>
      </c>
    </row>
    <row r="2451" spans="1:8" x14ac:dyDescent="0.25">
      <c r="A2451" s="1">
        <v>45670.041666666664</v>
      </c>
      <c r="B2451" t="s">
        <v>23</v>
      </c>
      <c r="C2451">
        <v>248.29</v>
      </c>
      <c r="D2451">
        <v>68.790000000000006</v>
      </c>
      <c r="E2451" t="s">
        <v>9</v>
      </c>
      <c r="F2451">
        <v>40.520000000000003</v>
      </c>
      <c r="G2451" t="s">
        <v>10</v>
      </c>
      <c r="H2451" t="s">
        <v>13</v>
      </c>
    </row>
    <row r="2452" spans="1:8" x14ac:dyDescent="0.25">
      <c r="A2452" s="1">
        <v>45670.083333333336</v>
      </c>
      <c r="B2452" t="s">
        <v>23</v>
      </c>
      <c r="C2452">
        <v>498</v>
      </c>
      <c r="D2452">
        <v>21.88</v>
      </c>
      <c r="E2452" t="s">
        <v>9</v>
      </c>
      <c r="F2452">
        <v>81.34</v>
      </c>
      <c r="G2452" t="s">
        <v>10</v>
      </c>
      <c r="H2452" t="s">
        <v>11</v>
      </c>
    </row>
    <row r="2453" spans="1:8" x14ac:dyDescent="0.25">
      <c r="A2453" s="1">
        <v>45670.125</v>
      </c>
      <c r="B2453" t="s">
        <v>23</v>
      </c>
      <c r="C2453">
        <v>290.2</v>
      </c>
      <c r="D2453">
        <v>91.38</v>
      </c>
      <c r="E2453" t="s">
        <v>14</v>
      </c>
      <c r="F2453">
        <v>47.98</v>
      </c>
      <c r="G2453" t="s">
        <v>10</v>
      </c>
      <c r="H2453" t="s">
        <v>13</v>
      </c>
    </row>
    <row r="2454" spans="1:8" x14ac:dyDescent="0.25">
      <c r="A2454" s="1">
        <v>45670.166666666664</v>
      </c>
      <c r="B2454" t="s">
        <v>23</v>
      </c>
      <c r="C2454">
        <v>477.41</v>
      </c>
      <c r="D2454">
        <v>26.29</v>
      </c>
      <c r="E2454" t="s">
        <v>9</v>
      </c>
      <c r="F2454">
        <v>34.92</v>
      </c>
      <c r="G2454" t="s">
        <v>10</v>
      </c>
      <c r="H2454" t="s">
        <v>12</v>
      </c>
    </row>
    <row r="2455" spans="1:8" x14ac:dyDescent="0.25">
      <c r="A2455" s="1">
        <v>45670.208333333336</v>
      </c>
      <c r="B2455" t="s">
        <v>23</v>
      </c>
      <c r="C2455">
        <v>100.07</v>
      </c>
      <c r="D2455">
        <v>87.01</v>
      </c>
      <c r="E2455" t="s">
        <v>14</v>
      </c>
      <c r="F2455">
        <v>62.45</v>
      </c>
      <c r="G2455" t="s">
        <v>10</v>
      </c>
      <c r="H2455" t="s">
        <v>11</v>
      </c>
    </row>
    <row r="2456" spans="1:8" x14ac:dyDescent="0.25">
      <c r="A2456" s="1">
        <v>45670.25</v>
      </c>
      <c r="B2456" t="s">
        <v>23</v>
      </c>
      <c r="C2456">
        <v>378.36</v>
      </c>
      <c r="D2456">
        <v>30.96</v>
      </c>
      <c r="E2456" t="s">
        <v>9</v>
      </c>
      <c r="F2456">
        <v>86.93</v>
      </c>
      <c r="G2456" t="s">
        <v>10</v>
      </c>
      <c r="H2456" t="s">
        <v>12</v>
      </c>
    </row>
    <row r="2457" spans="1:8" x14ac:dyDescent="0.25">
      <c r="A2457" s="1">
        <v>45670.291666666664</v>
      </c>
      <c r="B2457" t="s">
        <v>23</v>
      </c>
      <c r="C2457">
        <v>211.38</v>
      </c>
      <c r="D2457">
        <v>50.86</v>
      </c>
      <c r="E2457" t="s">
        <v>9</v>
      </c>
      <c r="F2457">
        <v>31.68</v>
      </c>
      <c r="G2457" t="s">
        <v>10</v>
      </c>
      <c r="H2457" t="s">
        <v>13</v>
      </c>
    </row>
    <row r="2458" spans="1:8" x14ac:dyDescent="0.25">
      <c r="A2458" s="1">
        <v>45670.333333333336</v>
      </c>
      <c r="B2458" t="s">
        <v>23</v>
      </c>
      <c r="C2458">
        <v>396.7</v>
      </c>
      <c r="D2458">
        <v>80.53</v>
      </c>
      <c r="E2458" t="s">
        <v>9</v>
      </c>
      <c r="F2458">
        <v>71.930000000000007</v>
      </c>
      <c r="G2458" t="s">
        <v>10</v>
      </c>
      <c r="H2458" t="s">
        <v>12</v>
      </c>
    </row>
    <row r="2459" spans="1:8" x14ac:dyDescent="0.25">
      <c r="A2459" s="1">
        <v>45670.375</v>
      </c>
      <c r="B2459" t="s">
        <v>23</v>
      </c>
      <c r="C2459">
        <v>277.81</v>
      </c>
      <c r="D2459">
        <v>57.6</v>
      </c>
      <c r="E2459" t="s">
        <v>9</v>
      </c>
      <c r="F2459">
        <v>74.56</v>
      </c>
      <c r="G2459" t="s">
        <v>10</v>
      </c>
      <c r="H2459" t="s">
        <v>13</v>
      </c>
    </row>
    <row r="2460" spans="1:8" x14ac:dyDescent="0.25">
      <c r="A2460" s="1">
        <v>45670.416666666664</v>
      </c>
      <c r="B2460" t="s">
        <v>23</v>
      </c>
      <c r="C2460">
        <v>306.04000000000002</v>
      </c>
      <c r="D2460">
        <v>86.34</v>
      </c>
      <c r="E2460" t="s">
        <v>14</v>
      </c>
      <c r="F2460">
        <v>68.19</v>
      </c>
      <c r="G2460" t="s">
        <v>10</v>
      </c>
      <c r="H2460" t="s">
        <v>11</v>
      </c>
    </row>
    <row r="2461" spans="1:8" x14ac:dyDescent="0.25">
      <c r="A2461" s="1">
        <v>45670.458333333336</v>
      </c>
      <c r="B2461" t="s">
        <v>23</v>
      </c>
      <c r="C2461">
        <v>112.76</v>
      </c>
      <c r="D2461">
        <v>60.19</v>
      </c>
      <c r="E2461" t="s">
        <v>9</v>
      </c>
      <c r="F2461">
        <v>74.27</v>
      </c>
      <c r="G2461" t="s">
        <v>10</v>
      </c>
      <c r="H2461" t="s">
        <v>12</v>
      </c>
    </row>
    <row r="2462" spans="1:8" x14ac:dyDescent="0.25">
      <c r="A2462" s="1">
        <v>45670.5</v>
      </c>
      <c r="B2462" t="s">
        <v>23</v>
      </c>
      <c r="C2462">
        <v>81.37</v>
      </c>
      <c r="D2462">
        <v>83.64</v>
      </c>
      <c r="E2462" t="s">
        <v>9</v>
      </c>
      <c r="F2462">
        <v>76.67</v>
      </c>
      <c r="G2462" t="s">
        <v>10</v>
      </c>
      <c r="H2462" t="s">
        <v>12</v>
      </c>
    </row>
    <row r="2463" spans="1:8" x14ac:dyDescent="0.25">
      <c r="A2463" s="1">
        <v>45670.541666666664</v>
      </c>
      <c r="B2463" t="s">
        <v>23</v>
      </c>
      <c r="C2463">
        <v>395.61</v>
      </c>
      <c r="D2463">
        <v>15.03</v>
      </c>
      <c r="E2463" t="s">
        <v>9</v>
      </c>
      <c r="F2463">
        <v>43.03</v>
      </c>
      <c r="G2463" t="s">
        <v>10</v>
      </c>
      <c r="H2463" t="s">
        <v>13</v>
      </c>
    </row>
    <row r="2464" spans="1:8" x14ac:dyDescent="0.25">
      <c r="A2464" s="1">
        <v>45670.583333333336</v>
      </c>
      <c r="B2464" t="s">
        <v>23</v>
      </c>
      <c r="C2464">
        <v>132.16999999999999</v>
      </c>
      <c r="D2464">
        <v>19.899999999999999</v>
      </c>
      <c r="E2464" t="s">
        <v>9</v>
      </c>
      <c r="F2464">
        <v>43.51</v>
      </c>
      <c r="G2464" t="s">
        <v>10</v>
      </c>
      <c r="H2464" t="s">
        <v>11</v>
      </c>
    </row>
    <row r="2465" spans="1:8" x14ac:dyDescent="0.25">
      <c r="A2465" s="1">
        <v>45670.625</v>
      </c>
      <c r="B2465" t="s">
        <v>23</v>
      </c>
      <c r="C2465">
        <v>52.02</v>
      </c>
      <c r="D2465">
        <v>54.61</v>
      </c>
      <c r="E2465" t="s">
        <v>9</v>
      </c>
      <c r="F2465">
        <v>72.290000000000006</v>
      </c>
      <c r="G2465" t="s">
        <v>10</v>
      </c>
      <c r="H2465" t="s">
        <v>12</v>
      </c>
    </row>
    <row r="2466" spans="1:8" x14ac:dyDescent="0.25">
      <c r="A2466" s="1">
        <v>45670.666666666664</v>
      </c>
      <c r="B2466" t="s">
        <v>23</v>
      </c>
      <c r="C2466">
        <v>242.59</v>
      </c>
      <c r="D2466">
        <v>23.9</v>
      </c>
      <c r="E2466" t="s">
        <v>9</v>
      </c>
      <c r="F2466">
        <v>55.87</v>
      </c>
      <c r="G2466" t="s">
        <v>10</v>
      </c>
      <c r="H2466" t="s">
        <v>13</v>
      </c>
    </row>
    <row r="2467" spans="1:8" x14ac:dyDescent="0.25">
      <c r="A2467" s="1">
        <v>45670.708333333336</v>
      </c>
      <c r="B2467" t="s">
        <v>23</v>
      </c>
      <c r="C2467">
        <v>264.11</v>
      </c>
      <c r="D2467">
        <v>66.94</v>
      </c>
      <c r="E2467" t="s">
        <v>9</v>
      </c>
      <c r="F2467">
        <v>38.75</v>
      </c>
      <c r="G2467" t="s">
        <v>10</v>
      </c>
      <c r="H2467" t="s">
        <v>13</v>
      </c>
    </row>
    <row r="2468" spans="1:8" x14ac:dyDescent="0.25">
      <c r="A2468" s="1">
        <v>45670.75</v>
      </c>
      <c r="B2468" t="s">
        <v>23</v>
      </c>
      <c r="C2468">
        <v>142</v>
      </c>
      <c r="D2468">
        <v>33.33</v>
      </c>
      <c r="E2468" t="s">
        <v>9</v>
      </c>
      <c r="F2468">
        <v>43.59</v>
      </c>
      <c r="G2468" t="s">
        <v>10</v>
      </c>
      <c r="H2468" t="s">
        <v>11</v>
      </c>
    </row>
    <row r="2469" spans="1:8" x14ac:dyDescent="0.25">
      <c r="A2469" s="1">
        <v>45670.791666666664</v>
      </c>
      <c r="B2469" t="s">
        <v>23</v>
      </c>
      <c r="C2469">
        <v>303.7</v>
      </c>
      <c r="D2469">
        <v>56.53</v>
      </c>
      <c r="E2469" t="s">
        <v>9</v>
      </c>
      <c r="F2469">
        <v>73.45</v>
      </c>
      <c r="G2469" t="s">
        <v>10</v>
      </c>
      <c r="H2469" t="s">
        <v>12</v>
      </c>
    </row>
    <row r="2470" spans="1:8" x14ac:dyDescent="0.25">
      <c r="A2470" s="1">
        <v>45670.833333333336</v>
      </c>
      <c r="B2470" t="s">
        <v>23</v>
      </c>
      <c r="C2470">
        <v>373.67</v>
      </c>
      <c r="D2470">
        <v>24.24</v>
      </c>
      <c r="E2470" t="s">
        <v>9</v>
      </c>
      <c r="F2470">
        <v>32.93</v>
      </c>
      <c r="G2470" t="s">
        <v>10</v>
      </c>
      <c r="H2470" t="s">
        <v>13</v>
      </c>
    </row>
    <row r="2471" spans="1:8" x14ac:dyDescent="0.25">
      <c r="A2471" s="1">
        <v>45670.875</v>
      </c>
      <c r="B2471" t="s">
        <v>23</v>
      </c>
      <c r="C2471">
        <v>66.56</v>
      </c>
      <c r="D2471">
        <v>44.6</v>
      </c>
      <c r="E2471" t="s">
        <v>9</v>
      </c>
      <c r="F2471">
        <v>78.569999999999993</v>
      </c>
      <c r="G2471" t="s">
        <v>10</v>
      </c>
      <c r="H2471" t="s">
        <v>11</v>
      </c>
    </row>
    <row r="2472" spans="1:8" x14ac:dyDescent="0.25">
      <c r="A2472" s="1">
        <v>45670.916666666664</v>
      </c>
      <c r="B2472" t="s">
        <v>23</v>
      </c>
      <c r="C2472">
        <v>332.75</v>
      </c>
      <c r="D2472">
        <v>61.18</v>
      </c>
      <c r="E2472" t="s">
        <v>9</v>
      </c>
      <c r="F2472">
        <v>89.21</v>
      </c>
      <c r="G2472" t="s">
        <v>10</v>
      </c>
      <c r="H2472" t="s">
        <v>13</v>
      </c>
    </row>
    <row r="2473" spans="1:8" x14ac:dyDescent="0.25">
      <c r="A2473" s="1">
        <v>45670.958333333336</v>
      </c>
      <c r="B2473" t="s">
        <v>23</v>
      </c>
      <c r="C2473">
        <v>105.48</v>
      </c>
      <c r="D2473">
        <v>82.51</v>
      </c>
      <c r="E2473" t="s">
        <v>9</v>
      </c>
      <c r="F2473">
        <v>49.45</v>
      </c>
      <c r="G2473" t="s">
        <v>10</v>
      </c>
      <c r="H2473" t="s">
        <v>12</v>
      </c>
    </row>
    <row r="2474" spans="1:8" x14ac:dyDescent="0.25">
      <c r="A2474" s="1">
        <v>45671</v>
      </c>
      <c r="B2474" t="s">
        <v>23</v>
      </c>
      <c r="C2474">
        <v>118.58</v>
      </c>
      <c r="D2474">
        <v>25.18</v>
      </c>
      <c r="E2474" t="s">
        <v>9</v>
      </c>
      <c r="F2474">
        <v>37.94</v>
      </c>
      <c r="G2474" t="s">
        <v>10</v>
      </c>
      <c r="H2474" t="s">
        <v>12</v>
      </c>
    </row>
    <row r="2475" spans="1:8" x14ac:dyDescent="0.25">
      <c r="A2475" s="1">
        <v>45671.041666666664</v>
      </c>
      <c r="B2475" t="s">
        <v>23</v>
      </c>
      <c r="C2475">
        <v>248.4</v>
      </c>
      <c r="D2475">
        <v>85.95</v>
      </c>
      <c r="E2475" t="s">
        <v>14</v>
      </c>
      <c r="F2475">
        <v>78.569999999999993</v>
      </c>
      <c r="G2475" t="s">
        <v>10</v>
      </c>
      <c r="H2475" t="s">
        <v>13</v>
      </c>
    </row>
    <row r="2476" spans="1:8" x14ac:dyDescent="0.25">
      <c r="A2476" s="1">
        <v>45671.083333333336</v>
      </c>
      <c r="B2476" t="s">
        <v>23</v>
      </c>
      <c r="C2476">
        <v>310.31</v>
      </c>
      <c r="D2476">
        <v>93.99</v>
      </c>
      <c r="E2476" t="s">
        <v>14</v>
      </c>
      <c r="F2476">
        <v>52.35</v>
      </c>
      <c r="G2476" t="s">
        <v>10</v>
      </c>
      <c r="H2476" t="s">
        <v>13</v>
      </c>
    </row>
    <row r="2477" spans="1:8" x14ac:dyDescent="0.25">
      <c r="A2477" s="1">
        <v>45671.125</v>
      </c>
      <c r="B2477" t="s">
        <v>23</v>
      </c>
      <c r="C2477">
        <v>454.3</v>
      </c>
      <c r="D2477">
        <v>29.43</v>
      </c>
      <c r="E2477" t="s">
        <v>9</v>
      </c>
      <c r="F2477">
        <v>88.96</v>
      </c>
      <c r="G2477" t="s">
        <v>10</v>
      </c>
      <c r="H2477" t="s">
        <v>12</v>
      </c>
    </row>
    <row r="2478" spans="1:8" x14ac:dyDescent="0.25">
      <c r="A2478" s="1">
        <v>45671.166666666664</v>
      </c>
      <c r="B2478" t="s">
        <v>23</v>
      </c>
      <c r="C2478">
        <v>475.29</v>
      </c>
      <c r="D2478">
        <v>93.94</v>
      </c>
      <c r="E2478" t="s">
        <v>14</v>
      </c>
      <c r="F2478">
        <v>32.69</v>
      </c>
      <c r="G2478" t="s">
        <v>10</v>
      </c>
      <c r="H2478" t="s">
        <v>13</v>
      </c>
    </row>
    <row r="2479" spans="1:8" x14ac:dyDescent="0.25">
      <c r="A2479" s="1">
        <v>45671.208333333336</v>
      </c>
      <c r="B2479" t="s">
        <v>23</v>
      </c>
      <c r="C2479">
        <v>240.59</v>
      </c>
      <c r="D2479">
        <v>29.1</v>
      </c>
      <c r="E2479" t="s">
        <v>9</v>
      </c>
      <c r="F2479">
        <v>51.83</v>
      </c>
      <c r="G2479" t="s">
        <v>10</v>
      </c>
      <c r="H2479" t="s">
        <v>12</v>
      </c>
    </row>
    <row r="2480" spans="1:8" x14ac:dyDescent="0.25">
      <c r="A2480" s="1">
        <v>45671.25</v>
      </c>
      <c r="B2480" t="s">
        <v>23</v>
      </c>
      <c r="C2480">
        <v>397.06</v>
      </c>
      <c r="D2480">
        <v>78.19</v>
      </c>
      <c r="E2480" t="s">
        <v>9</v>
      </c>
      <c r="F2480">
        <v>35.520000000000003</v>
      </c>
      <c r="G2480" t="s">
        <v>10</v>
      </c>
      <c r="H2480" t="s">
        <v>12</v>
      </c>
    </row>
    <row r="2481" spans="1:8" x14ac:dyDescent="0.25">
      <c r="A2481" s="1">
        <v>45671.291666666664</v>
      </c>
      <c r="B2481" t="s">
        <v>23</v>
      </c>
      <c r="C2481">
        <v>92.44</v>
      </c>
      <c r="D2481">
        <v>48.69</v>
      </c>
      <c r="E2481" t="s">
        <v>9</v>
      </c>
      <c r="F2481">
        <v>89</v>
      </c>
      <c r="G2481" t="s">
        <v>10</v>
      </c>
      <c r="H2481" t="s">
        <v>11</v>
      </c>
    </row>
    <row r="2482" spans="1:8" x14ac:dyDescent="0.25">
      <c r="A2482" s="1">
        <v>45671.333333333336</v>
      </c>
      <c r="B2482" t="s">
        <v>23</v>
      </c>
      <c r="C2482">
        <v>59.92</v>
      </c>
      <c r="D2482">
        <v>17.260000000000002</v>
      </c>
      <c r="E2482" t="s">
        <v>9</v>
      </c>
      <c r="F2482">
        <v>79.63</v>
      </c>
      <c r="G2482" t="s">
        <v>10</v>
      </c>
      <c r="H2482" t="s">
        <v>11</v>
      </c>
    </row>
    <row r="2483" spans="1:8" x14ac:dyDescent="0.25">
      <c r="A2483" s="1">
        <v>45671.375</v>
      </c>
      <c r="B2483" t="s">
        <v>23</v>
      </c>
      <c r="C2483">
        <v>346.82</v>
      </c>
      <c r="D2483">
        <v>83.39</v>
      </c>
      <c r="E2483" t="s">
        <v>9</v>
      </c>
      <c r="F2483">
        <v>34.54</v>
      </c>
      <c r="G2483" t="s">
        <v>10</v>
      </c>
      <c r="H2483" t="s">
        <v>11</v>
      </c>
    </row>
    <row r="2484" spans="1:8" x14ac:dyDescent="0.25">
      <c r="A2484" s="1">
        <v>45671.416666666664</v>
      </c>
      <c r="B2484" t="s">
        <v>23</v>
      </c>
      <c r="C2484">
        <v>166.09</v>
      </c>
      <c r="D2484">
        <v>75.290000000000006</v>
      </c>
      <c r="E2484" t="s">
        <v>9</v>
      </c>
      <c r="F2484">
        <v>76.510000000000005</v>
      </c>
      <c r="G2484" t="s">
        <v>10</v>
      </c>
      <c r="H2484" t="s">
        <v>11</v>
      </c>
    </row>
    <row r="2485" spans="1:8" x14ac:dyDescent="0.25">
      <c r="A2485" s="1">
        <v>45671.458333333336</v>
      </c>
      <c r="B2485" t="s">
        <v>23</v>
      </c>
      <c r="C2485">
        <v>400.84</v>
      </c>
      <c r="D2485">
        <v>84.87</v>
      </c>
      <c r="E2485" t="s">
        <v>9</v>
      </c>
      <c r="F2485">
        <v>72.39</v>
      </c>
      <c r="G2485" t="s">
        <v>10</v>
      </c>
      <c r="H2485" t="s">
        <v>11</v>
      </c>
    </row>
    <row r="2486" spans="1:8" x14ac:dyDescent="0.25">
      <c r="A2486" s="1">
        <v>45671.5</v>
      </c>
      <c r="B2486" t="s">
        <v>23</v>
      </c>
      <c r="C2486">
        <v>285.43</v>
      </c>
      <c r="D2486">
        <v>88.86</v>
      </c>
      <c r="E2486" t="s">
        <v>14</v>
      </c>
      <c r="F2486">
        <v>79.5</v>
      </c>
      <c r="G2486" t="s">
        <v>10</v>
      </c>
      <c r="H2486" t="s">
        <v>13</v>
      </c>
    </row>
    <row r="2487" spans="1:8" x14ac:dyDescent="0.25">
      <c r="A2487" s="1">
        <v>45671.541666666664</v>
      </c>
      <c r="B2487" t="s">
        <v>23</v>
      </c>
      <c r="C2487">
        <v>403.25</v>
      </c>
      <c r="D2487">
        <v>50.83</v>
      </c>
      <c r="E2487" t="s">
        <v>9</v>
      </c>
      <c r="F2487">
        <v>59.54</v>
      </c>
      <c r="G2487" t="s">
        <v>10</v>
      </c>
      <c r="H2487" t="s">
        <v>13</v>
      </c>
    </row>
    <row r="2488" spans="1:8" x14ac:dyDescent="0.25">
      <c r="A2488" s="1">
        <v>45671.583333333336</v>
      </c>
      <c r="B2488" t="s">
        <v>23</v>
      </c>
      <c r="C2488">
        <v>471.04</v>
      </c>
      <c r="D2488">
        <v>61.48</v>
      </c>
      <c r="E2488" t="s">
        <v>9</v>
      </c>
      <c r="F2488">
        <v>47.89</v>
      </c>
      <c r="G2488" t="s">
        <v>10</v>
      </c>
      <c r="H2488" t="s">
        <v>12</v>
      </c>
    </row>
    <row r="2489" spans="1:8" x14ac:dyDescent="0.25">
      <c r="A2489" s="1">
        <v>45671.625</v>
      </c>
      <c r="B2489" t="s">
        <v>23</v>
      </c>
      <c r="C2489">
        <v>203.15</v>
      </c>
      <c r="D2489">
        <v>62.35</v>
      </c>
      <c r="E2489" t="s">
        <v>9</v>
      </c>
      <c r="F2489">
        <v>85.49</v>
      </c>
      <c r="G2489" t="s">
        <v>10</v>
      </c>
      <c r="H2489" t="s">
        <v>11</v>
      </c>
    </row>
    <row r="2490" spans="1:8" x14ac:dyDescent="0.25">
      <c r="A2490" s="1">
        <v>45671.666666666664</v>
      </c>
      <c r="B2490" t="s">
        <v>23</v>
      </c>
      <c r="C2490">
        <v>340.29</v>
      </c>
      <c r="D2490">
        <v>43.65</v>
      </c>
      <c r="E2490" t="s">
        <v>9</v>
      </c>
      <c r="F2490">
        <v>48.24</v>
      </c>
      <c r="G2490" t="s">
        <v>10</v>
      </c>
      <c r="H2490" t="s">
        <v>12</v>
      </c>
    </row>
    <row r="2491" spans="1:8" x14ac:dyDescent="0.25">
      <c r="A2491" s="1">
        <v>45671.708333333336</v>
      </c>
      <c r="B2491" t="s">
        <v>23</v>
      </c>
      <c r="C2491">
        <v>413.97</v>
      </c>
      <c r="D2491">
        <v>60.22</v>
      </c>
      <c r="E2491" t="s">
        <v>9</v>
      </c>
      <c r="F2491">
        <v>30.63</v>
      </c>
      <c r="G2491" t="s">
        <v>10</v>
      </c>
      <c r="H2491" t="s">
        <v>11</v>
      </c>
    </row>
    <row r="2492" spans="1:8" x14ac:dyDescent="0.25">
      <c r="A2492" s="1">
        <v>45671.75</v>
      </c>
      <c r="B2492" t="s">
        <v>23</v>
      </c>
      <c r="C2492">
        <v>97.97</v>
      </c>
      <c r="D2492">
        <v>23.47</v>
      </c>
      <c r="E2492" t="s">
        <v>9</v>
      </c>
      <c r="F2492">
        <v>66.34</v>
      </c>
      <c r="G2492" t="s">
        <v>10</v>
      </c>
      <c r="H2492" t="s">
        <v>12</v>
      </c>
    </row>
    <row r="2493" spans="1:8" x14ac:dyDescent="0.25">
      <c r="A2493" s="1">
        <v>45671.791666666664</v>
      </c>
      <c r="B2493" t="s">
        <v>23</v>
      </c>
      <c r="C2493">
        <v>73.42</v>
      </c>
      <c r="D2493">
        <v>17.100000000000001</v>
      </c>
      <c r="E2493" t="s">
        <v>9</v>
      </c>
      <c r="F2493">
        <v>55.79</v>
      </c>
      <c r="G2493" t="s">
        <v>10</v>
      </c>
      <c r="H2493" t="s">
        <v>11</v>
      </c>
    </row>
    <row r="2494" spans="1:8" x14ac:dyDescent="0.25">
      <c r="A2494" s="1">
        <v>45671.833333333336</v>
      </c>
      <c r="B2494" t="s">
        <v>23</v>
      </c>
      <c r="C2494">
        <v>317.08</v>
      </c>
      <c r="D2494">
        <v>30.81</v>
      </c>
      <c r="E2494" t="s">
        <v>9</v>
      </c>
      <c r="F2494">
        <v>45.73</v>
      </c>
      <c r="G2494" t="s">
        <v>10</v>
      </c>
      <c r="H2494" t="s">
        <v>12</v>
      </c>
    </row>
    <row r="2495" spans="1:8" x14ac:dyDescent="0.25">
      <c r="A2495" s="1">
        <v>45671.875</v>
      </c>
      <c r="B2495" t="s">
        <v>23</v>
      </c>
      <c r="C2495">
        <v>68.23</v>
      </c>
      <c r="D2495">
        <v>63.63</v>
      </c>
      <c r="E2495" t="s">
        <v>9</v>
      </c>
      <c r="F2495">
        <v>78.37</v>
      </c>
      <c r="G2495" t="s">
        <v>10</v>
      </c>
      <c r="H2495" t="s">
        <v>12</v>
      </c>
    </row>
    <row r="2496" spans="1:8" x14ac:dyDescent="0.25">
      <c r="A2496" s="1">
        <v>45671.916666666664</v>
      </c>
      <c r="B2496" t="s">
        <v>23</v>
      </c>
      <c r="C2496">
        <v>299.56</v>
      </c>
      <c r="D2496">
        <v>78.78</v>
      </c>
      <c r="E2496" t="s">
        <v>9</v>
      </c>
      <c r="F2496">
        <v>66.63</v>
      </c>
      <c r="G2496" t="s">
        <v>10</v>
      </c>
      <c r="H2496" t="s">
        <v>12</v>
      </c>
    </row>
    <row r="2497" spans="1:8" x14ac:dyDescent="0.25">
      <c r="A2497" s="1">
        <v>45671.958333333336</v>
      </c>
      <c r="B2497" t="s">
        <v>23</v>
      </c>
      <c r="C2497">
        <v>249.49</v>
      </c>
      <c r="D2497">
        <v>18.7</v>
      </c>
      <c r="E2497" t="s">
        <v>9</v>
      </c>
      <c r="F2497">
        <v>62.69</v>
      </c>
      <c r="G2497" t="s">
        <v>10</v>
      </c>
      <c r="H2497" t="s">
        <v>11</v>
      </c>
    </row>
    <row r="2498" spans="1:8" x14ac:dyDescent="0.25">
      <c r="A2498" s="1">
        <v>45672</v>
      </c>
      <c r="B2498" t="s">
        <v>23</v>
      </c>
      <c r="C2498">
        <v>329.39</v>
      </c>
      <c r="D2498">
        <v>92.52</v>
      </c>
      <c r="E2498" t="s">
        <v>14</v>
      </c>
      <c r="F2498">
        <v>41.84</v>
      </c>
      <c r="G2498" t="s">
        <v>10</v>
      </c>
      <c r="H2498" t="s">
        <v>11</v>
      </c>
    </row>
    <row r="2499" spans="1:8" x14ac:dyDescent="0.25">
      <c r="A2499" s="1">
        <v>45672.041666666664</v>
      </c>
      <c r="B2499" t="s">
        <v>23</v>
      </c>
      <c r="C2499">
        <v>110.06</v>
      </c>
      <c r="D2499">
        <v>37.29</v>
      </c>
      <c r="E2499" t="s">
        <v>9</v>
      </c>
      <c r="F2499">
        <v>59.57</v>
      </c>
      <c r="G2499" t="s">
        <v>10</v>
      </c>
      <c r="H2499" t="s">
        <v>13</v>
      </c>
    </row>
    <row r="2500" spans="1:8" x14ac:dyDescent="0.25">
      <c r="A2500" s="1">
        <v>45672.083333333336</v>
      </c>
      <c r="B2500" t="s">
        <v>23</v>
      </c>
      <c r="C2500">
        <v>221.26</v>
      </c>
      <c r="D2500">
        <v>76.319999999999993</v>
      </c>
      <c r="E2500" t="s">
        <v>9</v>
      </c>
      <c r="F2500">
        <v>72.41</v>
      </c>
      <c r="G2500" t="s">
        <v>10</v>
      </c>
      <c r="H2500" t="s">
        <v>12</v>
      </c>
    </row>
    <row r="2501" spans="1:8" x14ac:dyDescent="0.25">
      <c r="A2501" s="1">
        <v>45672.125</v>
      </c>
      <c r="B2501" t="s">
        <v>23</v>
      </c>
      <c r="C2501">
        <v>267.29000000000002</v>
      </c>
      <c r="D2501">
        <v>28.94</v>
      </c>
      <c r="E2501" t="s">
        <v>9</v>
      </c>
      <c r="F2501">
        <v>59.53</v>
      </c>
      <c r="G2501" t="s">
        <v>10</v>
      </c>
      <c r="H2501" t="s">
        <v>13</v>
      </c>
    </row>
    <row r="2502" spans="1:8" x14ac:dyDescent="0.25">
      <c r="A2502" s="1">
        <v>45672.166666666664</v>
      </c>
      <c r="B2502" t="s">
        <v>23</v>
      </c>
      <c r="C2502">
        <v>453.78</v>
      </c>
      <c r="D2502">
        <v>15.71</v>
      </c>
      <c r="E2502" t="s">
        <v>9</v>
      </c>
      <c r="F2502">
        <v>81.52</v>
      </c>
      <c r="G2502" t="s">
        <v>10</v>
      </c>
      <c r="H2502" t="s">
        <v>13</v>
      </c>
    </row>
    <row r="2503" spans="1:8" x14ac:dyDescent="0.25">
      <c r="A2503" s="1">
        <v>45672.208333333336</v>
      </c>
      <c r="B2503" t="s">
        <v>23</v>
      </c>
      <c r="C2503">
        <v>69.3</v>
      </c>
      <c r="D2503">
        <v>27.84</v>
      </c>
      <c r="E2503" t="s">
        <v>9</v>
      </c>
      <c r="F2503">
        <v>55.97</v>
      </c>
      <c r="G2503" t="s">
        <v>10</v>
      </c>
      <c r="H2503" t="s">
        <v>12</v>
      </c>
    </row>
    <row r="2504" spans="1:8" x14ac:dyDescent="0.25">
      <c r="A2504" s="1">
        <v>45672.25</v>
      </c>
      <c r="B2504" t="s">
        <v>23</v>
      </c>
      <c r="C2504">
        <v>344.85</v>
      </c>
      <c r="D2504">
        <v>41.56</v>
      </c>
      <c r="E2504" t="s">
        <v>9</v>
      </c>
      <c r="F2504">
        <v>49.35</v>
      </c>
      <c r="G2504" t="s">
        <v>10</v>
      </c>
      <c r="H2504" t="s">
        <v>11</v>
      </c>
    </row>
    <row r="2505" spans="1:8" x14ac:dyDescent="0.25">
      <c r="A2505" s="1">
        <v>45672.291666666664</v>
      </c>
      <c r="B2505" t="s">
        <v>23</v>
      </c>
      <c r="C2505">
        <v>161.9</v>
      </c>
      <c r="D2505">
        <v>81.75</v>
      </c>
      <c r="E2505" t="s">
        <v>9</v>
      </c>
      <c r="F2505">
        <v>57.53</v>
      </c>
      <c r="G2505" t="s">
        <v>10</v>
      </c>
      <c r="H2505" t="s">
        <v>13</v>
      </c>
    </row>
    <row r="2506" spans="1:8" x14ac:dyDescent="0.25">
      <c r="A2506" s="1">
        <v>45672.333333333336</v>
      </c>
      <c r="B2506" t="s">
        <v>23</v>
      </c>
      <c r="C2506">
        <v>230.07</v>
      </c>
      <c r="D2506">
        <v>86.41</v>
      </c>
      <c r="E2506" t="s">
        <v>14</v>
      </c>
      <c r="F2506">
        <v>59.8</v>
      </c>
      <c r="G2506" t="s">
        <v>10</v>
      </c>
      <c r="H2506" t="s">
        <v>12</v>
      </c>
    </row>
    <row r="2507" spans="1:8" x14ac:dyDescent="0.25">
      <c r="A2507" s="1">
        <v>45672.375</v>
      </c>
      <c r="B2507" t="s">
        <v>23</v>
      </c>
      <c r="C2507">
        <v>125.69</v>
      </c>
      <c r="D2507">
        <v>25.65</v>
      </c>
      <c r="E2507" t="s">
        <v>9</v>
      </c>
      <c r="F2507">
        <v>60.2</v>
      </c>
      <c r="G2507" t="s">
        <v>10</v>
      </c>
      <c r="H2507" t="s">
        <v>11</v>
      </c>
    </row>
    <row r="2508" spans="1:8" x14ac:dyDescent="0.25">
      <c r="A2508" s="1">
        <v>45672.416666666664</v>
      </c>
      <c r="B2508" t="s">
        <v>23</v>
      </c>
      <c r="C2508">
        <v>262.95</v>
      </c>
      <c r="D2508">
        <v>92.68</v>
      </c>
      <c r="E2508" t="s">
        <v>14</v>
      </c>
      <c r="F2508">
        <v>52.34</v>
      </c>
      <c r="G2508" t="s">
        <v>10</v>
      </c>
      <c r="H2508" t="s">
        <v>11</v>
      </c>
    </row>
    <row r="2509" spans="1:8" x14ac:dyDescent="0.25">
      <c r="A2509" s="1">
        <v>45672.458333333336</v>
      </c>
      <c r="B2509" t="s">
        <v>23</v>
      </c>
      <c r="C2509">
        <v>234.92</v>
      </c>
      <c r="D2509">
        <v>62.76</v>
      </c>
      <c r="E2509" t="s">
        <v>9</v>
      </c>
      <c r="F2509">
        <v>68.099999999999994</v>
      </c>
      <c r="G2509" t="s">
        <v>10</v>
      </c>
      <c r="H2509" t="s">
        <v>13</v>
      </c>
    </row>
    <row r="2510" spans="1:8" x14ac:dyDescent="0.25">
      <c r="A2510" s="1">
        <v>45672.5</v>
      </c>
      <c r="B2510" t="s">
        <v>23</v>
      </c>
      <c r="C2510">
        <v>396.51</v>
      </c>
      <c r="D2510">
        <v>92.5</v>
      </c>
      <c r="E2510" t="s">
        <v>14</v>
      </c>
      <c r="F2510">
        <v>76.41</v>
      </c>
      <c r="G2510" t="s">
        <v>10</v>
      </c>
      <c r="H2510" t="s">
        <v>12</v>
      </c>
    </row>
    <row r="2511" spans="1:8" x14ac:dyDescent="0.25">
      <c r="A2511" s="1">
        <v>45672.541666666664</v>
      </c>
      <c r="B2511" t="s">
        <v>23</v>
      </c>
      <c r="C2511">
        <v>433.55</v>
      </c>
      <c r="D2511">
        <v>94.44</v>
      </c>
      <c r="E2511" t="s">
        <v>14</v>
      </c>
      <c r="F2511">
        <v>78.98</v>
      </c>
      <c r="G2511" t="s">
        <v>10</v>
      </c>
      <c r="H2511" t="s">
        <v>11</v>
      </c>
    </row>
    <row r="2512" spans="1:8" x14ac:dyDescent="0.25">
      <c r="A2512" s="1">
        <v>45672.583333333336</v>
      </c>
      <c r="B2512" t="s">
        <v>23</v>
      </c>
      <c r="C2512">
        <v>190.39</v>
      </c>
      <c r="D2512">
        <v>87.39</v>
      </c>
      <c r="E2512" t="s">
        <v>14</v>
      </c>
      <c r="F2512">
        <v>65.11</v>
      </c>
      <c r="G2512" t="s">
        <v>10</v>
      </c>
      <c r="H2512" t="s">
        <v>13</v>
      </c>
    </row>
    <row r="2513" spans="1:8" x14ac:dyDescent="0.25">
      <c r="A2513" s="1">
        <v>45672.625</v>
      </c>
      <c r="B2513" t="s">
        <v>23</v>
      </c>
      <c r="C2513">
        <v>395.03</v>
      </c>
      <c r="D2513">
        <v>68.319999999999993</v>
      </c>
      <c r="E2513" t="s">
        <v>9</v>
      </c>
      <c r="F2513">
        <v>32.979999999999997</v>
      </c>
      <c r="G2513" t="s">
        <v>10</v>
      </c>
      <c r="H2513" t="s">
        <v>13</v>
      </c>
    </row>
    <row r="2514" spans="1:8" x14ac:dyDescent="0.25">
      <c r="A2514" s="1">
        <v>45672.666666666664</v>
      </c>
      <c r="B2514" t="s">
        <v>23</v>
      </c>
      <c r="C2514">
        <v>281.77999999999997</v>
      </c>
      <c r="D2514">
        <v>70.02</v>
      </c>
      <c r="E2514" t="s">
        <v>9</v>
      </c>
      <c r="F2514">
        <v>34.65</v>
      </c>
      <c r="G2514" t="s">
        <v>10</v>
      </c>
      <c r="H2514" t="s">
        <v>13</v>
      </c>
    </row>
    <row r="2515" spans="1:8" x14ac:dyDescent="0.25">
      <c r="A2515" s="1">
        <v>45672.708333333336</v>
      </c>
      <c r="B2515" t="s">
        <v>23</v>
      </c>
      <c r="C2515">
        <v>488.02</v>
      </c>
      <c r="D2515">
        <v>35.24</v>
      </c>
      <c r="E2515" t="s">
        <v>9</v>
      </c>
      <c r="F2515">
        <v>42.77</v>
      </c>
      <c r="G2515" t="s">
        <v>10</v>
      </c>
      <c r="H2515" t="s">
        <v>11</v>
      </c>
    </row>
    <row r="2516" spans="1:8" x14ac:dyDescent="0.25">
      <c r="A2516" s="1">
        <v>45672.75</v>
      </c>
      <c r="B2516" t="s">
        <v>23</v>
      </c>
      <c r="C2516">
        <v>302.81</v>
      </c>
      <c r="D2516">
        <v>15.1</v>
      </c>
      <c r="E2516" t="s">
        <v>9</v>
      </c>
      <c r="F2516">
        <v>54.71</v>
      </c>
      <c r="G2516" t="s">
        <v>10</v>
      </c>
      <c r="H2516" t="s">
        <v>12</v>
      </c>
    </row>
    <row r="2517" spans="1:8" x14ac:dyDescent="0.25">
      <c r="A2517" s="1">
        <v>45672.791666666664</v>
      </c>
      <c r="B2517" t="s">
        <v>23</v>
      </c>
      <c r="C2517">
        <v>493.95</v>
      </c>
      <c r="D2517">
        <v>87.85</v>
      </c>
      <c r="E2517" t="s">
        <v>14</v>
      </c>
      <c r="F2517">
        <v>73.040000000000006</v>
      </c>
      <c r="G2517" t="s">
        <v>10</v>
      </c>
      <c r="H2517" t="s">
        <v>11</v>
      </c>
    </row>
    <row r="2518" spans="1:8" x14ac:dyDescent="0.25">
      <c r="A2518" s="1">
        <v>45672.833333333336</v>
      </c>
      <c r="B2518" t="s">
        <v>23</v>
      </c>
      <c r="C2518">
        <v>144.38</v>
      </c>
      <c r="D2518">
        <v>40.590000000000003</v>
      </c>
      <c r="E2518" t="s">
        <v>9</v>
      </c>
      <c r="F2518">
        <v>82.2</v>
      </c>
      <c r="G2518" t="s">
        <v>10</v>
      </c>
      <c r="H2518" t="s">
        <v>13</v>
      </c>
    </row>
    <row r="2519" spans="1:8" x14ac:dyDescent="0.25">
      <c r="A2519" s="1">
        <v>45672.875</v>
      </c>
      <c r="B2519" t="s">
        <v>23</v>
      </c>
      <c r="C2519">
        <v>148.57</v>
      </c>
      <c r="D2519">
        <v>19.829999999999998</v>
      </c>
      <c r="E2519" t="s">
        <v>9</v>
      </c>
      <c r="F2519">
        <v>72.94</v>
      </c>
      <c r="G2519" t="s">
        <v>10</v>
      </c>
      <c r="H2519" t="s">
        <v>11</v>
      </c>
    </row>
    <row r="2520" spans="1:8" x14ac:dyDescent="0.25">
      <c r="A2520" s="1">
        <v>45672.916666666664</v>
      </c>
      <c r="B2520" t="s">
        <v>23</v>
      </c>
      <c r="C2520">
        <v>354.72</v>
      </c>
      <c r="D2520">
        <v>90.79</v>
      </c>
      <c r="E2520" t="s">
        <v>14</v>
      </c>
      <c r="F2520">
        <v>68.31</v>
      </c>
      <c r="G2520" t="s">
        <v>10</v>
      </c>
      <c r="H2520" t="s">
        <v>12</v>
      </c>
    </row>
    <row r="2521" spans="1:8" x14ac:dyDescent="0.25">
      <c r="A2521" s="1">
        <v>45672.958333333336</v>
      </c>
      <c r="B2521" t="s">
        <v>23</v>
      </c>
      <c r="C2521">
        <v>198.82</v>
      </c>
      <c r="D2521">
        <v>15.21</v>
      </c>
      <c r="E2521" t="s">
        <v>9</v>
      </c>
      <c r="F2521">
        <v>33.299999999999997</v>
      </c>
      <c r="G2521" t="s">
        <v>10</v>
      </c>
      <c r="H2521" t="s">
        <v>12</v>
      </c>
    </row>
    <row r="2522" spans="1:8" x14ac:dyDescent="0.25">
      <c r="A2522" s="1">
        <v>45658</v>
      </c>
      <c r="B2522" t="s">
        <v>24</v>
      </c>
      <c r="C2522">
        <v>360.29</v>
      </c>
      <c r="D2522">
        <v>87.44</v>
      </c>
      <c r="E2522" t="s">
        <v>14</v>
      </c>
      <c r="F2522">
        <v>87.53</v>
      </c>
      <c r="G2522" t="s">
        <v>16</v>
      </c>
      <c r="H2522" t="s">
        <v>12</v>
      </c>
    </row>
    <row r="2523" spans="1:8" x14ac:dyDescent="0.25">
      <c r="A2523" s="1">
        <v>45658.041666666664</v>
      </c>
      <c r="B2523" t="s">
        <v>24</v>
      </c>
      <c r="C2523">
        <v>495.54</v>
      </c>
      <c r="D2523">
        <v>40.119999999999997</v>
      </c>
      <c r="E2523" t="s">
        <v>9</v>
      </c>
      <c r="F2523">
        <v>80.58</v>
      </c>
      <c r="G2523" t="s">
        <v>16</v>
      </c>
      <c r="H2523" t="s">
        <v>13</v>
      </c>
    </row>
    <row r="2524" spans="1:8" x14ac:dyDescent="0.25">
      <c r="A2524" s="1">
        <v>45658.083333333336</v>
      </c>
      <c r="B2524" t="s">
        <v>24</v>
      </c>
      <c r="C2524">
        <v>96.55</v>
      </c>
      <c r="D2524">
        <v>32.72</v>
      </c>
      <c r="E2524" t="s">
        <v>9</v>
      </c>
      <c r="F2524">
        <v>53.65</v>
      </c>
      <c r="G2524" t="s">
        <v>16</v>
      </c>
      <c r="H2524" t="s">
        <v>13</v>
      </c>
    </row>
    <row r="2525" spans="1:8" x14ac:dyDescent="0.25">
      <c r="A2525" s="1">
        <v>45658.125</v>
      </c>
      <c r="B2525" t="s">
        <v>24</v>
      </c>
      <c r="C2525">
        <v>149.37</v>
      </c>
      <c r="D2525">
        <v>26.47</v>
      </c>
      <c r="E2525" t="s">
        <v>9</v>
      </c>
      <c r="F2525">
        <v>84.59</v>
      </c>
      <c r="G2525" t="s">
        <v>16</v>
      </c>
      <c r="H2525" t="s">
        <v>11</v>
      </c>
    </row>
    <row r="2526" spans="1:8" x14ac:dyDescent="0.25">
      <c r="A2526" s="1">
        <v>45658.166666666664</v>
      </c>
      <c r="B2526" t="s">
        <v>24</v>
      </c>
      <c r="C2526">
        <v>403.53</v>
      </c>
      <c r="D2526">
        <v>90.3</v>
      </c>
      <c r="E2526" t="s">
        <v>14</v>
      </c>
      <c r="F2526">
        <v>82.62</v>
      </c>
      <c r="G2526" t="s">
        <v>16</v>
      </c>
      <c r="H2526" t="s">
        <v>13</v>
      </c>
    </row>
    <row r="2527" spans="1:8" x14ac:dyDescent="0.25">
      <c r="A2527" s="1">
        <v>45658.208333333336</v>
      </c>
      <c r="B2527" t="s">
        <v>24</v>
      </c>
      <c r="C2527">
        <v>261.10000000000002</v>
      </c>
      <c r="D2527">
        <v>48.58</v>
      </c>
      <c r="E2527" t="s">
        <v>9</v>
      </c>
      <c r="F2527">
        <v>60.9</v>
      </c>
      <c r="G2527" t="s">
        <v>16</v>
      </c>
      <c r="H2527" t="s">
        <v>12</v>
      </c>
    </row>
    <row r="2528" spans="1:8" x14ac:dyDescent="0.25">
      <c r="A2528" s="1">
        <v>45658.25</v>
      </c>
      <c r="B2528" t="s">
        <v>24</v>
      </c>
      <c r="C2528">
        <v>212.36</v>
      </c>
      <c r="D2528">
        <v>80.94</v>
      </c>
      <c r="E2528" t="s">
        <v>9</v>
      </c>
      <c r="F2528">
        <v>57.13</v>
      </c>
      <c r="G2528" t="s">
        <v>16</v>
      </c>
      <c r="H2528" t="s">
        <v>11</v>
      </c>
    </row>
    <row r="2529" spans="1:8" x14ac:dyDescent="0.25">
      <c r="A2529" s="1">
        <v>45658.291666666664</v>
      </c>
      <c r="B2529" t="s">
        <v>24</v>
      </c>
      <c r="C2529">
        <v>492.1</v>
      </c>
      <c r="D2529">
        <v>18.86</v>
      </c>
      <c r="E2529" t="s">
        <v>9</v>
      </c>
      <c r="F2529">
        <v>59.28</v>
      </c>
      <c r="G2529" t="s">
        <v>16</v>
      </c>
      <c r="H2529" t="s">
        <v>11</v>
      </c>
    </row>
    <row r="2530" spans="1:8" x14ac:dyDescent="0.25">
      <c r="A2530" s="1">
        <v>45658.333333333336</v>
      </c>
      <c r="B2530" t="s">
        <v>24</v>
      </c>
      <c r="C2530">
        <v>337.15</v>
      </c>
      <c r="D2530">
        <v>61.63</v>
      </c>
      <c r="E2530" t="s">
        <v>9</v>
      </c>
      <c r="F2530">
        <v>43.76</v>
      </c>
      <c r="G2530" t="s">
        <v>16</v>
      </c>
      <c r="H2530" t="s">
        <v>11</v>
      </c>
    </row>
    <row r="2531" spans="1:8" x14ac:dyDescent="0.25">
      <c r="A2531" s="1">
        <v>45658.375</v>
      </c>
      <c r="B2531" t="s">
        <v>24</v>
      </c>
      <c r="C2531">
        <v>200.69</v>
      </c>
      <c r="D2531">
        <v>88.48</v>
      </c>
      <c r="E2531" t="s">
        <v>14</v>
      </c>
      <c r="F2531">
        <v>69.22</v>
      </c>
      <c r="G2531" t="s">
        <v>16</v>
      </c>
      <c r="H2531" t="s">
        <v>12</v>
      </c>
    </row>
    <row r="2532" spans="1:8" x14ac:dyDescent="0.25">
      <c r="A2532" s="1">
        <v>45658.416666666664</v>
      </c>
      <c r="B2532" t="s">
        <v>24</v>
      </c>
      <c r="C2532">
        <v>132.6</v>
      </c>
      <c r="D2532">
        <v>37.08</v>
      </c>
      <c r="E2532" t="s">
        <v>9</v>
      </c>
      <c r="F2532">
        <v>55</v>
      </c>
      <c r="G2532" t="s">
        <v>16</v>
      </c>
      <c r="H2532" t="s">
        <v>12</v>
      </c>
    </row>
    <row r="2533" spans="1:8" x14ac:dyDescent="0.25">
      <c r="A2533" s="1">
        <v>45658.458333333336</v>
      </c>
      <c r="B2533" t="s">
        <v>24</v>
      </c>
      <c r="C2533">
        <v>286.19</v>
      </c>
      <c r="D2533">
        <v>62.56</v>
      </c>
      <c r="E2533" t="s">
        <v>9</v>
      </c>
      <c r="F2533">
        <v>64</v>
      </c>
      <c r="G2533" t="s">
        <v>16</v>
      </c>
      <c r="H2533" t="s">
        <v>12</v>
      </c>
    </row>
    <row r="2534" spans="1:8" x14ac:dyDescent="0.25">
      <c r="A2534" s="1">
        <v>45658.5</v>
      </c>
      <c r="B2534" t="s">
        <v>24</v>
      </c>
      <c r="C2534">
        <v>188.49</v>
      </c>
      <c r="D2534">
        <v>24.24</v>
      </c>
      <c r="E2534" t="s">
        <v>9</v>
      </c>
      <c r="F2534">
        <v>75.650000000000006</v>
      </c>
      <c r="G2534" t="s">
        <v>16</v>
      </c>
      <c r="H2534" t="s">
        <v>12</v>
      </c>
    </row>
    <row r="2535" spans="1:8" x14ac:dyDescent="0.25">
      <c r="A2535" s="1">
        <v>45658.541666666664</v>
      </c>
      <c r="B2535" t="s">
        <v>24</v>
      </c>
      <c r="C2535">
        <v>492.65</v>
      </c>
      <c r="D2535">
        <v>60.22</v>
      </c>
      <c r="E2535" t="s">
        <v>9</v>
      </c>
      <c r="F2535">
        <v>56.56</v>
      </c>
      <c r="G2535" t="s">
        <v>16</v>
      </c>
      <c r="H2535" t="s">
        <v>13</v>
      </c>
    </row>
    <row r="2536" spans="1:8" x14ac:dyDescent="0.25">
      <c r="A2536" s="1">
        <v>45658.583333333336</v>
      </c>
      <c r="B2536" t="s">
        <v>24</v>
      </c>
      <c r="C2536">
        <v>290</v>
      </c>
      <c r="D2536">
        <v>67.42</v>
      </c>
      <c r="E2536" t="s">
        <v>9</v>
      </c>
      <c r="F2536">
        <v>32.5</v>
      </c>
      <c r="G2536" t="s">
        <v>16</v>
      </c>
      <c r="H2536" t="s">
        <v>11</v>
      </c>
    </row>
    <row r="2537" spans="1:8" x14ac:dyDescent="0.25">
      <c r="A2537" s="1">
        <v>45658.625</v>
      </c>
      <c r="B2537" t="s">
        <v>24</v>
      </c>
      <c r="C2537">
        <v>431.88</v>
      </c>
      <c r="D2537">
        <v>75.45</v>
      </c>
      <c r="E2537" t="s">
        <v>9</v>
      </c>
      <c r="F2537">
        <v>66.09</v>
      </c>
      <c r="G2537" t="s">
        <v>16</v>
      </c>
      <c r="H2537" t="s">
        <v>13</v>
      </c>
    </row>
    <row r="2538" spans="1:8" x14ac:dyDescent="0.25">
      <c r="A2538" s="1">
        <v>45658.666666666664</v>
      </c>
      <c r="B2538" t="s">
        <v>24</v>
      </c>
      <c r="C2538">
        <v>134.16999999999999</v>
      </c>
      <c r="D2538">
        <v>42.17</v>
      </c>
      <c r="E2538" t="s">
        <v>9</v>
      </c>
      <c r="F2538">
        <v>70.790000000000006</v>
      </c>
      <c r="G2538" t="s">
        <v>16</v>
      </c>
      <c r="H2538" t="s">
        <v>11</v>
      </c>
    </row>
    <row r="2539" spans="1:8" x14ac:dyDescent="0.25">
      <c r="A2539" s="1">
        <v>45658.708333333336</v>
      </c>
      <c r="B2539" t="s">
        <v>24</v>
      </c>
      <c r="C2539">
        <v>397.09</v>
      </c>
      <c r="D2539">
        <v>47.34</v>
      </c>
      <c r="E2539" t="s">
        <v>9</v>
      </c>
      <c r="F2539">
        <v>41.03</v>
      </c>
      <c r="G2539" t="s">
        <v>16</v>
      </c>
      <c r="H2539" t="s">
        <v>11</v>
      </c>
    </row>
    <row r="2540" spans="1:8" x14ac:dyDescent="0.25">
      <c r="A2540" s="1">
        <v>45658.75</v>
      </c>
      <c r="B2540" t="s">
        <v>24</v>
      </c>
      <c r="C2540">
        <v>433.56</v>
      </c>
      <c r="D2540">
        <v>41.7</v>
      </c>
      <c r="E2540" t="s">
        <v>9</v>
      </c>
      <c r="F2540">
        <v>50.12</v>
      </c>
      <c r="G2540" t="s">
        <v>16</v>
      </c>
      <c r="H2540" t="s">
        <v>12</v>
      </c>
    </row>
    <row r="2541" spans="1:8" x14ac:dyDescent="0.25">
      <c r="A2541" s="1">
        <v>45658.791666666664</v>
      </c>
      <c r="B2541" t="s">
        <v>24</v>
      </c>
      <c r="C2541">
        <v>284.82</v>
      </c>
      <c r="D2541">
        <v>25.39</v>
      </c>
      <c r="E2541" t="s">
        <v>9</v>
      </c>
      <c r="F2541">
        <v>43.18</v>
      </c>
      <c r="G2541" t="s">
        <v>16</v>
      </c>
      <c r="H2541" t="s">
        <v>11</v>
      </c>
    </row>
    <row r="2542" spans="1:8" x14ac:dyDescent="0.25">
      <c r="A2542" s="1">
        <v>45658.833333333336</v>
      </c>
      <c r="B2542" t="s">
        <v>24</v>
      </c>
      <c r="C2542">
        <v>141.21</v>
      </c>
      <c r="D2542">
        <v>23.05</v>
      </c>
      <c r="E2542" t="s">
        <v>9</v>
      </c>
      <c r="F2542">
        <v>68.42</v>
      </c>
      <c r="G2542" t="s">
        <v>16</v>
      </c>
      <c r="H2542" t="s">
        <v>11</v>
      </c>
    </row>
    <row r="2543" spans="1:8" x14ac:dyDescent="0.25">
      <c r="A2543" s="1">
        <v>45658.875</v>
      </c>
      <c r="B2543" t="s">
        <v>24</v>
      </c>
      <c r="C2543">
        <v>400.7</v>
      </c>
      <c r="D2543">
        <v>42.75</v>
      </c>
      <c r="E2543" t="s">
        <v>9</v>
      </c>
      <c r="F2543">
        <v>88.95</v>
      </c>
      <c r="G2543" t="s">
        <v>16</v>
      </c>
      <c r="H2543" t="s">
        <v>13</v>
      </c>
    </row>
    <row r="2544" spans="1:8" x14ac:dyDescent="0.25">
      <c r="A2544" s="1">
        <v>45658.916666666664</v>
      </c>
      <c r="B2544" t="s">
        <v>24</v>
      </c>
      <c r="C2544">
        <v>436.69</v>
      </c>
      <c r="D2544">
        <v>24.91</v>
      </c>
      <c r="E2544" t="s">
        <v>9</v>
      </c>
      <c r="F2544">
        <v>80.86</v>
      </c>
      <c r="G2544" t="s">
        <v>16</v>
      </c>
      <c r="H2544" t="s">
        <v>12</v>
      </c>
    </row>
    <row r="2545" spans="1:8" x14ac:dyDescent="0.25">
      <c r="A2545" s="1">
        <v>45658.958333333336</v>
      </c>
      <c r="B2545" t="s">
        <v>24</v>
      </c>
      <c r="C2545">
        <v>497.64</v>
      </c>
      <c r="D2545">
        <v>80.349999999999994</v>
      </c>
      <c r="E2545" t="s">
        <v>9</v>
      </c>
      <c r="F2545">
        <v>63.34</v>
      </c>
      <c r="G2545" t="s">
        <v>16</v>
      </c>
      <c r="H2545" t="s">
        <v>12</v>
      </c>
    </row>
    <row r="2546" spans="1:8" x14ac:dyDescent="0.25">
      <c r="A2546" s="1">
        <v>45659</v>
      </c>
      <c r="B2546" t="s">
        <v>24</v>
      </c>
      <c r="C2546">
        <v>346.02</v>
      </c>
      <c r="D2546">
        <v>31.26</v>
      </c>
      <c r="E2546" t="s">
        <v>9</v>
      </c>
      <c r="F2546">
        <v>37.01</v>
      </c>
      <c r="G2546" t="s">
        <v>16</v>
      </c>
      <c r="H2546" t="s">
        <v>11</v>
      </c>
    </row>
    <row r="2547" spans="1:8" x14ac:dyDescent="0.25">
      <c r="A2547" s="1">
        <v>45659.041666666664</v>
      </c>
      <c r="B2547" t="s">
        <v>24</v>
      </c>
      <c r="C2547">
        <v>228.44</v>
      </c>
      <c r="D2547">
        <v>94.26</v>
      </c>
      <c r="E2547" t="s">
        <v>14</v>
      </c>
      <c r="F2547">
        <v>39.36</v>
      </c>
      <c r="G2547" t="s">
        <v>16</v>
      </c>
      <c r="H2547" t="s">
        <v>11</v>
      </c>
    </row>
    <row r="2548" spans="1:8" x14ac:dyDescent="0.25">
      <c r="A2548" s="1">
        <v>45659.083333333336</v>
      </c>
      <c r="B2548" t="s">
        <v>24</v>
      </c>
      <c r="C2548">
        <v>90.06</v>
      </c>
      <c r="D2548">
        <v>36.01</v>
      </c>
      <c r="E2548" t="s">
        <v>9</v>
      </c>
      <c r="F2548">
        <v>76.08</v>
      </c>
      <c r="G2548" t="s">
        <v>16</v>
      </c>
      <c r="H2548" t="s">
        <v>12</v>
      </c>
    </row>
    <row r="2549" spans="1:8" x14ac:dyDescent="0.25">
      <c r="A2549" s="1">
        <v>45659.125</v>
      </c>
      <c r="B2549" t="s">
        <v>24</v>
      </c>
      <c r="C2549">
        <v>333.98</v>
      </c>
      <c r="D2549">
        <v>55.63</v>
      </c>
      <c r="E2549" t="s">
        <v>9</v>
      </c>
      <c r="F2549">
        <v>72.52</v>
      </c>
      <c r="G2549" t="s">
        <v>16</v>
      </c>
      <c r="H2549" t="s">
        <v>13</v>
      </c>
    </row>
    <row r="2550" spans="1:8" x14ac:dyDescent="0.25">
      <c r="A2550" s="1">
        <v>45659.166666666664</v>
      </c>
      <c r="B2550" t="s">
        <v>24</v>
      </c>
      <c r="C2550">
        <v>428.59</v>
      </c>
      <c r="D2550">
        <v>68.849999999999994</v>
      </c>
      <c r="E2550" t="s">
        <v>9</v>
      </c>
      <c r="F2550">
        <v>71.87</v>
      </c>
      <c r="G2550" t="s">
        <v>16</v>
      </c>
      <c r="H2550" t="s">
        <v>11</v>
      </c>
    </row>
    <row r="2551" spans="1:8" x14ac:dyDescent="0.25">
      <c r="A2551" s="1">
        <v>45659.208333333336</v>
      </c>
      <c r="B2551" t="s">
        <v>24</v>
      </c>
      <c r="C2551">
        <v>59.26</v>
      </c>
      <c r="D2551">
        <v>93.13</v>
      </c>
      <c r="E2551" t="s">
        <v>14</v>
      </c>
      <c r="F2551">
        <v>34</v>
      </c>
      <c r="G2551" t="s">
        <v>16</v>
      </c>
      <c r="H2551" t="s">
        <v>13</v>
      </c>
    </row>
    <row r="2552" spans="1:8" x14ac:dyDescent="0.25">
      <c r="A2552" s="1">
        <v>45659.25</v>
      </c>
      <c r="B2552" t="s">
        <v>24</v>
      </c>
      <c r="C2552">
        <v>190.84</v>
      </c>
      <c r="D2552">
        <v>61.59</v>
      </c>
      <c r="E2552" t="s">
        <v>9</v>
      </c>
      <c r="F2552">
        <v>70.760000000000005</v>
      </c>
      <c r="G2552" t="s">
        <v>16</v>
      </c>
      <c r="H2552" t="s">
        <v>11</v>
      </c>
    </row>
    <row r="2553" spans="1:8" x14ac:dyDescent="0.25">
      <c r="A2553" s="1">
        <v>45659.291666666664</v>
      </c>
      <c r="B2553" t="s">
        <v>24</v>
      </c>
      <c r="C2553">
        <v>449.93</v>
      </c>
      <c r="D2553">
        <v>51.62</v>
      </c>
      <c r="E2553" t="s">
        <v>9</v>
      </c>
      <c r="F2553">
        <v>60.97</v>
      </c>
      <c r="G2553" t="s">
        <v>16</v>
      </c>
      <c r="H2553" t="s">
        <v>13</v>
      </c>
    </row>
    <row r="2554" spans="1:8" x14ac:dyDescent="0.25">
      <c r="A2554" s="1">
        <v>45659.333333333336</v>
      </c>
      <c r="B2554" t="s">
        <v>24</v>
      </c>
      <c r="C2554">
        <v>424.94</v>
      </c>
      <c r="D2554">
        <v>17.649999999999999</v>
      </c>
      <c r="E2554" t="s">
        <v>9</v>
      </c>
      <c r="F2554">
        <v>69.2</v>
      </c>
      <c r="G2554" t="s">
        <v>16</v>
      </c>
      <c r="H2554" t="s">
        <v>11</v>
      </c>
    </row>
    <row r="2555" spans="1:8" x14ac:dyDescent="0.25">
      <c r="A2555" s="1">
        <v>45659.375</v>
      </c>
      <c r="B2555" t="s">
        <v>24</v>
      </c>
      <c r="C2555">
        <v>445.67</v>
      </c>
      <c r="D2555">
        <v>77.11</v>
      </c>
      <c r="E2555" t="s">
        <v>9</v>
      </c>
      <c r="F2555">
        <v>41.44</v>
      </c>
      <c r="G2555" t="s">
        <v>16</v>
      </c>
      <c r="H2555" t="s">
        <v>11</v>
      </c>
    </row>
    <row r="2556" spans="1:8" x14ac:dyDescent="0.25">
      <c r="A2556" s="1">
        <v>45659.416666666664</v>
      </c>
      <c r="B2556" t="s">
        <v>24</v>
      </c>
      <c r="C2556">
        <v>191.87</v>
      </c>
      <c r="D2556">
        <v>55.54</v>
      </c>
      <c r="E2556" t="s">
        <v>9</v>
      </c>
      <c r="F2556">
        <v>44.77</v>
      </c>
      <c r="G2556" t="s">
        <v>16</v>
      </c>
      <c r="H2556" t="s">
        <v>12</v>
      </c>
    </row>
    <row r="2557" spans="1:8" x14ac:dyDescent="0.25">
      <c r="A2557" s="1">
        <v>45659.458333333336</v>
      </c>
      <c r="B2557" t="s">
        <v>24</v>
      </c>
      <c r="C2557">
        <v>234.04</v>
      </c>
      <c r="D2557">
        <v>70.650000000000006</v>
      </c>
      <c r="E2557" t="s">
        <v>9</v>
      </c>
      <c r="F2557">
        <v>68.319999999999993</v>
      </c>
      <c r="G2557" t="s">
        <v>16</v>
      </c>
      <c r="H2557" t="s">
        <v>11</v>
      </c>
    </row>
    <row r="2558" spans="1:8" x14ac:dyDescent="0.25">
      <c r="A2558" s="1">
        <v>45659.5</v>
      </c>
      <c r="B2558" t="s">
        <v>24</v>
      </c>
      <c r="C2558">
        <v>395.78</v>
      </c>
      <c r="D2558">
        <v>75.400000000000006</v>
      </c>
      <c r="E2558" t="s">
        <v>9</v>
      </c>
      <c r="F2558">
        <v>67.069999999999993</v>
      </c>
      <c r="G2558" t="s">
        <v>16</v>
      </c>
      <c r="H2558" t="s">
        <v>13</v>
      </c>
    </row>
    <row r="2559" spans="1:8" x14ac:dyDescent="0.25">
      <c r="A2559" s="1">
        <v>45659.541666666664</v>
      </c>
      <c r="B2559" t="s">
        <v>24</v>
      </c>
      <c r="C2559">
        <v>477.7</v>
      </c>
      <c r="D2559">
        <v>72.03</v>
      </c>
      <c r="E2559" t="s">
        <v>9</v>
      </c>
      <c r="F2559">
        <v>59.55</v>
      </c>
      <c r="G2559" t="s">
        <v>16</v>
      </c>
      <c r="H2559" t="s">
        <v>11</v>
      </c>
    </row>
    <row r="2560" spans="1:8" x14ac:dyDescent="0.25">
      <c r="A2560" s="1">
        <v>45659.583333333336</v>
      </c>
      <c r="B2560" t="s">
        <v>24</v>
      </c>
      <c r="C2560">
        <v>420.06</v>
      </c>
      <c r="D2560">
        <v>58.24</v>
      </c>
      <c r="E2560" t="s">
        <v>9</v>
      </c>
      <c r="F2560">
        <v>43.11</v>
      </c>
      <c r="G2560" t="s">
        <v>16</v>
      </c>
      <c r="H2560" t="s">
        <v>12</v>
      </c>
    </row>
    <row r="2561" spans="1:8" x14ac:dyDescent="0.25">
      <c r="A2561" s="1">
        <v>45659.625</v>
      </c>
      <c r="B2561" t="s">
        <v>24</v>
      </c>
      <c r="C2561">
        <v>101.93</v>
      </c>
      <c r="D2561">
        <v>42.06</v>
      </c>
      <c r="E2561" t="s">
        <v>9</v>
      </c>
      <c r="F2561">
        <v>83.95</v>
      </c>
      <c r="G2561" t="s">
        <v>16</v>
      </c>
      <c r="H2561" t="s">
        <v>11</v>
      </c>
    </row>
    <row r="2562" spans="1:8" x14ac:dyDescent="0.25">
      <c r="A2562" s="1">
        <v>45659.666666666664</v>
      </c>
      <c r="B2562" t="s">
        <v>24</v>
      </c>
      <c r="C2562">
        <v>426.25</v>
      </c>
      <c r="D2562">
        <v>68.92</v>
      </c>
      <c r="E2562" t="s">
        <v>9</v>
      </c>
      <c r="F2562">
        <v>71.069999999999993</v>
      </c>
      <c r="G2562" t="s">
        <v>16</v>
      </c>
      <c r="H2562" t="s">
        <v>12</v>
      </c>
    </row>
    <row r="2563" spans="1:8" x14ac:dyDescent="0.25">
      <c r="A2563" s="1">
        <v>45659.708333333336</v>
      </c>
      <c r="B2563" t="s">
        <v>24</v>
      </c>
      <c r="C2563">
        <v>492.91</v>
      </c>
      <c r="D2563">
        <v>82.18</v>
      </c>
      <c r="E2563" t="s">
        <v>9</v>
      </c>
      <c r="F2563">
        <v>77.34</v>
      </c>
      <c r="G2563" t="s">
        <v>16</v>
      </c>
      <c r="H2563" t="s">
        <v>11</v>
      </c>
    </row>
    <row r="2564" spans="1:8" x14ac:dyDescent="0.25">
      <c r="A2564" s="1">
        <v>45659.75</v>
      </c>
      <c r="B2564" t="s">
        <v>24</v>
      </c>
      <c r="C2564">
        <v>270.52</v>
      </c>
      <c r="D2564">
        <v>46.8</v>
      </c>
      <c r="E2564" t="s">
        <v>9</v>
      </c>
      <c r="F2564">
        <v>40.21</v>
      </c>
      <c r="G2564" t="s">
        <v>16</v>
      </c>
      <c r="H2564" t="s">
        <v>11</v>
      </c>
    </row>
    <row r="2565" spans="1:8" x14ac:dyDescent="0.25">
      <c r="A2565" s="1">
        <v>45659.791666666664</v>
      </c>
      <c r="B2565" t="s">
        <v>24</v>
      </c>
      <c r="C2565">
        <v>298.87</v>
      </c>
      <c r="D2565">
        <v>66.540000000000006</v>
      </c>
      <c r="E2565" t="s">
        <v>9</v>
      </c>
      <c r="F2565">
        <v>53.41</v>
      </c>
      <c r="G2565" t="s">
        <v>16</v>
      </c>
      <c r="H2565" t="s">
        <v>13</v>
      </c>
    </row>
    <row r="2566" spans="1:8" x14ac:dyDescent="0.25">
      <c r="A2566" s="1">
        <v>45659.833333333336</v>
      </c>
      <c r="B2566" t="s">
        <v>24</v>
      </c>
      <c r="C2566">
        <v>444.05</v>
      </c>
      <c r="D2566">
        <v>30.94</v>
      </c>
      <c r="E2566" t="s">
        <v>9</v>
      </c>
      <c r="F2566">
        <v>67.59</v>
      </c>
      <c r="G2566" t="s">
        <v>16</v>
      </c>
      <c r="H2566" t="s">
        <v>12</v>
      </c>
    </row>
    <row r="2567" spans="1:8" x14ac:dyDescent="0.25">
      <c r="A2567" s="1">
        <v>45659.875</v>
      </c>
      <c r="B2567" t="s">
        <v>24</v>
      </c>
      <c r="C2567">
        <v>126.84</v>
      </c>
      <c r="D2567">
        <v>16.97</v>
      </c>
      <c r="E2567" t="s">
        <v>9</v>
      </c>
      <c r="F2567">
        <v>41.13</v>
      </c>
      <c r="G2567" t="s">
        <v>16</v>
      </c>
      <c r="H2567" t="s">
        <v>13</v>
      </c>
    </row>
    <row r="2568" spans="1:8" x14ac:dyDescent="0.25">
      <c r="A2568" s="1">
        <v>45659.916666666664</v>
      </c>
      <c r="B2568" t="s">
        <v>24</v>
      </c>
      <c r="C2568">
        <v>400.87</v>
      </c>
      <c r="D2568">
        <v>23.47</v>
      </c>
      <c r="E2568" t="s">
        <v>9</v>
      </c>
      <c r="F2568">
        <v>54.27</v>
      </c>
      <c r="G2568" t="s">
        <v>16</v>
      </c>
      <c r="H2568" t="s">
        <v>12</v>
      </c>
    </row>
    <row r="2569" spans="1:8" x14ac:dyDescent="0.25">
      <c r="A2569" s="1">
        <v>45659.958333333336</v>
      </c>
      <c r="B2569" t="s">
        <v>24</v>
      </c>
      <c r="C2569">
        <v>60.01</v>
      </c>
      <c r="D2569">
        <v>72.05</v>
      </c>
      <c r="E2569" t="s">
        <v>9</v>
      </c>
      <c r="F2569">
        <v>36.61</v>
      </c>
      <c r="G2569" t="s">
        <v>16</v>
      </c>
      <c r="H2569" t="s">
        <v>13</v>
      </c>
    </row>
    <row r="2570" spans="1:8" x14ac:dyDescent="0.25">
      <c r="A2570" s="1">
        <v>45660</v>
      </c>
      <c r="B2570" t="s">
        <v>24</v>
      </c>
      <c r="C2570">
        <v>469.73</v>
      </c>
      <c r="D2570">
        <v>38.770000000000003</v>
      </c>
      <c r="E2570" t="s">
        <v>9</v>
      </c>
      <c r="F2570">
        <v>32.92</v>
      </c>
      <c r="G2570" t="s">
        <v>16</v>
      </c>
      <c r="H2570" t="s">
        <v>12</v>
      </c>
    </row>
    <row r="2571" spans="1:8" x14ac:dyDescent="0.25">
      <c r="A2571" s="1">
        <v>45660.041666666664</v>
      </c>
      <c r="B2571" t="s">
        <v>24</v>
      </c>
      <c r="C2571">
        <v>404.08</v>
      </c>
      <c r="D2571">
        <v>91.58</v>
      </c>
      <c r="E2571" t="s">
        <v>14</v>
      </c>
      <c r="F2571">
        <v>39.47</v>
      </c>
      <c r="G2571" t="s">
        <v>16</v>
      </c>
      <c r="H2571" t="s">
        <v>13</v>
      </c>
    </row>
    <row r="2572" spans="1:8" x14ac:dyDescent="0.25">
      <c r="A2572" s="1">
        <v>45660.083333333336</v>
      </c>
      <c r="B2572" t="s">
        <v>24</v>
      </c>
      <c r="C2572">
        <v>413.23</v>
      </c>
      <c r="D2572">
        <v>67.260000000000005</v>
      </c>
      <c r="E2572" t="s">
        <v>9</v>
      </c>
      <c r="F2572">
        <v>41.56</v>
      </c>
      <c r="G2572" t="s">
        <v>16</v>
      </c>
      <c r="H2572" t="s">
        <v>13</v>
      </c>
    </row>
    <row r="2573" spans="1:8" x14ac:dyDescent="0.25">
      <c r="A2573" s="1">
        <v>45660.125</v>
      </c>
      <c r="B2573" t="s">
        <v>24</v>
      </c>
      <c r="C2573">
        <v>109.3</v>
      </c>
      <c r="D2573">
        <v>45.01</v>
      </c>
      <c r="E2573" t="s">
        <v>9</v>
      </c>
      <c r="F2573">
        <v>42.22</v>
      </c>
      <c r="G2573" t="s">
        <v>16</v>
      </c>
      <c r="H2573" t="s">
        <v>13</v>
      </c>
    </row>
    <row r="2574" spans="1:8" x14ac:dyDescent="0.25">
      <c r="A2574" s="1">
        <v>45660.166666666664</v>
      </c>
      <c r="B2574" t="s">
        <v>24</v>
      </c>
      <c r="C2574">
        <v>307.8</v>
      </c>
      <c r="D2574">
        <v>61.34</v>
      </c>
      <c r="E2574" t="s">
        <v>9</v>
      </c>
      <c r="F2574">
        <v>52.18</v>
      </c>
      <c r="G2574" t="s">
        <v>16</v>
      </c>
      <c r="H2574" t="s">
        <v>13</v>
      </c>
    </row>
    <row r="2575" spans="1:8" x14ac:dyDescent="0.25">
      <c r="A2575" s="1">
        <v>45660.208333333336</v>
      </c>
      <c r="B2575" t="s">
        <v>24</v>
      </c>
      <c r="C2575">
        <v>461.39</v>
      </c>
      <c r="D2575">
        <v>54.99</v>
      </c>
      <c r="E2575" t="s">
        <v>9</v>
      </c>
      <c r="F2575">
        <v>62.62</v>
      </c>
      <c r="G2575" t="s">
        <v>16</v>
      </c>
      <c r="H2575" t="s">
        <v>11</v>
      </c>
    </row>
    <row r="2576" spans="1:8" x14ac:dyDescent="0.25">
      <c r="A2576" s="1">
        <v>45660.25</v>
      </c>
      <c r="B2576" t="s">
        <v>24</v>
      </c>
      <c r="C2576">
        <v>229.61</v>
      </c>
      <c r="D2576">
        <v>79.41</v>
      </c>
      <c r="E2576" t="s">
        <v>9</v>
      </c>
      <c r="F2576">
        <v>87.99</v>
      </c>
      <c r="G2576" t="s">
        <v>16</v>
      </c>
      <c r="H2576" t="s">
        <v>12</v>
      </c>
    </row>
    <row r="2577" spans="1:8" x14ac:dyDescent="0.25">
      <c r="A2577" s="1">
        <v>45660.291666666664</v>
      </c>
      <c r="B2577" t="s">
        <v>24</v>
      </c>
      <c r="C2577">
        <v>73.67</v>
      </c>
      <c r="D2577">
        <v>58.59</v>
      </c>
      <c r="E2577" t="s">
        <v>9</v>
      </c>
      <c r="F2577">
        <v>48.44</v>
      </c>
      <c r="G2577" t="s">
        <v>16</v>
      </c>
      <c r="H2577" t="s">
        <v>13</v>
      </c>
    </row>
    <row r="2578" spans="1:8" x14ac:dyDescent="0.25">
      <c r="A2578" s="1">
        <v>45660.333333333336</v>
      </c>
      <c r="B2578" t="s">
        <v>24</v>
      </c>
      <c r="C2578">
        <v>494.64</v>
      </c>
      <c r="D2578">
        <v>49.51</v>
      </c>
      <c r="E2578" t="s">
        <v>9</v>
      </c>
      <c r="F2578">
        <v>33.979999999999997</v>
      </c>
      <c r="G2578" t="s">
        <v>16</v>
      </c>
      <c r="H2578" t="s">
        <v>12</v>
      </c>
    </row>
    <row r="2579" spans="1:8" x14ac:dyDescent="0.25">
      <c r="A2579" s="1">
        <v>45660.375</v>
      </c>
      <c r="B2579" t="s">
        <v>24</v>
      </c>
      <c r="C2579">
        <v>135.5</v>
      </c>
      <c r="D2579">
        <v>41.81</v>
      </c>
      <c r="E2579" t="s">
        <v>9</v>
      </c>
      <c r="F2579">
        <v>66.81</v>
      </c>
      <c r="G2579" t="s">
        <v>16</v>
      </c>
      <c r="H2579" t="s">
        <v>13</v>
      </c>
    </row>
    <row r="2580" spans="1:8" x14ac:dyDescent="0.25">
      <c r="A2580" s="1">
        <v>45660.416666666664</v>
      </c>
      <c r="B2580" t="s">
        <v>24</v>
      </c>
      <c r="C2580">
        <v>217.45</v>
      </c>
      <c r="D2580">
        <v>63.39</v>
      </c>
      <c r="E2580" t="s">
        <v>9</v>
      </c>
      <c r="F2580">
        <v>46.46</v>
      </c>
      <c r="G2580" t="s">
        <v>16</v>
      </c>
      <c r="H2580" t="s">
        <v>13</v>
      </c>
    </row>
    <row r="2581" spans="1:8" x14ac:dyDescent="0.25">
      <c r="A2581" s="1">
        <v>45660.458333333336</v>
      </c>
      <c r="B2581" t="s">
        <v>24</v>
      </c>
      <c r="C2581">
        <v>118.78</v>
      </c>
      <c r="D2581">
        <v>22.75</v>
      </c>
      <c r="E2581" t="s">
        <v>9</v>
      </c>
      <c r="F2581">
        <v>62.09</v>
      </c>
      <c r="G2581" t="s">
        <v>16</v>
      </c>
      <c r="H2581" t="s">
        <v>13</v>
      </c>
    </row>
    <row r="2582" spans="1:8" x14ac:dyDescent="0.25">
      <c r="A2582" s="1">
        <v>45660.5</v>
      </c>
      <c r="B2582" t="s">
        <v>24</v>
      </c>
      <c r="C2582">
        <v>486.2</v>
      </c>
      <c r="D2582">
        <v>24.15</v>
      </c>
      <c r="E2582" t="s">
        <v>9</v>
      </c>
      <c r="F2582">
        <v>39.630000000000003</v>
      </c>
      <c r="G2582" t="s">
        <v>16</v>
      </c>
      <c r="H2582" t="s">
        <v>13</v>
      </c>
    </row>
    <row r="2583" spans="1:8" x14ac:dyDescent="0.25">
      <c r="A2583" s="1">
        <v>45660.541666666664</v>
      </c>
      <c r="B2583" t="s">
        <v>24</v>
      </c>
      <c r="C2583">
        <v>117.97</v>
      </c>
      <c r="D2583">
        <v>39.22</v>
      </c>
      <c r="E2583" t="s">
        <v>9</v>
      </c>
      <c r="F2583">
        <v>78.010000000000005</v>
      </c>
      <c r="G2583" t="s">
        <v>16</v>
      </c>
      <c r="H2583" t="s">
        <v>12</v>
      </c>
    </row>
    <row r="2584" spans="1:8" x14ac:dyDescent="0.25">
      <c r="A2584" s="1">
        <v>45660.583333333336</v>
      </c>
      <c r="B2584" t="s">
        <v>24</v>
      </c>
      <c r="C2584">
        <v>134.66999999999999</v>
      </c>
      <c r="D2584">
        <v>22.33</v>
      </c>
      <c r="E2584" t="s">
        <v>9</v>
      </c>
      <c r="F2584">
        <v>55.85</v>
      </c>
      <c r="G2584" t="s">
        <v>16</v>
      </c>
      <c r="H2584" t="s">
        <v>11</v>
      </c>
    </row>
    <row r="2585" spans="1:8" x14ac:dyDescent="0.25">
      <c r="A2585" s="1">
        <v>45660.625</v>
      </c>
      <c r="B2585" t="s">
        <v>24</v>
      </c>
      <c r="C2585">
        <v>317.14999999999998</v>
      </c>
      <c r="D2585">
        <v>79.290000000000006</v>
      </c>
      <c r="E2585" t="s">
        <v>9</v>
      </c>
      <c r="F2585">
        <v>55.65</v>
      </c>
      <c r="G2585" t="s">
        <v>16</v>
      </c>
      <c r="H2585" t="s">
        <v>12</v>
      </c>
    </row>
    <row r="2586" spans="1:8" x14ac:dyDescent="0.25">
      <c r="A2586" s="1">
        <v>45660.666666666664</v>
      </c>
      <c r="B2586" t="s">
        <v>24</v>
      </c>
      <c r="C2586">
        <v>245.18</v>
      </c>
      <c r="D2586">
        <v>51.04</v>
      </c>
      <c r="E2586" t="s">
        <v>9</v>
      </c>
      <c r="F2586">
        <v>63.06</v>
      </c>
      <c r="G2586" t="s">
        <v>16</v>
      </c>
      <c r="H2586" t="s">
        <v>12</v>
      </c>
    </row>
    <row r="2587" spans="1:8" x14ac:dyDescent="0.25">
      <c r="A2587" s="1">
        <v>45660.708333333336</v>
      </c>
      <c r="B2587" t="s">
        <v>24</v>
      </c>
      <c r="C2587">
        <v>428.95</v>
      </c>
      <c r="D2587">
        <v>62.08</v>
      </c>
      <c r="E2587" t="s">
        <v>9</v>
      </c>
      <c r="F2587">
        <v>54.59</v>
      </c>
      <c r="G2587" t="s">
        <v>16</v>
      </c>
      <c r="H2587" t="s">
        <v>11</v>
      </c>
    </row>
    <row r="2588" spans="1:8" x14ac:dyDescent="0.25">
      <c r="A2588" s="1">
        <v>45660.75</v>
      </c>
      <c r="B2588" t="s">
        <v>24</v>
      </c>
      <c r="C2588">
        <v>442.68</v>
      </c>
      <c r="D2588">
        <v>38.409999999999997</v>
      </c>
      <c r="E2588" t="s">
        <v>9</v>
      </c>
      <c r="F2588">
        <v>39.56</v>
      </c>
      <c r="G2588" t="s">
        <v>16</v>
      </c>
      <c r="H2588" t="s">
        <v>13</v>
      </c>
    </row>
    <row r="2589" spans="1:8" x14ac:dyDescent="0.25">
      <c r="A2589" s="1">
        <v>45660.791666666664</v>
      </c>
      <c r="B2589" t="s">
        <v>24</v>
      </c>
      <c r="C2589">
        <v>422.15</v>
      </c>
      <c r="D2589">
        <v>75.69</v>
      </c>
      <c r="E2589" t="s">
        <v>9</v>
      </c>
      <c r="F2589">
        <v>59.86</v>
      </c>
      <c r="G2589" t="s">
        <v>16</v>
      </c>
      <c r="H2589" t="s">
        <v>11</v>
      </c>
    </row>
    <row r="2590" spans="1:8" x14ac:dyDescent="0.25">
      <c r="A2590" s="1">
        <v>45660.833333333336</v>
      </c>
      <c r="B2590" t="s">
        <v>24</v>
      </c>
      <c r="C2590">
        <v>306.79000000000002</v>
      </c>
      <c r="D2590">
        <v>85.62</v>
      </c>
      <c r="E2590" t="s">
        <v>14</v>
      </c>
      <c r="F2590">
        <v>31.04</v>
      </c>
      <c r="G2590" t="s">
        <v>16</v>
      </c>
      <c r="H2590" t="s">
        <v>13</v>
      </c>
    </row>
    <row r="2591" spans="1:8" x14ac:dyDescent="0.25">
      <c r="A2591" s="1">
        <v>45660.875</v>
      </c>
      <c r="B2591" t="s">
        <v>24</v>
      </c>
      <c r="C2591">
        <v>466.8</v>
      </c>
      <c r="D2591">
        <v>42.6</v>
      </c>
      <c r="E2591" t="s">
        <v>9</v>
      </c>
      <c r="F2591">
        <v>57.52</v>
      </c>
      <c r="G2591" t="s">
        <v>16</v>
      </c>
      <c r="H2591" t="s">
        <v>12</v>
      </c>
    </row>
    <row r="2592" spans="1:8" x14ac:dyDescent="0.25">
      <c r="A2592" s="1">
        <v>45660.916666666664</v>
      </c>
      <c r="B2592" t="s">
        <v>24</v>
      </c>
      <c r="C2592">
        <v>139.69999999999999</v>
      </c>
      <c r="D2592">
        <v>19.29</v>
      </c>
      <c r="E2592" t="s">
        <v>9</v>
      </c>
      <c r="F2592">
        <v>81.569999999999993</v>
      </c>
      <c r="G2592" t="s">
        <v>16</v>
      </c>
      <c r="H2592" t="s">
        <v>13</v>
      </c>
    </row>
    <row r="2593" spans="1:8" x14ac:dyDescent="0.25">
      <c r="A2593" s="1">
        <v>45660.958333333336</v>
      </c>
      <c r="B2593" t="s">
        <v>24</v>
      </c>
      <c r="C2593">
        <v>474.92</v>
      </c>
      <c r="D2593">
        <v>47.21</v>
      </c>
      <c r="E2593" t="s">
        <v>9</v>
      </c>
      <c r="F2593">
        <v>70.78</v>
      </c>
      <c r="G2593" t="s">
        <v>16</v>
      </c>
      <c r="H2593" t="s">
        <v>11</v>
      </c>
    </row>
    <row r="2594" spans="1:8" x14ac:dyDescent="0.25">
      <c r="A2594" s="1">
        <v>45661</v>
      </c>
      <c r="B2594" t="s">
        <v>24</v>
      </c>
      <c r="C2594">
        <v>382.35</v>
      </c>
      <c r="D2594">
        <v>35.47</v>
      </c>
      <c r="E2594" t="s">
        <v>9</v>
      </c>
      <c r="F2594">
        <v>31.01</v>
      </c>
      <c r="G2594" t="s">
        <v>16</v>
      </c>
      <c r="H2594" t="s">
        <v>12</v>
      </c>
    </row>
    <row r="2595" spans="1:8" x14ac:dyDescent="0.25">
      <c r="A2595" s="1">
        <v>45661.041666666664</v>
      </c>
      <c r="B2595" t="s">
        <v>24</v>
      </c>
      <c r="C2595">
        <v>471.42</v>
      </c>
      <c r="D2595">
        <v>91.74</v>
      </c>
      <c r="E2595" t="s">
        <v>14</v>
      </c>
      <c r="F2595">
        <v>88.14</v>
      </c>
      <c r="G2595" t="s">
        <v>16</v>
      </c>
      <c r="H2595" t="s">
        <v>11</v>
      </c>
    </row>
    <row r="2596" spans="1:8" x14ac:dyDescent="0.25">
      <c r="A2596" s="1">
        <v>45661.083333333336</v>
      </c>
      <c r="B2596" t="s">
        <v>24</v>
      </c>
      <c r="C2596">
        <v>445.8</v>
      </c>
      <c r="D2596">
        <v>60.98</v>
      </c>
      <c r="E2596" t="s">
        <v>9</v>
      </c>
      <c r="F2596">
        <v>56.68</v>
      </c>
      <c r="G2596" t="s">
        <v>16</v>
      </c>
      <c r="H2596" t="s">
        <v>11</v>
      </c>
    </row>
    <row r="2597" spans="1:8" x14ac:dyDescent="0.25">
      <c r="A2597" s="1">
        <v>45661.125</v>
      </c>
      <c r="B2597" t="s">
        <v>24</v>
      </c>
      <c r="C2597">
        <v>474.33</v>
      </c>
      <c r="D2597">
        <v>86.07</v>
      </c>
      <c r="E2597" t="s">
        <v>14</v>
      </c>
      <c r="F2597">
        <v>61.42</v>
      </c>
      <c r="G2597" t="s">
        <v>16</v>
      </c>
      <c r="H2597" t="s">
        <v>12</v>
      </c>
    </row>
    <row r="2598" spans="1:8" x14ac:dyDescent="0.25">
      <c r="A2598" s="1">
        <v>45661.166666666664</v>
      </c>
      <c r="B2598" t="s">
        <v>24</v>
      </c>
      <c r="C2598">
        <v>466.74</v>
      </c>
      <c r="D2598">
        <v>50.9</v>
      </c>
      <c r="E2598" t="s">
        <v>9</v>
      </c>
      <c r="F2598">
        <v>51.8</v>
      </c>
      <c r="G2598" t="s">
        <v>16</v>
      </c>
      <c r="H2598" t="s">
        <v>12</v>
      </c>
    </row>
    <row r="2599" spans="1:8" x14ac:dyDescent="0.25">
      <c r="A2599" s="1">
        <v>45661.208333333336</v>
      </c>
      <c r="B2599" t="s">
        <v>24</v>
      </c>
      <c r="C2599">
        <v>231.09</v>
      </c>
      <c r="D2599">
        <v>29.23</v>
      </c>
      <c r="E2599" t="s">
        <v>9</v>
      </c>
      <c r="F2599">
        <v>62.45</v>
      </c>
      <c r="G2599" t="s">
        <v>16</v>
      </c>
      <c r="H2599" t="s">
        <v>11</v>
      </c>
    </row>
    <row r="2600" spans="1:8" x14ac:dyDescent="0.25">
      <c r="A2600" s="1">
        <v>45661.25</v>
      </c>
      <c r="B2600" t="s">
        <v>24</v>
      </c>
      <c r="C2600">
        <v>180.47</v>
      </c>
      <c r="D2600">
        <v>29.12</v>
      </c>
      <c r="E2600" t="s">
        <v>9</v>
      </c>
      <c r="F2600">
        <v>54.38</v>
      </c>
      <c r="G2600" t="s">
        <v>16</v>
      </c>
      <c r="H2600" t="s">
        <v>12</v>
      </c>
    </row>
    <row r="2601" spans="1:8" x14ac:dyDescent="0.25">
      <c r="A2601" s="1">
        <v>45661.291666666664</v>
      </c>
      <c r="B2601" t="s">
        <v>24</v>
      </c>
      <c r="C2601">
        <v>151.5</v>
      </c>
      <c r="D2601">
        <v>29.32</v>
      </c>
      <c r="E2601" t="s">
        <v>9</v>
      </c>
      <c r="F2601">
        <v>67.010000000000005</v>
      </c>
      <c r="G2601" t="s">
        <v>16</v>
      </c>
      <c r="H2601" t="s">
        <v>12</v>
      </c>
    </row>
    <row r="2602" spans="1:8" x14ac:dyDescent="0.25">
      <c r="A2602" s="1">
        <v>45661.333333333336</v>
      </c>
      <c r="B2602" t="s">
        <v>24</v>
      </c>
      <c r="C2602">
        <v>113.27</v>
      </c>
      <c r="D2602">
        <v>19.760000000000002</v>
      </c>
      <c r="E2602" t="s">
        <v>9</v>
      </c>
      <c r="F2602">
        <v>63.46</v>
      </c>
      <c r="G2602" t="s">
        <v>16</v>
      </c>
      <c r="H2602" t="s">
        <v>13</v>
      </c>
    </row>
    <row r="2603" spans="1:8" x14ac:dyDescent="0.25">
      <c r="A2603" s="1">
        <v>45661.375</v>
      </c>
      <c r="B2603" t="s">
        <v>24</v>
      </c>
      <c r="C2603">
        <v>328.23</v>
      </c>
      <c r="D2603">
        <v>24.62</v>
      </c>
      <c r="E2603" t="s">
        <v>9</v>
      </c>
      <c r="F2603">
        <v>50.59</v>
      </c>
      <c r="G2603" t="s">
        <v>16</v>
      </c>
      <c r="H2603" t="s">
        <v>13</v>
      </c>
    </row>
    <row r="2604" spans="1:8" x14ac:dyDescent="0.25">
      <c r="A2604" s="1">
        <v>45661.416666666664</v>
      </c>
      <c r="B2604" t="s">
        <v>24</v>
      </c>
      <c r="C2604">
        <v>268.60000000000002</v>
      </c>
      <c r="D2604">
        <v>54.61</v>
      </c>
      <c r="E2604" t="s">
        <v>9</v>
      </c>
      <c r="F2604">
        <v>44.35</v>
      </c>
      <c r="G2604" t="s">
        <v>16</v>
      </c>
      <c r="H2604" t="s">
        <v>11</v>
      </c>
    </row>
    <row r="2605" spans="1:8" x14ac:dyDescent="0.25">
      <c r="A2605" s="1">
        <v>45661.458333333336</v>
      </c>
      <c r="B2605" t="s">
        <v>24</v>
      </c>
      <c r="C2605">
        <v>249.48</v>
      </c>
      <c r="D2605">
        <v>50.18</v>
      </c>
      <c r="E2605" t="s">
        <v>9</v>
      </c>
      <c r="F2605">
        <v>51.76</v>
      </c>
      <c r="G2605" t="s">
        <v>16</v>
      </c>
      <c r="H2605" t="s">
        <v>12</v>
      </c>
    </row>
    <row r="2606" spans="1:8" x14ac:dyDescent="0.25">
      <c r="A2606" s="1">
        <v>45661.5</v>
      </c>
      <c r="B2606" t="s">
        <v>24</v>
      </c>
      <c r="C2606">
        <v>148.58000000000001</v>
      </c>
      <c r="D2606">
        <v>54.36</v>
      </c>
      <c r="E2606" t="s">
        <v>9</v>
      </c>
      <c r="F2606">
        <v>79.48</v>
      </c>
      <c r="G2606" t="s">
        <v>16</v>
      </c>
      <c r="H2606" t="s">
        <v>11</v>
      </c>
    </row>
    <row r="2607" spans="1:8" x14ac:dyDescent="0.25">
      <c r="A2607" s="1">
        <v>45661.541666666664</v>
      </c>
      <c r="B2607" t="s">
        <v>24</v>
      </c>
      <c r="C2607">
        <v>175.38</v>
      </c>
      <c r="D2607">
        <v>45.88</v>
      </c>
      <c r="E2607" t="s">
        <v>9</v>
      </c>
      <c r="F2607">
        <v>37.909999999999997</v>
      </c>
      <c r="G2607" t="s">
        <v>16</v>
      </c>
      <c r="H2607" t="s">
        <v>13</v>
      </c>
    </row>
    <row r="2608" spans="1:8" x14ac:dyDescent="0.25">
      <c r="A2608" s="1">
        <v>45661.583333333336</v>
      </c>
      <c r="B2608" t="s">
        <v>24</v>
      </c>
      <c r="C2608">
        <v>450.73</v>
      </c>
      <c r="D2608">
        <v>38.049999999999997</v>
      </c>
      <c r="E2608" t="s">
        <v>9</v>
      </c>
      <c r="F2608">
        <v>85.89</v>
      </c>
      <c r="G2608" t="s">
        <v>16</v>
      </c>
      <c r="H2608" t="s">
        <v>13</v>
      </c>
    </row>
    <row r="2609" spans="1:8" x14ac:dyDescent="0.25">
      <c r="A2609" s="1">
        <v>45661.625</v>
      </c>
      <c r="B2609" t="s">
        <v>24</v>
      </c>
      <c r="C2609">
        <v>283.58999999999997</v>
      </c>
      <c r="D2609">
        <v>79.650000000000006</v>
      </c>
      <c r="E2609" t="s">
        <v>9</v>
      </c>
      <c r="F2609">
        <v>55.66</v>
      </c>
      <c r="G2609" t="s">
        <v>16</v>
      </c>
      <c r="H2609" t="s">
        <v>11</v>
      </c>
    </row>
    <row r="2610" spans="1:8" x14ac:dyDescent="0.25">
      <c r="A2610" s="1">
        <v>45661.666666666664</v>
      </c>
      <c r="B2610" t="s">
        <v>24</v>
      </c>
      <c r="C2610">
        <v>369.41</v>
      </c>
      <c r="D2610">
        <v>55.53</v>
      </c>
      <c r="E2610" t="s">
        <v>9</v>
      </c>
      <c r="F2610">
        <v>85.84</v>
      </c>
      <c r="G2610" t="s">
        <v>16</v>
      </c>
      <c r="H2610" t="s">
        <v>12</v>
      </c>
    </row>
    <row r="2611" spans="1:8" x14ac:dyDescent="0.25">
      <c r="A2611" s="1">
        <v>45661.708333333336</v>
      </c>
      <c r="B2611" t="s">
        <v>24</v>
      </c>
      <c r="C2611">
        <v>128.68</v>
      </c>
      <c r="D2611">
        <v>41.43</v>
      </c>
      <c r="E2611" t="s">
        <v>9</v>
      </c>
      <c r="F2611">
        <v>43.45</v>
      </c>
      <c r="G2611" t="s">
        <v>16</v>
      </c>
      <c r="H2611" t="s">
        <v>11</v>
      </c>
    </row>
    <row r="2612" spans="1:8" x14ac:dyDescent="0.25">
      <c r="A2612" s="1">
        <v>45661.75</v>
      </c>
      <c r="B2612" t="s">
        <v>24</v>
      </c>
      <c r="C2612">
        <v>341.29</v>
      </c>
      <c r="D2612">
        <v>33.96</v>
      </c>
      <c r="E2612" t="s">
        <v>9</v>
      </c>
      <c r="F2612">
        <v>53.69</v>
      </c>
      <c r="G2612" t="s">
        <v>16</v>
      </c>
      <c r="H2612" t="s">
        <v>11</v>
      </c>
    </row>
    <row r="2613" spans="1:8" x14ac:dyDescent="0.25">
      <c r="A2613" s="1">
        <v>45661.791666666664</v>
      </c>
      <c r="B2613" t="s">
        <v>24</v>
      </c>
      <c r="C2613">
        <v>403.98</v>
      </c>
      <c r="D2613">
        <v>43.52</v>
      </c>
      <c r="E2613" t="s">
        <v>9</v>
      </c>
      <c r="F2613">
        <v>89.33</v>
      </c>
      <c r="G2613" t="s">
        <v>16</v>
      </c>
      <c r="H2613" t="s">
        <v>12</v>
      </c>
    </row>
    <row r="2614" spans="1:8" x14ac:dyDescent="0.25">
      <c r="A2614" s="1">
        <v>45661.833333333336</v>
      </c>
      <c r="B2614" t="s">
        <v>24</v>
      </c>
      <c r="C2614">
        <v>317.16000000000003</v>
      </c>
      <c r="D2614">
        <v>19.440000000000001</v>
      </c>
      <c r="E2614" t="s">
        <v>9</v>
      </c>
      <c r="F2614">
        <v>72.87</v>
      </c>
      <c r="G2614" t="s">
        <v>16</v>
      </c>
      <c r="H2614" t="s">
        <v>13</v>
      </c>
    </row>
    <row r="2615" spans="1:8" x14ac:dyDescent="0.25">
      <c r="A2615" s="1">
        <v>45661.875</v>
      </c>
      <c r="B2615" t="s">
        <v>24</v>
      </c>
      <c r="C2615">
        <v>209.73</v>
      </c>
      <c r="D2615">
        <v>86.31</v>
      </c>
      <c r="E2615" t="s">
        <v>14</v>
      </c>
      <c r="F2615">
        <v>60.13</v>
      </c>
      <c r="G2615" t="s">
        <v>16</v>
      </c>
      <c r="H2615" t="s">
        <v>11</v>
      </c>
    </row>
    <row r="2616" spans="1:8" x14ac:dyDescent="0.25">
      <c r="A2616" s="1">
        <v>45661.916666666664</v>
      </c>
      <c r="B2616" t="s">
        <v>24</v>
      </c>
      <c r="C2616">
        <v>276.82</v>
      </c>
      <c r="D2616">
        <v>69.37</v>
      </c>
      <c r="E2616" t="s">
        <v>9</v>
      </c>
      <c r="F2616">
        <v>65.28</v>
      </c>
      <c r="G2616" t="s">
        <v>16</v>
      </c>
      <c r="H2616" t="s">
        <v>12</v>
      </c>
    </row>
    <row r="2617" spans="1:8" x14ac:dyDescent="0.25">
      <c r="A2617" s="1">
        <v>45661.958333333336</v>
      </c>
      <c r="B2617" t="s">
        <v>24</v>
      </c>
      <c r="C2617">
        <v>145.82</v>
      </c>
      <c r="D2617">
        <v>45.64</v>
      </c>
      <c r="E2617" t="s">
        <v>9</v>
      </c>
      <c r="F2617">
        <v>49.08</v>
      </c>
      <c r="G2617" t="s">
        <v>16</v>
      </c>
      <c r="H2617" t="s">
        <v>11</v>
      </c>
    </row>
    <row r="2618" spans="1:8" x14ac:dyDescent="0.25">
      <c r="A2618" s="1">
        <v>45662</v>
      </c>
      <c r="B2618" t="s">
        <v>24</v>
      </c>
      <c r="C2618">
        <v>360.59</v>
      </c>
      <c r="D2618">
        <v>73.290000000000006</v>
      </c>
      <c r="E2618" t="s">
        <v>9</v>
      </c>
      <c r="F2618">
        <v>32.57</v>
      </c>
      <c r="G2618" t="s">
        <v>16</v>
      </c>
      <c r="H2618" t="s">
        <v>13</v>
      </c>
    </row>
    <row r="2619" spans="1:8" x14ac:dyDescent="0.25">
      <c r="A2619" s="1">
        <v>45662.041666666664</v>
      </c>
      <c r="B2619" t="s">
        <v>24</v>
      </c>
      <c r="C2619">
        <v>383.49</v>
      </c>
      <c r="D2619">
        <v>39.6</v>
      </c>
      <c r="E2619" t="s">
        <v>9</v>
      </c>
      <c r="F2619">
        <v>75.8</v>
      </c>
      <c r="G2619" t="s">
        <v>16</v>
      </c>
      <c r="H2619" t="s">
        <v>12</v>
      </c>
    </row>
    <row r="2620" spans="1:8" x14ac:dyDescent="0.25">
      <c r="A2620" s="1">
        <v>45662.083333333336</v>
      </c>
      <c r="B2620" t="s">
        <v>24</v>
      </c>
      <c r="C2620">
        <v>137.4</v>
      </c>
      <c r="D2620">
        <v>47.66</v>
      </c>
      <c r="E2620" t="s">
        <v>9</v>
      </c>
      <c r="F2620">
        <v>53.06</v>
      </c>
      <c r="G2620" t="s">
        <v>16</v>
      </c>
      <c r="H2620" t="s">
        <v>12</v>
      </c>
    </row>
    <row r="2621" spans="1:8" x14ac:dyDescent="0.25">
      <c r="A2621" s="1">
        <v>45662.125</v>
      </c>
      <c r="B2621" t="s">
        <v>24</v>
      </c>
      <c r="C2621">
        <v>447.69</v>
      </c>
      <c r="D2621">
        <v>30.15</v>
      </c>
      <c r="E2621" t="s">
        <v>9</v>
      </c>
      <c r="F2621">
        <v>79.34</v>
      </c>
      <c r="G2621" t="s">
        <v>16</v>
      </c>
      <c r="H2621" t="s">
        <v>12</v>
      </c>
    </row>
    <row r="2622" spans="1:8" x14ac:dyDescent="0.25">
      <c r="A2622" s="1">
        <v>45662.166666666664</v>
      </c>
      <c r="B2622" t="s">
        <v>24</v>
      </c>
      <c r="C2622">
        <v>56.43</v>
      </c>
      <c r="D2622">
        <v>73.33</v>
      </c>
      <c r="E2622" t="s">
        <v>9</v>
      </c>
      <c r="F2622">
        <v>65.78</v>
      </c>
      <c r="G2622" t="s">
        <v>16</v>
      </c>
      <c r="H2622" t="s">
        <v>11</v>
      </c>
    </row>
    <row r="2623" spans="1:8" x14ac:dyDescent="0.25">
      <c r="A2623" s="1">
        <v>45662.208333333336</v>
      </c>
      <c r="B2623" t="s">
        <v>24</v>
      </c>
      <c r="C2623">
        <v>140.12</v>
      </c>
      <c r="D2623">
        <v>60.91</v>
      </c>
      <c r="E2623" t="s">
        <v>9</v>
      </c>
      <c r="F2623">
        <v>58</v>
      </c>
      <c r="G2623" t="s">
        <v>16</v>
      </c>
      <c r="H2623" t="s">
        <v>13</v>
      </c>
    </row>
    <row r="2624" spans="1:8" x14ac:dyDescent="0.25">
      <c r="A2624" s="1">
        <v>45662.25</v>
      </c>
      <c r="B2624" t="s">
        <v>24</v>
      </c>
      <c r="C2624">
        <v>450.37</v>
      </c>
      <c r="D2624">
        <v>49.42</v>
      </c>
      <c r="E2624" t="s">
        <v>9</v>
      </c>
      <c r="F2624">
        <v>34.520000000000003</v>
      </c>
      <c r="G2624" t="s">
        <v>16</v>
      </c>
      <c r="H2624" t="s">
        <v>12</v>
      </c>
    </row>
    <row r="2625" spans="1:8" x14ac:dyDescent="0.25">
      <c r="A2625" s="1">
        <v>45662.291666666664</v>
      </c>
      <c r="B2625" t="s">
        <v>24</v>
      </c>
      <c r="C2625">
        <v>141.62</v>
      </c>
      <c r="D2625">
        <v>36.75</v>
      </c>
      <c r="E2625" t="s">
        <v>9</v>
      </c>
      <c r="F2625">
        <v>63.87</v>
      </c>
      <c r="G2625" t="s">
        <v>16</v>
      </c>
      <c r="H2625" t="s">
        <v>11</v>
      </c>
    </row>
    <row r="2626" spans="1:8" x14ac:dyDescent="0.25">
      <c r="A2626" s="1">
        <v>45662.333333333336</v>
      </c>
      <c r="B2626" t="s">
        <v>24</v>
      </c>
      <c r="C2626">
        <v>453.08</v>
      </c>
      <c r="D2626">
        <v>29.25</v>
      </c>
      <c r="E2626" t="s">
        <v>9</v>
      </c>
      <c r="F2626">
        <v>49.87</v>
      </c>
      <c r="G2626" t="s">
        <v>16</v>
      </c>
      <c r="H2626" t="s">
        <v>13</v>
      </c>
    </row>
    <row r="2627" spans="1:8" x14ac:dyDescent="0.25">
      <c r="A2627" s="1">
        <v>45662.375</v>
      </c>
      <c r="B2627" t="s">
        <v>24</v>
      </c>
      <c r="C2627">
        <v>122.06</v>
      </c>
      <c r="D2627">
        <v>14.63</v>
      </c>
      <c r="E2627" t="s">
        <v>9</v>
      </c>
      <c r="F2627">
        <v>55.39</v>
      </c>
      <c r="G2627" t="s">
        <v>16</v>
      </c>
      <c r="H2627" t="s">
        <v>11</v>
      </c>
    </row>
    <row r="2628" spans="1:8" x14ac:dyDescent="0.25">
      <c r="A2628" s="1">
        <v>45662.416666666664</v>
      </c>
      <c r="B2628" t="s">
        <v>24</v>
      </c>
      <c r="C2628">
        <v>206.58</v>
      </c>
      <c r="D2628">
        <v>29.39</v>
      </c>
      <c r="E2628" t="s">
        <v>9</v>
      </c>
      <c r="F2628">
        <v>69.11</v>
      </c>
      <c r="G2628" t="s">
        <v>16</v>
      </c>
      <c r="H2628" t="s">
        <v>13</v>
      </c>
    </row>
    <row r="2629" spans="1:8" x14ac:dyDescent="0.25">
      <c r="A2629" s="1">
        <v>45662.458333333336</v>
      </c>
      <c r="B2629" t="s">
        <v>24</v>
      </c>
      <c r="C2629">
        <v>181.37</v>
      </c>
      <c r="D2629">
        <v>58.15</v>
      </c>
      <c r="E2629" t="s">
        <v>9</v>
      </c>
      <c r="F2629">
        <v>46.64</v>
      </c>
      <c r="G2629" t="s">
        <v>16</v>
      </c>
      <c r="H2629" t="s">
        <v>11</v>
      </c>
    </row>
    <row r="2630" spans="1:8" x14ac:dyDescent="0.25">
      <c r="A2630" s="1">
        <v>45662.5</v>
      </c>
      <c r="B2630" t="s">
        <v>24</v>
      </c>
      <c r="C2630">
        <v>81.19</v>
      </c>
      <c r="D2630">
        <v>34.86</v>
      </c>
      <c r="E2630" t="s">
        <v>9</v>
      </c>
      <c r="F2630">
        <v>62.63</v>
      </c>
      <c r="G2630" t="s">
        <v>16</v>
      </c>
      <c r="H2630" t="s">
        <v>12</v>
      </c>
    </row>
    <row r="2631" spans="1:8" x14ac:dyDescent="0.25">
      <c r="A2631" s="1">
        <v>45662.541666666664</v>
      </c>
      <c r="B2631" t="s">
        <v>24</v>
      </c>
      <c r="C2631">
        <v>465.35</v>
      </c>
      <c r="D2631">
        <v>40.39</v>
      </c>
      <c r="E2631" t="s">
        <v>9</v>
      </c>
      <c r="F2631">
        <v>76.91</v>
      </c>
      <c r="G2631" t="s">
        <v>16</v>
      </c>
      <c r="H2631" t="s">
        <v>11</v>
      </c>
    </row>
    <row r="2632" spans="1:8" x14ac:dyDescent="0.25">
      <c r="A2632" s="1">
        <v>45662.583333333336</v>
      </c>
      <c r="B2632" t="s">
        <v>24</v>
      </c>
      <c r="C2632">
        <v>401.35</v>
      </c>
      <c r="D2632">
        <v>43.47</v>
      </c>
      <c r="E2632" t="s">
        <v>9</v>
      </c>
      <c r="F2632">
        <v>74.16</v>
      </c>
      <c r="G2632" t="s">
        <v>16</v>
      </c>
      <c r="H2632" t="s">
        <v>11</v>
      </c>
    </row>
    <row r="2633" spans="1:8" x14ac:dyDescent="0.25">
      <c r="A2633" s="1">
        <v>45662.625</v>
      </c>
      <c r="B2633" t="s">
        <v>24</v>
      </c>
      <c r="C2633">
        <v>353.22</v>
      </c>
      <c r="D2633">
        <v>61.7</v>
      </c>
      <c r="E2633" t="s">
        <v>9</v>
      </c>
      <c r="F2633">
        <v>64.58</v>
      </c>
      <c r="G2633" t="s">
        <v>16</v>
      </c>
      <c r="H2633" t="s">
        <v>12</v>
      </c>
    </row>
    <row r="2634" spans="1:8" x14ac:dyDescent="0.25">
      <c r="A2634" s="1">
        <v>45662.666666666664</v>
      </c>
      <c r="B2634" t="s">
        <v>24</v>
      </c>
      <c r="C2634">
        <v>290.8</v>
      </c>
      <c r="D2634">
        <v>55.44</v>
      </c>
      <c r="E2634" t="s">
        <v>9</v>
      </c>
      <c r="F2634">
        <v>45.94</v>
      </c>
      <c r="G2634" t="s">
        <v>16</v>
      </c>
      <c r="H2634" t="s">
        <v>13</v>
      </c>
    </row>
    <row r="2635" spans="1:8" x14ac:dyDescent="0.25">
      <c r="A2635" s="1">
        <v>45662.708333333336</v>
      </c>
      <c r="B2635" t="s">
        <v>24</v>
      </c>
      <c r="C2635">
        <v>162.79</v>
      </c>
      <c r="D2635">
        <v>32.56</v>
      </c>
      <c r="E2635" t="s">
        <v>9</v>
      </c>
      <c r="F2635">
        <v>44.99</v>
      </c>
      <c r="G2635" t="s">
        <v>16</v>
      </c>
      <c r="H2635" t="s">
        <v>12</v>
      </c>
    </row>
    <row r="2636" spans="1:8" x14ac:dyDescent="0.25">
      <c r="A2636" s="1">
        <v>45662.75</v>
      </c>
      <c r="B2636" t="s">
        <v>24</v>
      </c>
      <c r="C2636">
        <v>107.17</v>
      </c>
      <c r="D2636">
        <v>54.7</v>
      </c>
      <c r="E2636" t="s">
        <v>9</v>
      </c>
      <c r="F2636">
        <v>63.68</v>
      </c>
      <c r="G2636" t="s">
        <v>16</v>
      </c>
      <c r="H2636" t="s">
        <v>13</v>
      </c>
    </row>
    <row r="2637" spans="1:8" x14ac:dyDescent="0.25">
      <c r="A2637" s="1">
        <v>45662.791666666664</v>
      </c>
      <c r="B2637" t="s">
        <v>24</v>
      </c>
      <c r="C2637">
        <v>466.96</v>
      </c>
      <c r="D2637">
        <v>66.81</v>
      </c>
      <c r="E2637" t="s">
        <v>9</v>
      </c>
      <c r="F2637">
        <v>84.76</v>
      </c>
      <c r="G2637" t="s">
        <v>16</v>
      </c>
      <c r="H2637" t="s">
        <v>11</v>
      </c>
    </row>
    <row r="2638" spans="1:8" x14ac:dyDescent="0.25">
      <c r="A2638" s="1">
        <v>45662.833333333336</v>
      </c>
      <c r="B2638" t="s">
        <v>24</v>
      </c>
      <c r="C2638">
        <v>359.41</v>
      </c>
      <c r="D2638">
        <v>42.84</v>
      </c>
      <c r="E2638" t="s">
        <v>9</v>
      </c>
      <c r="F2638">
        <v>44.47</v>
      </c>
      <c r="G2638" t="s">
        <v>16</v>
      </c>
      <c r="H2638" t="s">
        <v>12</v>
      </c>
    </row>
    <row r="2639" spans="1:8" x14ac:dyDescent="0.25">
      <c r="A2639" s="1">
        <v>45662.875</v>
      </c>
      <c r="B2639" t="s">
        <v>24</v>
      </c>
      <c r="C2639">
        <v>140.49</v>
      </c>
      <c r="D2639">
        <v>24.08</v>
      </c>
      <c r="E2639" t="s">
        <v>9</v>
      </c>
      <c r="F2639">
        <v>50.7</v>
      </c>
      <c r="G2639" t="s">
        <v>16</v>
      </c>
      <c r="H2639" t="s">
        <v>13</v>
      </c>
    </row>
    <row r="2640" spans="1:8" x14ac:dyDescent="0.25">
      <c r="A2640" s="1">
        <v>45662.916666666664</v>
      </c>
      <c r="B2640" t="s">
        <v>24</v>
      </c>
      <c r="C2640">
        <v>447.71</v>
      </c>
      <c r="D2640">
        <v>88.43</v>
      </c>
      <c r="E2640" t="s">
        <v>14</v>
      </c>
      <c r="F2640">
        <v>60.69</v>
      </c>
      <c r="G2640" t="s">
        <v>16</v>
      </c>
      <c r="H2640" t="s">
        <v>11</v>
      </c>
    </row>
    <row r="2641" spans="1:8" x14ac:dyDescent="0.25">
      <c r="A2641" s="1">
        <v>45662.958333333336</v>
      </c>
      <c r="B2641" t="s">
        <v>24</v>
      </c>
      <c r="C2641">
        <v>253.44</v>
      </c>
      <c r="D2641">
        <v>38.35</v>
      </c>
      <c r="E2641" t="s">
        <v>9</v>
      </c>
      <c r="F2641">
        <v>64.28</v>
      </c>
      <c r="G2641" t="s">
        <v>16</v>
      </c>
      <c r="H2641" t="s">
        <v>11</v>
      </c>
    </row>
    <row r="2642" spans="1:8" x14ac:dyDescent="0.25">
      <c r="A2642" s="1">
        <v>45663</v>
      </c>
      <c r="B2642" t="s">
        <v>24</v>
      </c>
      <c r="C2642">
        <v>245.22</v>
      </c>
      <c r="D2642">
        <v>68.56</v>
      </c>
      <c r="E2642" t="s">
        <v>9</v>
      </c>
      <c r="F2642">
        <v>55.32</v>
      </c>
      <c r="G2642" t="s">
        <v>16</v>
      </c>
      <c r="H2642" t="s">
        <v>13</v>
      </c>
    </row>
    <row r="2643" spans="1:8" x14ac:dyDescent="0.25">
      <c r="A2643" s="1">
        <v>45663.041666666664</v>
      </c>
      <c r="B2643" t="s">
        <v>24</v>
      </c>
      <c r="C2643">
        <v>372.04</v>
      </c>
      <c r="D2643">
        <v>86.02</v>
      </c>
      <c r="E2643" t="s">
        <v>14</v>
      </c>
      <c r="F2643">
        <v>80.150000000000006</v>
      </c>
      <c r="G2643" t="s">
        <v>16</v>
      </c>
      <c r="H2643" t="s">
        <v>13</v>
      </c>
    </row>
    <row r="2644" spans="1:8" x14ac:dyDescent="0.25">
      <c r="A2644" s="1">
        <v>45663.083333333336</v>
      </c>
      <c r="B2644" t="s">
        <v>24</v>
      </c>
      <c r="C2644">
        <v>353.28</v>
      </c>
      <c r="D2644">
        <v>33.58</v>
      </c>
      <c r="E2644" t="s">
        <v>9</v>
      </c>
      <c r="F2644">
        <v>62.19</v>
      </c>
      <c r="G2644" t="s">
        <v>16</v>
      </c>
      <c r="H2644" t="s">
        <v>12</v>
      </c>
    </row>
    <row r="2645" spans="1:8" x14ac:dyDescent="0.25">
      <c r="A2645" s="1">
        <v>45663.125</v>
      </c>
      <c r="B2645" t="s">
        <v>24</v>
      </c>
      <c r="C2645">
        <v>472.49</v>
      </c>
      <c r="D2645">
        <v>63.19</v>
      </c>
      <c r="E2645" t="s">
        <v>9</v>
      </c>
      <c r="F2645">
        <v>39.5</v>
      </c>
      <c r="G2645" t="s">
        <v>16</v>
      </c>
      <c r="H2645" t="s">
        <v>13</v>
      </c>
    </row>
    <row r="2646" spans="1:8" x14ac:dyDescent="0.25">
      <c r="A2646" s="1">
        <v>45663.166666666664</v>
      </c>
      <c r="B2646" t="s">
        <v>24</v>
      </c>
      <c r="C2646">
        <v>244.24</v>
      </c>
      <c r="D2646">
        <v>40.909999999999997</v>
      </c>
      <c r="E2646" t="s">
        <v>9</v>
      </c>
      <c r="F2646">
        <v>54.68</v>
      </c>
      <c r="G2646" t="s">
        <v>16</v>
      </c>
      <c r="H2646" t="s">
        <v>11</v>
      </c>
    </row>
    <row r="2647" spans="1:8" x14ac:dyDescent="0.25">
      <c r="A2647" s="1">
        <v>45663.208333333336</v>
      </c>
      <c r="B2647" t="s">
        <v>24</v>
      </c>
      <c r="C2647">
        <v>162.68</v>
      </c>
      <c r="D2647">
        <v>85.96</v>
      </c>
      <c r="E2647" t="s">
        <v>14</v>
      </c>
      <c r="F2647">
        <v>75.34</v>
      </c>
      <c r="G2647" t="s">
        <v>16</v>
      </c>
      <c r="H2647" t="s">
        <v>13</v>
      </c>
    </row>
    <row r="2648" spans="1:8" x14ac:dyDescent="0.25">
      <c r="A2648" s="1">
        <v>45663.25</v>
      </c>
      <c r="B2648" t="s">
        <v>24</v>
      </c>
      <c r="C2648">
        <v>69.06</v>
      </c>
      <c r="D2648">
        <v>59.27</v>
      </c>
      <c r="E2648" t="s">
        <v>9</v>
      </c>
      <c r="F2648">
        <v>62.67</v>
      </c>
      <c r="G2648" t="s">
        <v>16</v>
      </c>
      <c r="H2648" t="s">
        <v>11</v>
      </c>
    </row>
    <row r="2649" spans="1:8" x14ac:dyDescent="0.25">
      <c r="A2649" s="1">
        <v>45663.291666666664</v>
      </c>
      <c r="B2649" t="s">
        <v>24</v>
      </c>
      <c r="C2649">
        <v>212.44</v>
      </c>
      <c r="D2649">
        <v>25.79</v>
      </c>
      <c r="E2649" t="s">
        <v>9</v>
      </c>
      <c r="F2649">
        <v>49.94</v>
      </c>
      <c r="G2649" t="s">
        <v>16</v>
      </c>
      <c r="H2649" t="s">
        <v>13</v>
      </c>
    </row>
    <row r="2650" spans="1:8" x14ac:dyDescent="0.25">
      <c r="A2650" s="1">
        <v>45663.333333333336</v>
      </c>
      <c r="B2650" t="s">
        <v>24</v>
      </c>
      <c r="C2650">
        <v>204.84</v>
      </c>
      <c r="D2650">
        <v>94.23</v>
      </c>
      <c r="E2650" t="s">
        <v>14</v>
      </c>
      <c r="F2650">
        <v>52.46</v>
      </c>
      <c r="G2650" t="s">
        <v>16</v>
      </c>
      <c r="H2650" t="s">
        <v>11</v>
      </c>
    </row>
    <row r="2651" spans="1:8" x14ac:dyDescent="0.25">
      <c r="A2651" s="1">
        <v>45663.375</v>
      </c>
      <c r="B2651" t="s">
        <v>24</v>
      </c>
      <c r="C2651">
        <v>428.77</v>
      </c>
      <c r="D2651">
        <v>27.77</v>
      </c>
      <c r="E2651" t="s">
        <v>9</v>
      </c>
      <c r="F2651">
        <v>48.96</v>
      </c>
      <c r="G2651" t="s">
        <v>16</v>
      </c>
      <c r="H2651" t="s">
        <v>12</v>
      </c>
    </row>
    <row r="2652" spans="1:8" x14ac:dyDescent="0.25">
      <c r="A2652" s="1">
        <v>45663.416666666664</v>
      </c>
      <c r="B2652" t="s">
        <v>24</v>
      </c>
      <c r="C2652">
        <v>302.20999999999998</v>
      </c>
      <c r="D2652">
        <v>61.25</v>
      </c>
      <c r="E2652" t="s">
        <v>9</v>
      </c>
      <c r="F2652">
        <v>58.68</v>
      </c>
      <c r="G2652" t="s">
        <v>16</v>
      </c>
      <c r="H2652" t="s">
        <v>12</v>
      </c>
    </row>
    <row r="2653" spans="1:8" x14ac:dyDescent="0.25">
      <c r="A2653" s="1">
        <v>45663.458333333336</v>
      </c>
      <c r="B2653" t="s">
        <v>24</v>
      </c>
      <c r="C2653">
        <v>139.13999999999999</v>
      </c>
      <c r="D2653">
        <v>58.3</v>
      </c>
      <c r="E2653" t="s">
        <v>9</v>
      </c>
      <c r="F2653">
        <v>89.83</v>
      </c>
      <c r="G2653" t="s">
        <v>16</v>
      </c>
      <c r="H2653" t="s">
        <v>13</v>
      </c>
    </row>
    <row r="2654" spans="1:8" x14ac:dyDescent="0.25">
      <c r="A2654" s="1">
        <v>45663.5</v>
      </c>
      <c r="B2654" t="s">
        <v>24</v>
      </c>
      <c r="C2654">
        <v>130.01</v>
      </c>
      <c r="D2654">
        <v>18.16</v>
      </c>
      <c r="E2654" t="s">
        <v>9</v>
      </c>
      <c r="F2654">
        <v>70.98</v>
      </c>
      <c r="G2654" t="s">
        <v>16</v>
      </c>
      <c r="H2654" t="s">
        <v>12</v>
      </c>
    </row>
    <row r="2655" spans="1:8" x14ac:dyDescent="0.25">
      <c r="A2655" s="1">
        <v>45663.541666666664</v>
      </c>
      <c r="B2655" t="s">
        <v>24</v>
      </c>
      <c r="C2655">
        <v>274.85000000000002</v>
      </c>
      <c r="D2655">
        <v>74.48</v>
      </c>
      <c r="E2655" t="s">
        <v>9</v>
      </c>
      <c r="F2655">
        <v>63.76</v>
      </c>
      <c r="G2655" t="s">
        <v>16</v>
      </c>
      <c r="H2655" t="s">
        <v>13</v>
      </c>
    </row>
    <row r="2656" spans="1:8" x14ac:dyDescent="0.25">
      <c r="A2656" s="1">
        <v>45663.583333333336</v>
      </c>
      <c r="B2656" t="s">
        <v>24</v>
      </c>
      <c r="C2656">
        <v>133.51</v>
      </c>
      <c r="D2656">
        <v>31.77</v>
      </c>
      <c r="E2656" t="s">
        <v>9</v>
      </c>
      <c r="F2656">
        <v>45.47</v>
      </c>
      <c r="G2656" t="s">
        <v>16</v>
      </c>
      <c r="H2656" t="s">
        <v>12</v>
      </c>
    </row>
    <row r="2657" spans="1:8" x14ac:dyDescent="0.25">
      <c r="A2657" s="1">
        <v>45663.625</v>
      </c>
      <c r="B2657" t="s">
        <v>24</v>
      </c>
      <c r="C2657">
        <v>351.99</v>
      </c>
      <c r="D2657">
        <v>91.6</v>
      </c>
      <c r="E2657" t="s">
        <v>14</v>
      </c>
      <c r="F2657">
        <v>76.180000000000007</v>
      </c>
      <c r="G2657" t="s">
        <v>16</v>
      </c>
      <c r="H2657" t="s">
        <v>12</v>
      </c>
    </row>
    <row r="2658" spans="1:8" x14ac:dyDescent="0.25">
      <c r="A2658" s="1">
        <v>45663.666666666664</v>
      </c>
      <c r="B2658" t="s">
        <v>24</v>
      </c>
      <c r="C2658">
        <v>127.14</v>
      </c>
      <c r="D2658">
        <v>93.74</v>
      </c>
      <c r="E2658" t="s">
        <v>14</v>
      </c>
      <c r="F2658">
        <v>58.11</v>
      </c>
      <c r="G2658" t="s">
        <v>16</v>
      </c>
      <c r="H2658" t="s">
        <v>11</v>
      </c>
    </row>
    <row r="2659" spans="1:8" x14ac:dyDescent="0.25">
      <c r="A2659" s="1">
        <v>45663.708333333336</v>
      </c>
      <c r="B2659" t="s">
        <v>24</v>
      </c>
      <c r="C2659">
        <v>369.81</v>
      </c>
      <c r="D2659">
        <v>81.25</v>
      </c>
      <c r="E2659" t="s">
        <v>9</v>
      </c>
      <c r="F2659">
        <v>68.11</v>
      </c>
      <c r="G2659" t="s">
        <v>16</v>
      </c>
      <c r="H2659" t="s">
        <v>11</v>
      </c>
    </row>
    <row r="2660" spans="1:8" x14ac:dyDescent="0.25">
      <c r="A2660" s="1">
        <v>45663.75</v>
      </c>
      <c r="B2660" t="s">
        <v>24</v>
      </c>
      <c r="C2660">
        <v>359.78</v>
      </c>
      <c r="D2660">
        <v>36.07</v>
      </c>
      <c r="E2660" t="s">
        <v>9</v>
      </c>
      <c r="F2660">
        <v>79.92</v>
      </c>
      <c r="G2660" t="s">
        <v>16</v>
      </c>
      <c r="H2660" t="s">
        <v>11</v>
      </c>
    </row>
    <row r="2661" spans="1:8" x14ac:dyDescent="0.25">
      <c r="A2661" s="1">
        <v>45663.791666666664</v>
      </c>
      <c r="B2661" t="s">
        <v>24</v>
      </c>
      <c r="C2661">
        <v>466.09</v>
      </c>
      <c r="D2661">
        <v>22.39</v>
      </c>
      <c r="E2661" t="s">
        <v>9</v>
      </c>
      <c r="F2661">
        <v>62.58</v>
      </c>
      <c r="G2661" t="s">
        <v>16</v>
      </c>
      <c r="H2661" t="s">
        <v>11</v>
      </c>
    </row>
    <row r="2662" spans="1:8" x14ac:dyDescent="0.25">
      <c r="A2662" s="1">
        <v>45663.833333333336</v>
      </c>
      <c r="B2662" t="s">
        <v>24</v>
      </c>
      <c r="C2662">
        <v>186.89</v>
      </c>
      <c r="D2662">
        <v>67.010000000000005</v>
      </c>
      <c r="E2662" t="s">
        <v>9</v>
      </c>
      <c r="F2662">
        <v>59.25</v>
      </c>
      <c r="G2662" t="s">
        <v>16</v>
      </c>
      <c r="H2662" t="s">
        <v>12</v>
      </c>
    </row>
    <row r="2663" spans="1:8" x14ac:dyDescent="0.25">
      <c r="A2663" s="1">
        <v>45663.875</v>
      </c>
      <c r="B2663" t="s">
        <v>24</v>
      </c>
      <c r="C2663">
        <v>462.36</v>
      </c>
      <c r="D2663">
        <v>46.89</v>
      </c>
      <c r="E2663" t="s">
        <v>9</v>
      </c>
      <c r="F2663">
        <v>70.64</v>
      </c>
      <c r="G2663" t="s">
        <v>16</v>
      </c>
      <c r="H2663" t="s">
        <v>12</v>
      </c>
    </row>
    <row r="2664" spans="1:8" x14ac:dyDescent="0.25">
      <c r="A2664" s="1">
        <v>45663.916666666664</v>
      </c>
      <c r="B2664" t="s">
        <v>24</v>
      </c>
      <c r="C2664">
        <v>463.48</v>
      </c>
      <c r="D2664">
        <v>63.34</v>
      </c>
      <c r="E2664" t="s">
        <v>9</v>
      </c>
      <c r="F2664">
        <v>78.44</v>
      </c>
      <c r="G2664" t="s">
        <v>16</v>
      </c>
      <c r="H2664" t="s">
        <v>11</v>
      </c>
    </row>
    <row r="2665" spans="1:8" x14ac:dyDescent="0.25">
      <c r="A2665" s="1">
        <v>45663.958333333336</v>
      </c>
      <c r="B2665" t="s">
        <v>24</v>
      </c>
      <c r="C2665">
        <v>262.33</v>
      </c>
      <c r="D2665">
        <v>84.38</v>
      </c>
      <c r="E2665" t="s">
        <v>9</v>
      </c>
      <c r="F2665">
        <v>54.89</v>
      </c>
      <c r="G2665" t="s">
        <v>16</v>
      </c>
      <c r="H2665" t="s">
        <v>13</v>
      </c>
    </row>
    <row r="2666" spans="1:8" x14ac:dyDescent="0.25">
      <c r="A2666" s="1">
        <v>45664</v>
      </c>
      <c r="B2666" t="s">
        <v>24</v>
      </c>
      <c r="C2666">
        <v>186.14</v>
      </c>
      <c r="D2666">
        <v>70.180000000000007</v>
      </c>
      <c r="E2666" t="s">
        <v>9</v>
      </c>
      <c r="F2666">
        <v>30.53</v>
      </c>
      <c r="G2666" t="s">
        <v>16</v>
      </c>
      <c r="H2666" t="s">
        <v>12</v>
      </c>
    </row>
    <row r="2667" spans="1:8" x14ac:dyDescent="0.25">
      <c r="A2667" s="1">
        <v>45664.041666666664</v>
      </c>
      <c r="B2667" t="s">
        <v>24</v>
      </c>
      <c r="C2667">
        <v>372.64</v>
      </c>
      <c r="D2667">
        <v>61.2</v>
      </c>
      <c r="E2667" t="s">
        <v>9</v>
      </c>
      <c r="F2667">
        <v>38.6</v>
      </c>
      <c r="G2667" t="s">
        <v>16</v>
      </c>
      <c r="H2667" t="s">
        <v>11</v>
      </c>
    </row>
    <row r="2668" spans="1:8" x14ac:dyDescent="0.25">
      <c r="A2668" s="1">
        <v>45664.083333333336</v>
      </c>
      <c r="B2668" t="s">
        <v>24</v>
      </c>
      <c r="C2668">
        <v>348.16</v>
      </c>
      <c r="D2668">
        <v>76.05</v>
      </c>
      <c r="E2668" t="s">
        <v>9</v>
      </c>
      <c r="F2668">
        <v>57.23</v>
      </c>
      <c r="G2668" t="s">
        <v>16</v>
      </c>
      <c r="H2668" t="s">
        <v>12</v>
      </c>
    </row>
    <row r="2669" spans="1:8" x14ac:dyDescent="0.25">
      <c r="A2669" s="1">
        <v>45664.125</v>
      </c>
      <c r="B2669" t="s">
        <v>24</v>
      </c>
      <c r="C2669">
        <v>292.81</v>
      </c>
      <c r="D2669">
        <v>18.23</v>
      </c>
      <c r="E2669" t="s">
        <v>9</v>
      </c>
      <c r="F2669">
        <v>74.569999999999993</v>
      </c>
      <c r="G2669" t="s">
        <v>16</v>
      </c>
      <c r="H2669" t="s">
        <v>13</v>
      </c>
    </row>
    <row r="2670" spans="1:8" x14ac:dyDescent="0.25">
      <c r="A2670" s="1">
        <v>45664.166666666664</v>
      </c>
      <c r="B2670" t="s">
        <v>24</v>
      </c>
      <c r="C2670">
        <v>64.31</v>
      </c>
      <c r="D2670">
        <v>50.54</v>
      </c>
      <c r="E2670" t="s">
        <v>9</v>
      </c>
      <c r="F2670">
        <v>81.94</v>
      </c>
      <c r="G2670" t="s">
        <v>16</v>
      </c>
      <c r="H2670" t="s">
        <v>13</v>
      </c>
    </row>
    <row r="2671" spans="1:8" x14ac:dyDescent="0.25">
      <c r="A2671" s="1">
        <v>45664.208333333336</v>
      </c>
      <c r="B2671" t="s">
        <v>24</v>
      </c>
      <c r="C2671">
        <v>247.27</v>
      </c>
      <c r="D2671">
        <v>15.37</v>
      </c>
      <c r="E2671" t="s">
        <v>9</v>
      </c>
      <c r="F2671">
        <v>39.1</v>
      </c>
      <c r="G2671" t="s">
        <v>16</v>
      </c>
      <c r="H2671" t="s">
        <v>11</v>
      </c>
    </row>
    <row r="2672" spans="1:8" x14ac:dyDescent="0.25">
      <c r="A2672" s="1">
        <v>45664.25</v>
      </c>
      <c r="B2672" t="s">
        <v>24</v>
      </c>
      <c r="C2672">
        <v>157.88</v>
      </c>
      <c r="D2672">
        <v>22.1</v>
      </c>
      <c r="E2672" t="s">
        <v>9</v>
      </c>
      <c r="F2672">
        <v>71.510000000000005</v>
      </c>
      <c r="G2672" t="s">
        <v>16</v>
      </c>
      <c r="H2672" t="s">
        <v>11</v>
      </c>
    </row>
    <row r="2673" spans="1:8" x14ac:dyDescent="0.25">
      <c r="A2673" s="1">
        <v>45664.291666666664</v>
      </c>
      <c r="B2673" t="s">
        <v>24</v>
      </c>
      <c r="C2673">
        <v>363.14</v>
      </c>
      <c r="D2673">
        <v>53.49</v>
      </c>
      <c r="E2673" t="s">
        <v>9</v>
      </c>
      <c r="F2673">
        <v>51.91</v>
      </c>
      <c r="G2673" t="s">
        <v>16</v>
      </c>
      <c r="H2673" t="s">
        <v>12</v>
      </c>
    </row>
    <row r="2674" spans="1:8" x14ac:dyDescent="0.25">
      <c r="A2674" s="1">
        <v>45664.333333333336</v>
      </c>
      <c r="B2674" t="s">
        <v>24</v>
      </c>
      <c r="C2674">
        <v>469.89</v>
      </c>
      <c r="D2674">
        <v>32.270000000000003</v>
      </c>
      <c r="E2674" t="s">
        <v>9</v>
      </c>
      <c r="F2674">
        <v>66.87</v>
      </c>
      <c r="G2674" t="s">
        <v>16</v>
      </c>
      <c r="H2674" t="s">
        <v>13</v>
      </c>
    </row>
    <row r="2675" spans="1:8" x14ac:dyDescent="0.25">
      <c r="A2675" s="1">
        <v>45664.375</v>
      </c>
      <c r="B2675" t="s">
        <v>24</v>
      </c>
      <c r="C2675">
        <v>469.3</v>
      </c>
      <c r="D2675">
        <v>56.35</v>
      </c>
      <c r="E2675" t="s">
        <v>9</v>
      </c>
      <c r="F2675">
        <v>32.590000000000003</v>
      </c>
      <c r="G2675" t="s">
        <v>16</v>
      </c>
      <c r="H2675" t="s">
        <v>13</v>
      </c>
    </row>
    <row r="2676" spans="1:8" x14ac:dyDescent="0.25">
      <c r="A2676" s="1">
        <v>45664.416666666664</v>
      </c>
      <c r="B2676" t="s">
        <v>24</v>
      </c>
      <c r="C2676">
        <v>84.58</v>
      </c>
      <c r="D2676">
        <v>45.82</v>
      </c>
      <c r="E2676" t="s">
        <v>9</v>
      </c>
      <c r="F2676">
        <v>70.2</v>
      </c>
      <c r="G2676" t="s">
        <v>16</v>
      </c>
      <c r="H2676" t="s">
        <v>13</v>
      </c>
    </row>
    <row r="2677" spans="1:8" x14ac:dyDescent="0.25">
      <c r="A2677" s="1">
        <v>45664.458333333336</v>
      </c>
      <c r="B2677" t="s">
        <v>24</v>
      </c>
      <c r="C2677">
        <v>440.35</v>
      </c>
      <c r="D2677">
        <v>52.39</v>
      </c>
      <c r="E2677" t="s">
        <v>9</v>
      </c>
      <c r="F2677">
        <v>85.66</v>
      </c>
      <c r="G2677" t="s">
        <v>16</v>
      </c>
      <c r="H2677" t="s">
        <v>13</v>
      </c>
    </row>
    <row r="2678" spans="1:8" x14ac:dyDescent="0.25">
      <c r="A2678" s="1">
        <v>45664.5</v>
      </c>
      <c r="B2678" t="s">
        <v>24</v>
      </c>
      <c r="C2678">
        <v>95.06</v>
      </c>
      <c r="D2678">
        <v>79.41</v>
      </c>
      <c r="E2678" t="s">
        <v>9</v>
      </c>
      <c r="F2678">
        <v>38.11</v>
      </c>
      <c r="G2678" t="s">
        <v>16</v>
      </c>
      <c r="H2678" t="s">
        <v>13</v>
      </c>
    </row>
    <row r="2679" spans="1:8" x14ac:dyDescent="0.25">
      <c r="A2679" s="1">
        <v>45664.541666666664</v>
      </c>
      <c r="B2679" t="s">
        <v>24</v>
      </c>
      <c r="C2679">
        <v>306.45999999999998</v>
      </c>
      <c r="D2679">
        <v>63.07</v>
      </c>
      <c r="E2679" t="s">
        <v>9</v>
      </c>
      <c r="F2679">
        <v>51.93</v>
      </c>
      <c r="G2679" t="s">
        <v>16</v>
      </c>
      <c r="H2679" t="s">
        <v>13</v>
      </c>
    </row>
    <row r="2680" spans="1:8" x14ac:dyDescent="0.25">
      <c r="A2680" s="1">
        <v>45664.583333333336</v>
      </c>
      <c r="B2680" t="s">
        <v>24</v>
      </c>
      <c r="C2680">
        <v>255.65</v>
      </c>
      <c r="D2680">
        <v>46.42</v>
      </c>
      <c r="E2680" t="s">
        <v>9</v>
      </c>
      <c r="F2680">
        <v>65.569999999999993</v>
      </c>
      <c r="G2680" t="s">
        <v>16</v>
      </c>
      <c r="H2680" t="s">
        <v>12</v>
      </c>
    </row>
    <row r="2681" spans="1:8" x14ac:dyDescent="0.25">
      <c r="A2681" s="1">
        <v>45664.625</v>
      </c>
      <c r="B2681" t="s">
        <v>24</v>
      </c>
      <c r="C2681">
        <v>471.14</v>
      </c>
      <c r="D2681">
        <v>91.42</v>
      </c>
      <c r="E2681" t="s">
        <v>14</v>
      </c>
      <c r="F2681">
        <v>81.400000000000006</v>
      </c>
      <c r="G2681" t="s">
        <v>16</v>
      </c>
      <c r="H2681" t="s">
        <v>12</v>
      </c>
    </row>
    <row r="2682" spans="1:8" x14ac:dyDescent="0.25">
      <c r="A2682" s="1">
        <v>45664.666666666664</v>
      </c>
      <c r="B2682" t="s">
        <v>24</v>
      </c>
      <c r="C2682">
        <v>62.01</v>
      </c>
      <c r="D2682">
        <v>51.73</v>
      </c>
      <c r="E2682" t="s">
        <v>9</v>
      </c>
      <c r="F2682">
        <v>33.46</v>
      </c>
      <c r="G2682" t="s">
        <v>16</v>
      </c>
      <c r="H2682" t="s">
        <v>11</v>
      </c>
    </row>
    <row r="2683" spans="1:8" x14ac:dyDescent="0.25">
      <c r="A2683" s="1">
        <v>45664.708333333336</v>
      </c>
      <c r="B2683" t="s">
        <v>24</v>
      </c>
      <c r="C2683">
        <v>123.4</v>
      </c>
      <c r="D2683">
        <v>79.77</v>
      </c>
      <c r="E2683" t="s">
        <v>9</v>
      </c>
      <c r="F2683">
        <v>43.54</v>
      </c>
      <c r="G2683" t="s">
        <v>16</v>
      </c>
      <c r="H2683" t="s">
        <v>11</v>
      </c>
    </row>
    <row r="2684" spans="1:8" x14ac:dyDescent="0.25">
      <c r="A2684" s="1">
        <v>45664.75</v>
      </c>
      <c r="B2684" t="s">
        <v>24</v>
      </c>
      <c r="C2684">
        <v>81.47</v>
      </c>
      <c r="D2684">
        <v>47.95</v>
      </c>
      <c r="E2684" t="s">
        <v>9</v>
      </c>
      <c r="F2684">
        <v>64.98</v>
      </c>
      <c r="G2684" t="s">
        <v>16</v>
      </c>
      <c r="H2684" t="s">
        <v>13</v>
      </c>
    </row>
    <row r="2685" spans="1:8" x14ac:dyDescent="0.25">
      <c r="A2685" s="1">
        <v>45664.791666666664</v>
      </c>
      <c r="B2685" t="s">
        <v>24</v>
      </c>
      <c r="C2685">
        <v>250.67</v>
      </c>
      <c r="D2685">
        <v>19.63</v>
      </c>
      <c r="E2685" t="s">
        <v>9</v>
      </c>
      <c r="F2685">
        <v>59.1</v>
      </c>
      <c r="G2685" t="s">
        <v>16</v>
      </c>
      <c r="H2685" t="s">
        <v>13</v>
      </c>
    </row>
    <row r="2686" spans="1:8" x14ac:dyDescent="0.25">
      <c r="A2686" s="1">
        <v>45664.833333333336</v>
      </c>
      <c r="B2686" t="s">
        <v>24</v>
      </c>
      <c r="C2686">
        <v>167.73</v>
      </c>
      <c r="D2686">
        <v>88.65</v>
      </c>
      <c r="E2686" t="s">
        <v>14</v>
      </c>
      <c r="F2686">
        <v>55.07</v>
      </c>
      <c r="G2686" t="s">
        <v>16</v>
      </c>
      <c r="H2686" t="s">
        <v>11</v>
      </c>
    </row>
    <row r="2687" spans="1:8" x14ac:dyDescent="0.25">
      <c r="A2687" s="1">
        <v>45664.875</v>
      </c>
      <c r="B2687" t="s">
        <v>24</v>
      </c>
      <c r="C2687">
        <v>452.48</v>
      </c>
      <c r="D2687">
        <v>18.63</v>
      </c>
      <c r="E2687" t="s">
        <v>9</v>
      </c>
      <c r="F2687">
        <v>65.819999999999993</v>
      </c>
      <c r="G2687" t="s">
        <v>16</v>
      </c>
      <c r="H2687" t="s">
        <v>11</v>
      </c>
    </row>
    <row r="2688" spans="1:8" x14ac:dyDescent="0.25">
      <c r="A2688" s="1">
        <v>45664.916666666664</v>
      </c>
      <c r="B2688" t="s">
        <v>24</v>
      </c>
      <c r="C2688">
        <v>233.78</v>
      </c>
      <c r="D2688">
        <v>23.04</v>
      </c>
      <c r="E2688" t="s">
        <v>9</v>
      </c>
      <c r="F2688">
        <v>56.46</v>
      </c>
      <c r="G2688" t="s">
        <v>16</v>
      </c>
      <c r="H2688" t="s">
        <v>13</v>
      </c>
    </row>
    <row r="2689" spans="1:8" x14ac:dyDescent="0.25">
      <c r="A2689" s="1">
        <v>45664.958333333336</v>
      </c>
      <c r="B2689" t="s">
        <v>24</v>
      </c>
      <c r="C2689">
        <v>136.08000000000001</v>
      </c>
      <c r="D2689">
        <v>36.14</v>
      </c>
      <c r="E2689" t="s">
        <v>9</v>
      </c>
      <c r="F2689">
        <v>68.42</v>
      </c>
      <c r="G2689" t="s">
        <v>16</v>
      </c>
      <c r="H2689" t="s">
        <v>12</v>
      </c>
    </row>
    <row r="2690" spans="1:8" x14ac:dyDescent="0.25">
      <c r="A2690" s="1">
        <v>45665</v>
      </c>
      <c r="B2690" t="s">
        <v>24</v>
      </c>
      <c r="C2690">
        <v>143.19999999999999</v>
      </c>
      <c r="D2690">
        <v>71.650000000000006</v>
      </c>
      <c r="E2690" t="s">
        <v>9</v>
      </c>
      <c r="F2690">
        <v>74.540000000000006</v>
      </c>
      <c r="G2690" t="s">
        <v>16</v>
      </c>
      <c r="H2690" t="s">
        <v>11</v>
      </c>
    </row>
    <row r="2691" spans="1:8" x14ac:dyDescent="0.25">
      <c r="A2691" s="1">
        <v>45665.041666666664</v>
      </c>
      <c r="B2691" t="s">
        <v>24</v>
      </c>
      <c r="C2691">
        <v>493.19</v>
      </c>
      <c r="D2691">
        <v>87.8</v>
      </c>
      <c r="E2691" t="s">
        <v>14</v>
      </c>
      <c r="F2691">
        <v>31.74</v>
      </c>
      <c r="G2691" t="s">
        <v>16</v>
      </c>
      <c r="H2691" t="s">
        <v>13</v>
      </c>
    </row>
    <row r="2692" spans="1:8" x14ac:dyDescent="0.25">
      <c r="A2692" s="1">
        <v>45665.083333333336</v>
      </c>
      <c r="B2692" t="s">
        <v>24</v>
      </c>
      <c r="C2692">
        <v>342.96</v>
      </c>
      <c r="D2692">
        <v>67.64</v>
      </c>
      <c r="E2692" t="s">
        <v>9</v>
      </c>
      <c r="F2692">
        <v>54.22</v>
      </c>
      <c r="G2692" t="s">
        <v>16</v>
      </c>
      <c r="H2692" t="s">
        <v>12</v>
      </c>
    </row>
    <row r="2693" spans="1:8" x14ac:dyDescent="0.25">
      <c r="A2693" s="1">
        <v>45665.125</v>
      </c>
      <c r="B2693" t="s">
        <v>24</v>
      </c>
      <c r="C2693">
        <v>171.21</v>
      </c>
      <c r="D2693">
        <v>80.37</v>
      </c>
      <c r="E2693" t="s">
        <v>9</v>
      </c>
      <c r="F2693">
        <v>72.64</v>
      </c>
      <c r="G2693" t="s">
        <v>16</v>
      </c>
      <c r="H2693" t="s">
        <v>12</v>
      </c>
    </row>
    <row r="2694" spans="1:8" x14ac:dyDescent="0.25">
      <c r="A2694" s="1">
        <v>45665.166666666664</v>
      </c>
      <c r="B2694" t="s">
        <v>24</v>
      </c>
      <c r="C2694">
        <v>370.18</v>
      </c>
      <c r="D2694">
        <v>47.88</v>
      </c>
      <c r="E2694" t="s">
        <v>9</v>
      </c>
      <c r="F2694">
        <v>71.94</v>
      </c>
      <c r="G2694" t="s">
        <v>16</v>
      </c>
      <c r="H2694" t="s">
        <v>11</v>
      </c>
    </row>
    <row r="2695" spans="1:8" x14ac:dyDescent="0.25">
      <c r="A2695" s="1">
        <v>45665.208333333336</v>
      </c>
      <c r="B2695" t="s">
        <v>24</v>
      </c>
      <c r="C2695">
        <v>369.56</v>
      </c>
      <c r="D2695">
        <v>75.7</v>
      </c>
      <c r="E2695" t="s">
        <v>9</v>
      </c>
      <c r="F2695">
        <v>86.3</v>
      </c>
      <c r="G2695" t="s">
        <v>16</v>
      </c>
      <c r="H2695" t="s">
        <v>12</v>
      </c>
    </row>
    <row r="2696" spans="1:8" x14ac:dyDescent="0.25">
      <c r="A2696" s="1">
        <v>45665.25</v>
      </c>
      <c r="B2696" t="s">
        <v>24</v>
      </c>
      <c r="C2696">
        <v>84.91</v>
      </c>
      <c r="D2696">
        <v>62.33</v>
      </c>
      <c r="E2696" t="s">
        <v>9</v>
      </c>
      <c r="F2696">
        <v>68.84</v>
      </c>
      <c r="G2696" t="s">
        <v>16</v>
      </c>
      <c r="H2696" t="s">
        <v>11</v>
      </c>
    </row>
    <row r="2697" spans="1:8" x14ac:dyDescent="0.25">
      <c r="A2697" s="1">
        <v>45665.291666666664</v>
      </c>
      <c r="B2697" t="s">
        <v>24</v>
      </c>
      <c r="C2697">
        <v>144.94</v>
      </c>
      <c r="D2697">
        <v>54.82</v>
      </c>
      <c r="E2697" t="s">
        <v>9</v>
      </c>
      <c r="F2697">
        <v>70.83</v>
      </c>
      <c r="G2697" t="s">
        <v>16</v>
      </c>
      <c r="H2697" t="s">
        <v>11</v>
      </c>
    </row>
    <row r="2698" spans="1:8" x14ac:dyDescent="0.25">
      <c r="A2698" s="1">
        <v>45665.333333333336</v>
      </c>
      <c r="B2698" t="s">
        <v>24</v>
      </c>
      <c r="C2698">
        <v>233.14</v>
      </c>
      <c r="D2698">
        <v>48.92</v>
      </c>
      <c r="E2698" t="s">
        <v>9</v>
      </c>
      <c r="F2698">
        <v>88.07</v>
      </c>
      <c r="G2698" t="s">
        <v>16</v>
      </c>
      <c r="H2698" t="s">
        <v>11</v>
      </c>
    </row>
    <row r="2699" spans="1:8" x14ac:dyDescent="0.25">
      <c r="A2699" s="1">
        <v>45665.375</v>
      </c>
      <c r="B2699" t="s">
        <v>24</v>
      </c>
      <c r="C2699">
        <v>248.68</v>
      </c>
      <c r="D2699">
        <v>56.86</v>
      </c>
      <c r="E2699" t="s">
        <v>9</v>
      </c>
      <c r="F2699">
        <v>56.96</v>
      </c>
      <c r="G2699" t="s">
        <v>16</v>
      </c>
      <c r="H2699" t="s">
        <v>13</v>
      </c>
    </row>
    <row r="2700" spans="1:8" x14ac:dyDescent="0.25">
      <c r="A2700" s="1">
        <v>45665.416666666664</v>
      </c>
      <c r="B2700" t="s">
        <v>24</v>
      </c>
      <c r="C2700">
        <v>106.57</v>
      </c>
      <c r="D2700">
        <v>52.5</v>
      </c>
      <c r="E2700" t="s">
        <v>9</v>
      </c>
      <c r="F2700">
        <v>75.06</v>
      </c>
      <c r="G2700" t="s">
        <v>16</v>
      </c>
      <c r="H2700" t="s">
        <v>12</v>
      </c>
    </row>
    <row r="2701" spans="1:8" x14ac:dyDescent="0.25">
      <c r="A2701" s="1">
        <v>45665.458333333336</v>
      </c>
      <c r="B2701" t="s">
        <v>24</v>
      </c>
      <c r="C2701">
        <v>138.19</v>
      </c>
      <c r="D2701">
        <v>61.14</v>
      </c>
      <c r="E2701" t="s">
        <v>9</v>
      </c>
      <c r="F2701">
        <v>77.17</v>
      </c>
      <c r="G2701" t="s">
        <v>16</v>
      </c>
      <c r="H2701" t="s">
        <v>11</v>
      </c>
    </row>
    <row r="2702" spans="1:8" x14ac:dyDescent="0.25">
      <c r="A2702" s="1">
        <v>45665.5</v>
      </c>
      <c r="B2702" t="s">
        <v>24</v>
      </c>
      <c r="C2702">
        <v>499.21</v>
      </c>
      <c r="D2702">
        <v>53.08</v>
      </c>
      <c r="E2702" t="s">
        <v>9</v>
      </c>
      <c r="F2702">
        <v>78.31</v>
      </c>
      <c r="G2702" t="s">
        <v>16</v>
      </c>
      <c r="H2702" t="s">
        <v>12</v>
      </c>
    </row>
    <row r="2703" spans="1:8" x14ac:dyDescent="0.25">
      <c r="A2703" s="1">
        <v>45665.541666666664</v>
      </c>
      <c r="B2703" t="s">
        <v>24</v>
      </c>
      <c r="C2703">
        <v>466.87</v>
      </c>
      <c r="D2703">
        <v>20.88</v>
      </c>
      <c r="E2703" t="s">
        <v>9</v>
      </c>
      <c r="F2703">
        <v>46.27</v>
      </c>
      <c r="G2703" t="s">
        <v>16</v>
      </c>
      <c r="H2703" t="s">
        <v>11</v>
      </c>
    </row>
    <row r="2704" spans="1:8" x14ac:dyDescent="0.25">
      <c r="A2704" s="1">
        <v>45665.583333333336</v>
      </c>
      <c r="B2704" t="s">
        <v>24</v>
      </c>
      <c r="C2704">
        <v>285.66000000000003</v>
      </c>
      <c r="D2704">
        <v>20.41</v>
      </c>
      <c r="E2704" t="s">
        <v>9</v>
      </c>
      <c r="F2704">
        <v>37.06</v>
      </c>
      <c r="G2704" t="s">
        <v>16</v>
      </c>
      <c r="H2704" t="s">
        <v>11</v>
      </c>
    </row>
    <row r="2705" spans="1:8" x14ac:dyDescent="0.25">
      <c r="A2705" s="1">
        <v>45665.625</v>
      </c>
      <c r="B2705" t="s">
        <v>24</v>
      </c>
      <c r="C2705">
        <v>176.52</v>
      </c>
      <c r="D2705">
        <v>56.23</v>
      </c>
      <c r="E2705" t="s">
        <v>9</v>
      </c>
      <c r="F2705">
        <v>46.63</v>
      </c>
      <c r="G2705" t="s">
        <v>16</v>
      </c>
      <c r="H2705" t="s">
        <v>11</v>
      </c>
    </row>
    <row r="2706" spans="1:8" x14ac:dyDescent="0.25">
      <c r="A2706" s="1">
        <v>45665.666666666664</v>
      </c>
      <c r="B2706" t="s">
        <v>24</v>
      </c>
      <c r="C2706">
        <v>353.08</v>
      </c>
      <c r="D2706">
        <v>48.33</v>
      </c>
      <c r="E2706" t="s">
        <v>9</v>
      </c>
      <c r="F2706">
        <v>60.65</v>
      </c>
      <c r="G2706" t="s">
        <v>16</v>
      </c>
      <c r="H2706" t="s">
        <v>12</v>
      </c>
    </row>
    <row r="2707" spans="1:8" x14ac:dyDescent="0.25">
      <c r="A2707" s="1">
        <v>45665.708333333336</v>
      </c>
      <c r="B2707" t="s">
        <v>24</v>
      </c>
      <c r="C2707">
        <v>373.45</v>
      </c>
      <c r="D2707">
        <v>17.71</v>
      </c>
      <c r="E2707" t="s">
        <v>9</v>
      </c>
      <c r="F2707">
        <v>42.2</v>
      </c>
      <c r="G2707" t="s">
        <v>16</v>
      </c>
      <c r="H2707" t="s">
        <v>13</v>
      </c>
    </row>
    <row r="2708" spans="1:8" x14ac:dyDescent="0.25">
      <c r="A2708" s="1">
        <v>45665.75</v>
      </c>
      <c r="B2708" t="s">
        <v>24</v>
      </c>
      <c r="C2708">
        <v>195.18</v>
      </c>
      <c r="D2708">
        <v>80.69</v>
      </c>
      <c r="E2708" t="s">
        <v>9</v>
      </c>
      <c r="F2708">
        <v>77.099999999999994</v>
      </c>
      <c r="G2708" t="s">
        <v>16</v>
      </c>
      <c r="H2708" t="s">
        <v>12</v>
      </c>
    </row>
    <row r="2709" spans="1:8" x14ac:dyDescent="0.25">
      <c r="A2709" s="1">
        <v>45665.791666666664</v>
      </c>
      <c r="B2709" t="s">
        <v>24</v>
      </c>
      <c r="C2709">
        <v>418.15</v>
      </c>
      <c r="D2709">
        <v>87.94</v>
      </c>
      <c r="E2709" t="s">
        <v>14</v>
      </c>
      <c r="F2709">
        <v>42.13</v>
      </c>
      <c r="G2709" t="s">
        <v>16</v>
      </c>
      <c r="H2709" t="s">
        <v>13</v>
      </c>
    </row>
    <row r="2710" spans="1:8" x14ac:dyDescent="0.25">
      <c r="A2710" s="1">
        <v>45665.833333333336</v>
      </c>
      <c r="B2710" t="s">
        <v>24</v>
      </c>
      <c r="C2710">
        <v>90.11</v>
      </c>
      <c r="D2710">
        <v>14.77</v>
      </c>
      <c r="E2710" t="s">
        <v>9</v>
      </c>
      <c r="F2710">
        <v>31.03</v>
      </c>
      <c r="G2710" t="s">
        <v>16</v>
      </c>
      <c r="H2710" t="s">
        <v>12</v>
      </c>
    </row>
    <row r="2711" spans="1:8" x14ac:dyDescent="0.25">
      <c r="A2711" s="1">
        <v>45665.875</v>
      </c>
      <c r="B2711" t="s">
        <v>24</v>
      </c>
      <c r="C2711">
        <v>136.38999999999999</v>
      </c>
      <c r="D2711">
        <v>53.55</v>
      </c>
      <c r="E2711" t="s">
        <v>9</v>
      </c>
      <c r="F2711">
        <v>54.07</v>
      </c>
      <c r="G2711" t="s">
        <v>16</v>
      </c>
      <c r="H2711" t="s">
        <v>11</v>
      </c>
    </row>
    <row r="2712" spans="1:8" x14ac:dyDescent="0.25">
      <c r="A2712" s="1">
        <v>45665.916666666664</v>
      </c>
      <c r="B2712" t="s">
        <v>24</v>
      </c>
      <c r="C2712">
        <v>497.79</v>
      </c>
      <c r="D2712">
        <v>28.4</v>
      </c>
      <c r="E2712" t="s">
        <v>9</v>
      </c>
      <c r="F2712">
        <v>62.79</v>
      </c>
      <c r="G2712" t="s">
        <v>16</v>
      </c>
      <c r="H2712" t="s">
        <v>11</v>
      </c>
    </row>
    <row r="2713" spans="1:8" x14ac:dyDescent="0.25">
      <c r="A2713" s="1">
        <v>45665.958333333336</v>
      </c>
      <c r="B2713" t="s">
        <v>24</v>
      </c>
      <c r="C2713">
        <v>470.41</v>
      </c>
      <c r="D2713">
        <v>37.630000000000003</v>
      </c>
      <c r="E2713" t="s">
        <v>9</v>
      </c>
      <c r="F2713">
        <v>82.7</v>
      </c>
      <c r="G2713" t="s">
        <v>16</v>
      </c>
      <c r="H2713" t="s">
        <v>13</v>
      </c>
    </row>
    <row r="2714" spans="1:8" x14ac:dyDescent="0.25">
      <c r="A2714" s="1">
        <v>45666</v>
      </c>
      <c r="B2714" t="s">
        <v>24</v>
      </c>
      <c r="C2714">
        <v>286.93</v>
      </c>
      <c r="D2714">
        <v>57.69</v>
      </c>
      <c r="E2714" t="s">
        <v>9</v>
      </c>
      <c r="F2714">
        <v>81.64</v>
      </c>
      <c r="G2714" t="s">
        <v>16</v>
      </c>
      <c r="H2714" t="s">
        <v>12</v>
      </c>
    </row>
    <row r="2715" spans="1:8" x14ac:dyDescent="0.25">
      <c r="A2715" s="1">
        <v>45666.041666666664</v>
      </c>
      <c r="B2715" t="s">
        <v>24</v>
      </c>
      <c r="C2715">
        <v>136.61000000000001</v>
      </c>
      <c r="D2715">
        <v>35.4</v>
      </c>
      <c r="E2715" t="s">
        <v>9</v>
      </c>
      <c r="F2715">
        <v>80.09</v>
      </c>
      <c r="G2715" t="s">
        <v>16</v>
      </c>
      <c r="H2715" t="s">
        <v>13</v>
      </c>
    </row>
    <row r="2716" spans="1:8" x14ac:dyDescent="0.25">
      <c r="A2716" s="1">
        <v>45666.083333333336</v>
      </c>
      <c r="B2716" t="s">
        <v>24</v>
      </c>
      <c r="C2716">
        <v>232.65</v>
      </c>
      <c r="D2716">
        <v>92.7</v>
      </c>
      <c r="E2716" t="s">
        <v>14</v>
      </c>
      <c r="F2716">
        <v>57.89</v>
      </c>
      <c r="G2716" t="s">
        <v>16</v>
      </c>
      <c r="H2716" t="s">
        <v>13</v>
      </c>
    </row>
    <row r="2717" spans="1:8" x14ac:dyDescent="0.25">
      <c r="A2717" s="1">
        <v>45666.125</v>
      </c>
      <c r="B2717" t="s">
        <v>24</v>
      </c>
      <c r="C2717">
        <v>206.99</v>
      </c>
      <c r="D2717">
        <v>81.23</v>
      </c>
      <c r="E2717" t="s">
        <v>9</v>
      </c>
      <c r="F2717">
        <v>83.56</v>
      </c>
      <c r="G2717" t="s">
        <v>16</v>
      </c>
      <c r="H2717" t="s">
        <v>12</v>
      </c>
    </row>
    <row r="2718" spans="1:8" x14ac:dyDescent="0.25">
      <c r="A2718" s="1">
        <v>45666.166666666664</v>
      </c>
      <c r="B2718" t="s">
        <v>24</v>
      </c>
      <c r="C2718">
        <v>286.29000000000002</v>
      </c>
      <c r="D2718">
        <v>58.84</v>
      </c>
      <c r="E2718" t="s">
        <v>9</v>
      </c>
      <c r="F2718">
        <v>53.34</v>
      </c>
      <c r="G2718" t="s">
        <v>16</v>
      </c>
      <c r="H2718" t="s">
        <v>13</v>
      </c>
    </row>
    <row r="2719" spans="1:8" x14ac:dyDescent="0.25">
      <c r="A2719" s="1">
        <v>45666.208333333336</v>
      </c>
      <c r="B2719" t="s">
        <v>24</v>
      </c>
      <c r="C2719">
        <v>482.79</v>
      </c>
      <c r="D2719">
        <v>93.31</v>
      </c>
      <c r="E2719" t="s">
        <v>14</v>
      </c>
      <c r="F2719">
        <v>77.58</v>
      </c>
      <c r="G2719" t="s">
        <v>16</v>
      </c>
      <c r="H2719" t="s">
        <v>11</v>
      </c>
    </row>
    <row r="2720" spans="1:8" x14ac:dyDescent="0.25">
      <c r="A2720" s="1">
        <v>45666.25</v>
      </c>
      <c r="B2720" t="s">
        <v>24</v>
      </c>
      <c r="C2720">
        <v>451.56</v>
      </c>
      <c r="D2720">
        <v>47.7</v>
      </c>
      <c r="E2720" t="s">
        <v>9</v>
      </c>
      <c r="F2720">
        <v>77.09</v>
      </c>
      <c r="G2720" t="s">
        <v>16</v>
      </c>
      <c r="H2720" t="s">
        <v>11</v>
      </c>
    </row>
    <row r="2721" spans="1:8" x14ac:dyDescent="0.25">
      <c r="A2721" s="1">
        <v>45666.291666666664</v>
      </c>
      <c r="B2721" t="s">
        <v>24</v>
      </c>
      <c r="C2721">
        <v>479.58</v>
      </c>
      <c r="D2721">
        <v>26.62</v>
      </c>
      <c r="E2721" t="s">
        <v>9</v>
      </c>
      <c r="F2721">
        <v>41.35</v>
      </c>
      <c r="G2721" t="s">
        <v>16</v>
      </c>
      <c r="H2721" t="s">
        <v>11</v>
      </c>
    </row>
    <row r="2722" spans="1:8" x14ac:dyDescent="0.25">
      <c r="A2722" s="1">
        <v>45666.333333333336</v>
      </c>
      <c r="B2722" t="s">
        <v>24</v>
      </c>
      <c r="C2722">
        <v>167.37</v>
      </c>
      <c r="D2722">
        <v>78.75</v>
      </c>
      <c r="E2722" t="s">
        <v>9</v>
      </c>
      <c r="F2722">
        <v>46.29</v>
      </c>
      <c r="G2722" t="s">
        <v>16</v>
      </c>
      <c r="H2722" t="s">
        <v>12</v>
      </c>
    </row>
    <row r="2723" spans="1:8" x14ac:dyDescent="0.25">
      <c r="A2723" s="1">
        <v>45666.375</v>
      </c>
      <c r="B2723" t="s">
        <v>24</v>
      </c>
      <c r="C2723">
        <v>282.66000000000003</v>
      </c>
      <c r="D2723">
        <v>29.93</v>
      </c>
      <c r="E2723" t="s">
        <v>9</v>
      </c>
      <c r="F2723">
        <v>75.47</v>
      </c>
      <c r="G2723" t="s">
        <v>16</v>
      </c>
      <c r="H2723" t="s">
        <v>11</v>
      </c>
    </row>
    <row r="2724" spans="1:8" x14ac:dyDescent="0.25">
      <c r="A2724" s="1">
        <v>45666.416666666664</v>
      </c>
      <c r="B2724" t="s">
        <v>24</v>
      </c>
      <c r="C2724">
        <v>485.08</v>
      </c>
      <c r="D2724">
        <v>68.319999999999993</v>
      </c>
      <c r="E2724" t="s">
        <v>9</v>
      </c>
      <c r="F2724">
        <v>51.76</v>
      </c>
      <c r="G2724" t="s">
        <v>16</v>
      </c>
      <c r="H2724" t="s">
        <v>13</v>
      </c>
    </row>
    <row r="2725" spans="1:8" x14ac:dyDescent="0.25">
      <c r="A2725" s="1">
        <v>45666.458333333336</v>
      </c>
      <c r="B2725" t="s">
        <v>24</v>
      </c>
      <c r="C2725">
        <v>410.07</v>
      </c>
      <c r="D2725">
        <v>65.98</v>
      </c>
      <c r="E2725" t="s">
        <v>9</v>
      </c>
      <c r="F2725">
        <v>70.14</v>
      </c>
      <c r="G2725" t="s">
        <v>16</v>
      </c>
      <c r="H2725" t="s">
        <v>13</v>
      </c>
    </row>
    <row r="2726" spans="1:8" x14ac:dyDescent="0.25">
      <c r="A2726" s="1">
        <v>45666.5</v>
      </c>
      <c r="B2726" t="s">
        <v>24</v>
      </c>
      <c r="C2726">
        <v>344.14</v>
      </c>
      <c r="D2726">
        <v>81.900000000000006</v>
      </c>
      <c r="E2726" t="s">
        <v>9</v>
      </c>
      <c r="F2726">
        <v>86.19</v>
      </c>
      <c r="G2726" t="s">
        <v>16</v>
      </c>
      <c r="H2726" t="s">
        <v>11</v>
      </c>
    </row>
    <row r="2727" spans="1:8" x14ac:dyDescent="0.25">
      <c r="A2727" s="1">
        <v>45666.541666666664</v>
      </c>
      <c r="B2727" t="s">
        <v>24</v>
      </c>
      <c r="C2727">
        <v>184.08</v>
      </c>
      <c r="D2727">
        <v>28.8</v>
      </c>
      <c r="E2727" t="s">
        <v>9</v>
      </c>
      <c r="F2727">
        <v>67</v>
      </c>
      <c r="G2727" t="s">
        <v>16</v>
      </c>
      <c r="H2727" t="s">
        <v>13</v>
      </c>
    </row>
    <row r="2728" spans="1:8" x14ac:dyDescent="0.25">
      <c r="A2728" s="1">
        <v>45666.583333333336</v>
      </c>
      <c r="B2728" t="s">
        <v>24</v>
      </c>
      <c r="C2728">
        <v>85.96</v>
      </c>
      <c r="D2728">
        <v>14.04</v>
      </c>
      <c r="E2728" t="s">
        <v>9</v>
      </c>
      <c r="F2728">
        <v>66.5</v>
      </c>
      <c r="G2728" t="s">
        <v>16</v>
      </c>
      <c r="H2728" t="s">
        <v>12</v>
      </c>
    </row>
    <row r="2729" spans="1:8" x14ac:dyDescent="0.25">
      <c r="A2729" s="1">
        <v>45666.625</v>
      </c>
      <c r="B2729" t="s">
        <v>24</v>
      </c>
      <c r="C2729">
        <v>462.51</v>
      </c>
      <c r="D2729">
        <v>32.9</v>
      </c>
      <c r="E2729" t="s">
        <v>9</v>
      </c>
      <c r="F2729">
        <v>76.849999999999994</v>
      </c>
      <c r="G2729" t="s">
        <v>16</v>
      </c>
      <c r="H2729" t="s">
        <v>11</v>
      </c>
    </row>
    <row r="2730" spans="1:8" x14ac:dyDescent="0.25">
      <c r="A2730" s="1">
        <v>45666.666666666664</v>
      </c>
      <c r="B2730" t="s">
        <v>24</v>
      </c>
      <c r="C2730">
        <v>233.19</v>
      </c>
      <c r="D2730">
        <v>66.7</v>
      </c>
      <c r="E2730" t="s">
        <v>9</v>
      </c>
      <c r="F2730">
        <v>51.37</v>
      </c>
      <c r="G2730" t="s">
        <v>16</v>
      </c>
      <c r="H2730" t="s">
        <v>13</v>
      </c>
    </row>
    <row r="2731" spans="1:8" x14ac:dyDescent="0.25">
      <c r="A2731" s="1">
        <v>45666.708333333336</v>
      </c>
      <c r="B2731" t="s">
        <v>24</v>
      </c>
      <c r="C2731">
        <v>182.82</v>
      </c>
      <c r="D2731">
        <v>63.84</v>
      </c>
      <c r="E2731" t="s">
        <v>9</v>
      </c>
      <c r="F2731">
        <v>52.52</v>
      </c>
      <c r="G2731" t="s">
        <v>16</v>
      </c>
      <c r="H2731" t="s">
        <v>12</v>
      </c>
    </row>
    <row r="2732" spans="1:8" x14ac:dyDescent="0.25">
      <c r="A2732" s="1">
        <v>45666.75</v>
      </c>
      <c r="B2732" t="s">
        <v>24</v>
      </c>
      <c r="C2732">
        <v>252.11</v>
      </c>
      <c r="D2732">
        <v>57.45</v>
      </c>
      <c r="E2732" t="s">
        <v>9</v>
      </c>
      <c r="F2732">
        <v>74.53</v>
      </c>
      <c r="G2732" t="s">
        <v>16</v>
      </c>
      <c r="H2732" t="s">
        <v>11</v>
      </c>
    </row>
    <row r="2733" spans="1:8" x14ac:dyDescent="0.25">
      <c r="A2733" s="1">
        <v>45666.791666666664</v>
      </c>
      <c r="B2733" t="s">
        <v>24</v>
      </c>
      <c r="C2733">
        <v>230.77</v>
      </c>
      <c r="D2733">
        <v>52.92</v>
      </c>
      <c r="E2733" t="s">
        <v>9</v>
      </c>
      <c r="F2733">
        <v>88.46</v>
      </c>
      <c r="G2733" t="s">
        <v>16</v>
      </c>
      <c r="H2733" t="s">
        <v>11</v>
      </c>
    </row>
    <row r="2734" spans="1:8" x14ac:dyDescent="0.25">
      <c r="A2734" s="1">
        <v>45666.833333333336</v>
      </c>
      <c r="B2734" t="s">
        <v>24</v>
      </c>
      <c r="C2734">
        <v>341.7</v>
      </c>
      <c r="D2734">
        <v>45.79</v>
      </c>
      <c r="E2734" t="s">
        <v>9</v>
      </c>
      <c r="F2734">
        <v>83.66</v>
      </c>
      <c r="G2734" t="s">
        <v>16</v>
      </c>
      <c r="H2734" t="s">
        <v>13</v>
      </c>
    </row>
    <row r="2735" spans="1:8" x14ac:dyDescent="0.25">
      <c r="A2735" s="1">
        <v>45666.875</v>
      </c>
      <c r="B2735" t="s">
        <v>24</v>
      </c>
      <c r="C2735">
        <v>196.63</v>
      </c>
      <c r="D2735">
        <v>77.63</v>
      </c>
      <c r="E2735" t="s">
        <v>9</v>
      </c>
      <c r="F2735">
        <v>84.02</v>
      </c>
      <c r="G2735" t="s">
        <v>16</v>
      </c>
      <c r="H2735" t="s">
        <v>13</v>
      </c>
    </row>
    <row r="2736" spans="1:8" x14ac:dyDescent="0.25">
      <c r="A2736" s="1">
        <v>45666.916666666664</v>
      </c>
      <c r="B2736" t="s">
        <v>24</v>
      </c>
      <c r="C2736">
        <v>483.43</v>
      </c>
      <c r="D2736">
        <v>42.26</v>
      </c>
      <c r="E2736" t="s">
        <v>9</v>
      </c>
      <c r="F2736">
        <v>79.91</v>
      </c>
      <c r="G2736" t="s">
        <v>16</v>
      </c>
      <c r="H2736" t="s">
        <v>11</v>
      </c>
    </row>
    <row r="2737" spans="1:8" x14ac:dyDescent="0.25">
      <c r="A2737" s="1">
        <v>45666.958333333336</v>
      </c>
      <c r="B2737" t="s">
        <v>24</v>
      </c>
      <c r="C2737">
        <v>492.62</v>
      </c>
      <c r="D2737">
        <v>85.01</v>
      </c>
      <c r="E2737" t="s">
        <v>14</v>
      </c>
      <c r="F2737">
        <v>39.619999999999997</v>
      </c>
      <c r="G2737" t="s">
        <v>16</v>
      </c>
      <c r="H2737" t="s">
        <v>11</v>
      </c>
    </row>
    <row r="2738" spans="1:8" x14ac:dyDescent="0.25">
      <c r="A2738" s="1">
        <v>45667</v>
      </c>
      <c r="B2738" t="s">
        <v>24</v>
      </c>
      <c r="C2738">
        <v>206.84</v>
      </c>
      <c r="D2738">
        <v>49.19</v>
      </c>
      <c r="E2738" t="s">
        <v>9</v>
      </c>
      <c r="F2738">
        <v>50.11</v>
      </c>
      <c r="G2738" t="s">
        <v>16</v>
      </c>
      <c r="H2738" t="s">
        <v>11</v>
      </c>
    </row>
    <row r="2739" spans="1:8" x14ac:dyDescent="0.25">
      <c r="A2739" s="1">
        <v>45667.041666666664</v>
      </c>
      <c r="B2739" t="s">
        <v>24</v>
      </c>
      <c r="C2739">
        <v>294.14999999999998</v>
      </c>
      <c r="D2739">
        <v>29.55</v>
      </c>
      <c r="E2739" t="s">
        <v>9</v>
      </c>
      <c r="F2739">
        <v>62.24</v>
      </c>
      <c r="G2739" t="s">
        <v>16</v>
      </c>
      <c r="H2739" t="s">
        <v>13</v>
      </c>
    </row>
    <row r="2740" spans="1:8" x14ac:dyDescent="0.25">
      <c r="A2740" s="1">
        <v>45667.083333333336</v>
      </c>
      <c r="B2740" t="s">
        <v>24</v>
      </c>
      <c r="C2740">
        <v>127.08</v>
      </c>
      <c r="D2740">
        <v>81.900000000000006</v>
      </c>
      <c r="E2740" t="s">
        <v>9</v>
      </c>
      <c r="F2740">
        <v>31.3</v>
      </c>
      <c r="G2740" t="s">
        <v>16</v>
      </c>
      <c r="H2740" t="s">
        <v>11</v>
      </c>
    </row>
    <row r="2741" spans="1:8" x14ac:dyDescent="0.25">
      <c r="A2741" s="1">
        <v>45667.125</v>
      </c>
      <c r="B2741" t="s">
        <v>24</v>
      </c>
      <c r="C2741">
        <v>221.43</v>
      </c>
      <c r="D2741">
        <v>47.01</v>
      </c>
      <c r="E2741" t="s">
        <v>9</v>
      </c>
      <c r="F2741">
        <v>59.11</v>
      </c>
      <c r="G2741" t="s">
        <v>16</v>
      </c>
      <c r="H2741" t="s">
        <v>11</v>
      </c>
    </row>
    <row r="2742" spans="1:8" x14ac:dyDescent="0.25">
      <c r="A2742" s="1">
        <v>45667.166666666664</v>
      </c>
      <c r="B2742" t="s">
        <v>24</v>
      </c>
      <c r="C2742">
        <v>385.77</v>
      </c>
      <c r="D2742">
        <v>18.100000000000001</v>
      </c>
      <c r="E2742" t="s">
        <v>9</v>
      </c>
      <c r="F2742">
        <v>83.55</v>
      </c>
      <c r="G2742" t="s">
        <v>16</v>
      </c>
      <c r="H2742" t="s">
        <v>13</v>
      </c>
    </row>
    <row r="2743" spans="1:8" x14ac:dyDescent="0.25">
      <c r="A2743" s="1">
        <v>45667.208333333336</v>
      </c>
      <c r="B2743" t="s">
        <v>24</v>
      </c>
      <c r="C2743">
        <v>491.47</v>
      </c>
      <c r="D2743">
        <v>15.62</v>
      </c>
      <c r="E2743" t="s">
        <v>9</v>
      </c>
      <c r="F2743">
        <v>62.79</v>
      </c>
      <c r="G2743" t="s">
        <v>16</v>
      </c>
      <c r="H2743" t="s">
        <v>11</v>
      </c>
    </row>
    <row r="2744" spans="1:8" x14ac:dyDescent="0.25">
      <c r="A2744" s="1">
        <v>45667.25</v>
      </c>
      <c r="B2744" t="s">
        <v>24</v>
      </c>
      <c r="C2744">
        <v>174.65</v>
      </c>
      <c r="D2744">
        <v>41.2</v>
      </c>
      <c r="E2744" t="s">
        <v>9</v>
      </c>
      <c r="F2744">
        <v>68.33</v>
      </c>
      <c r="G2744" t="s">
        <v>16</v>
      </c>
      <c r="H2744" t="s">
        <v>11</v>
      </c>
    </row>
    <row r="2745" spans="1:8" x14ac:dyDescent="0.25">
      <c r="A2745" s="1">
        <v>45667.291666666664</v>
      </c>
      <c r="B2745" t="s">
        <v>24</v>
      </c>
      <c r="C2745">
        <v>313.82</v>
      </c>
      <c r="D2745">
        <v>70.63</v>
      </c>
      <c r="E2745" t="s">
        <v>9</v>
      </c>
      <c r="F2745">
        <v>61.51</v>
      </c>
      <c r="G2745" t="s">
        <v>16</v>
      </c>
      <c r="H2745" t="s">
        <v>13</v>
      </c>
    </row>
    <row r="2746" spans="1:8" x14ac:dyDescent="0.25">
      <c r="A2746" s="1">
        <v>45667.333333333336</v>
      </c>
      <c r="B2746" t="s">
        <v>24</v>
      </c>
      <c r="C2746">
        <v>394.49</v>
      </c>
      <c r="D2746">
        <v>15.33</v>
      </c>
      <c r="E2746" t="s">
        <v>9</v>
      </c>
      <c r="F2746">
        <v>55.91</v>
      </c>
      <c r="G2746" t="s">
        <v>16</v>
      </c>
      <c r="H2746" t="s">
        <v>11</v>
      </c>
    </row>
    <row r="2747" spans="1:8" x14ac:dyDescent="0.25">
      <c r="A2747" s="1">
        <v>45667.375</v>
      </c>
      <c r="B2747" t="s">
        <v>24</v>
      </c>
      <c r="C2747">
        <v>84.47</v>
      </c>
      <c r="D2747">
        <v>71.19</v>
      </c>
      <c r="E2747" t="s">
        <v>9</v>
      </c>
      <c r="F2747">
        <v>53.62</v>
      </c>
      <c r="G2747" t="s">
        <v>16</v>
      </c>
      <c r="H2747" t="s">
        <v>12</v>
      </c>
    </row>
    <row r="2748" spans="1:8" x14ac:dyDescent="0.25">
      <c r="A2748" s="1">
        <v>45667.416666666664</v>
      </c>
      <c r="B2748" t="s">
        <v>24</v>
      </c>
      <c r="C2748">
        <v>118.45</v>
      </c>
      <c r="D2748">
        <v>25.48</v>
      </c>
      <c r="E2748" t="s">
        <v>9</v>
      </c>
      <c r="F2748">
        <v>89.32</v>
      </c>
      <c r="G2748" t="s">
        <v>16</v>
      </c>
      <c r="H2748" t="s">
        <v>12</v>
      </c>
    </row>
    <row r="2749" spans="1:8" x14ac:dyDescent="0.25">
      <c r="A2749" s="1">
        <v>45667.458333333336</v>
      </c>
      <c r="B2749" t="s">
        <v>24</v>
      </c>
      <c r="C2749">
        <v>227.77</v>
      </c>
      <c r="D2749">
        <v>59.7</v>
      </c>
      <c r="E2749" t="s">
        <v>9</v>
      </c>
      <c r="F2749">
        <v>43.66</v>
      </c>
      <c r="G2749" t="s">
        <v>16</v>
      </c>
      <c r="H2749" t="s">
        <v>13</v>
      </c>
    </row>
    <row r="2750" spans="1:8" x14ac:dyDescent="0.25">
      <c r="A2750" s="1">
        <v>45667.5</v>
      </c>
      <c r="B2750" t="s">
        <v>24</v>
      </c>
      <c r="C2750">
        <v>252.8</v>
      </c>
      <c r="D2750">
        <v>20.37</v>
      </c>
      <c r="E2750" t="s">
        <v>9</v>
      </c>
      <c r="F2750">
        <v>70.180000000000007</v>
      </c>
      <c r="G2750" t="s">
        <v>16</v>
      </c>
      <c r="H2750" t="s">
        <v>13</v>
      </c>
    </row>
    <row r="2751" spans="1:8" x14ac:dyDescent="0.25">
      <c r="A2751" s="1">
        <v>45667.541666666664</v>
      </c>
      <c r="B2751" t="s">
        <v>24</v>
      </c>
      <c r="C2751">
        <v>463.19</v>
      </c>
      <c r="D2751">
        <v>44.89</v>
      </c>
      <c r="E2751" t="s">
        <v>9</v>
      </c>
      <c r="F2751">
        <v>75.91</v>
      </c>
      <c r="G2751" t="s">
        <v>16</v>
      </c>
      <c r="H2751" t="s">
        <v>11</v>
      </c>
    </row>
    <row r="2752" spans="1:8" x14ac:dyDescent="0.25">
      <c r="A2752" s="1">
        <v>45667.583333333336</v>
      </c>
      <c r="B2752" t="s">
        <v>24</v>
      </c>
      <c r="C2752">
        <v>146.34</v>
      </c>
      <c r="D2752">
        <v>64.650000000000006</v>
      </c>
      <c r="E2752" t="s">
        <v>9</v>
      </c>
      <c r="F2752">
        <v>60.78</v>
      </c>
      <c r="G2752" t="s">
        <v>16</v>
      </c>
      <c r="H2752" t="s">
        <v>12</v>
      </c>
    </row>
    <row r="2753" spans="1:8" x14ac:dyDescent="0.25">
      <c r="A2753" s="1">
        <v>45667.625</v>
      </c>
      <c r="B2753" t="s">
        <v>24</v>
      </c>
      <c r="C2753">
        <v>449.21</v>
      </c>
      <c r="D2753">
        <v>18</v>
      </c>
      <c r="E2753" t="s">
        <v>9</v>
      </c>
      <c r="F2753">
        <v>38.18</v>
      </c>
      <c r="G2753" t="s">
        <v>16</v>
      </c>
      <c r="H2753" t="s">
        <v>13</v>
      </c>
    </row>
    <row r="2754" spans="1:8" x14ac:dyDescent="0.25">
      <c r="A2754" s="1">
        <v>45667.666666666664</v>
      </c>
      <c r="B2754" t="s">
        <v>24</v>
      </c>
      <c r="C2754">
        <v>494.15</v>
      </c>
      <c r="D2754">
        <v>80.89</v>
      </c>
      <c r="E2754" t="s">
        <v>9</v>
      </c>
      <c r="F2754">
        <v>45.88</v>
      </c>
      <c r="G2754" t="s">
        <v>16</v>
      </c>
      <c r="H2754" t="s">
        <v>12</v>
      </c>
    </row>
    <row r="2755" spans="1:8" x14ac:dyDescent="0.25">
      <c r="A2755" s="1">
        <v>45667.708333333336</v>
      </c>
      <c r="B2755" t="s">
        <v>24</v>
      </c>
      <c r="C2755">
        <v>253.07</v>
      </c>
      <c r="D2755">
        <v>14.32</v>
      </c>
      <c r="E2755" t="s">
        <v>9</v>
      </c>
      <c r="F2755">
        <v>54.1</v>
      </c>
      <c r="G2755" t="s">
        <v>16</v>
      </c>
      <c r="H2755" t="s">
        <v>11</v>
      </c>
    </row>
    <row r="2756" spans="1:8" x14ac:dyDescent="0.25">
      <c r="A2756" s="1">
        <v>45667.75</v>
      </c>
      <c r="B2756" t="s">
        <v>24</v>
      </c>
      <c r="C2756">
        <v>263.10000000000002</v>
      </c>
      <c r="D2756">
        <v>78.040000000000006</v>
      </c>
      <c r="E2756" t="s">
        <v>9</v>
      </c>
      <c r="F2756">
        <v>46.81</v>
      </c>
      <c r="G2756" t="s">
        <v>16</v>
      </c>
      <c r="H2756" t="s">
        <v>11</v>
      </c>
    </row>
    <row r="2757" spans="1:8" x14ac:dyDescent="0.25">
      <c r="A2757" s="1">
        <v>45667.791666666664</v>
      </c>
      <c r="B2757" t="s">
        <v>24</v>
      </c>
      <c r="C2757">
        <v>68.23</v>
      </c>
      <c r="D2757">
        <v>67.150000000000006</v>
      </c>
      <c r="E2757" t="s">
        <v>9</v>
      </c>
      <c r="F2757">
        <v>80.52</v>
      </c>
      <c r="G2757" t="s">
        <v>16</v>
      </c>
      <c r="H2757" t="s">
        <v>11</v>
      </c>
    </row>
    <row r="2758" spans="1:8" x14ac:dyDescent="0.25">
      <c r="A2758" s="1">
        <v>45667.833333333336</v>
      </c>
      <c r="B2758" t="s">
        <v>24</v>
      </c>
      <c r="C2758">
        <v>466.7</v>
      </c>
      <c r="D2758">
        <v>31.64</v>
      </c>
      <c r="E2758" t="s">
        <v>9</v>
      </c>
      <c r="F2758">
        <v>71.599999999999994</v>
      </c>
      <c r="G2758" t="s">
        <v>16</v>
      </c>
      <c r="H2758" t="s">
        <v>11</v>
      </c>
    </row>
    <row r="2759" spans="1:8" x14ac:dyDescent="0.25">
      <c r="A2759" s="1">
        <v>45667.875</v>
      </c>
      <c r="B2759" t="s">
        <v>24</v>
      </c>
      <c r="C2759">
        <v>194.99</v>
      </c>
      <c r="D2759">
        <v>15.08</v>
      </c>
      <c r="E2759" t="s">
        <v>9</v>
      </c>
      <c r="F2759">
        <v>80.599999999999994</v>
      </c>
      <c r="G2759" t="s">
        <v>16</v>
      </c>
      <c r="H2759" t="s">
        <v>12</v>
      </c>
    </row>
    <row r="2760" spans="1:8" x14ac:dyDescent="0.25">
      <c r="A2760" s="1">
        <v>45667.916666666664</v>
      </c>
      <c r="B2760" t="s">
        <v>24</v>
      </c>
      <c r="C2760">
        <v>456.14</v>
      </c>
      <c r="D2760">
        <v>81.16</v>
      </c>
      <c r="E2760" t="s">
        <v>9</v>
      </c>
      <c r="F2760">
        <v>73.010000000000005</v>
      </c>
      <c r="G2760" t="s">
        <v>16</v>
      </c>
      <c r="H2760" t="s">
        <v>13</v>
      </c>
    </row>
    <row r="2761" spans="1:8" x14ac:dyDescent="0.25">
      <c r="A2761" s="1">
        <v>45667.958333333336</v>
      </c>
      <c r="B2761" t="s">
        <v>24</v>
      </c>
      <c r="C2761">
        <v>259.97000000000003</v>
      </c>
      <c r="D2761">
        <v>86.72</v>
      </c>
      <c r="E2761" t="s">
        <v>14</v>
      </c>
      <c r="F2761">
        <v>38.979999999999997</v>
      </c>
      <c r="G2761" t="s">
        <v>16</v>
      </c>
      <c r="H2761" t="s">
        <v>11</v>
      </c>
    </row>
    <row r="2762" spans="1:8" x14ac:dyDescent="0.25">
      <c r="A2762" s="1">
        <v>45668</v>
      </c>
      <c r="B2762" t="s">
        <v>24</v>
      </c>
      <c r="C2762">
        <v>181.09</v>
      </c>
      <c r="D2762">
        <v>79.5</v>
      </c>
      <c r="E2762" t="s">
        <v>9</v>
      </c>
      <c r="F2762">
        <v>85.22</v>
      </c>
      <c r="G2762" t="s">
        <v>16</v>
      </c>
      <c r="H2762" t="s">
        <v>11</v>
      </c>
    </row>
    <row r="2763" spans="1:8" x14ac:dyDescent="0.25">
      <c r="A2763" s="1">
        <v>45668.041666666664</v>
      </c>
      <c r="B2763" t="s">
        <v>24</v>
      </c>
      <c r="C2763">
        <v>154.85</v>
      </c>
      <c r="D2763">
        <v>46.31</v>
      </c>
      <c r="E2763" t="s">
        <v>9</v>
      </c>
      <c r="F2763">
        <v>77.13</v>
      </c>
      <c r="G2763" t="s">
        <v>16</v>
      </c>
      <c r="H2763" t="s">
        <v>12</v>
      </c>
    </row>
    <row r="2764" spans="1:8" x14ac:dyDescent="0.25">
      <c r="A2764" s="1">
        <v>45668.083333333336</v>
      </c>
      <c r="B2764" t="s">
        <v>24</v>
      </c>
      <c r="C2764">
        <v>358</v>
      </c>
      <c r="D2764">
        <v>64.45</v>
      </c>
      <c r="E2764" t="s">
        <v>9</v>
      </c>
      <c r="F2764">
        <v>39.17</v>
      </c>
      <c r="G2764" t="s">
        <v>16</v>
      </c>
      <c r="H2764" t="s">
        <v>12</v>
      </c>
    </row>
    <row r="2765" spans="1:8" x14ac:dyDescent="0.25">
      <c r="A2765" s="1">
        <v>45668.125</v>
      </c>
      <c r="B2765" t="s">
        <v>24</v>
      </c>
      <c r="C2765">
        <v>407.46</v>
      </c>
      <c r="D2765">
        <v>66.88</v>
      </c>
      <c r="E2765" t="s">
        <v>9</v>
      </c>
      <c r="F2765">
        <v>43.93</v>
      </c>
      <c r="G2765" t="s">
        <v>16</v>
      </c>
      <c r="H2765" t="s">
        <v>13</v>
      </c>
    </row>
    <row r="2766" spans="1:8" x14ac:dyDescent="0.25">
      <c r="A2766" s="1">
        <v>45668.166666666664</v>
      </c>
      <c r="B2766" t="s">
        <v>24</v>
      </c>
      <c r="C2766">
        <v>380.25</v>
      </c>
      <c r="D2766">
        <v>37.06</v>
      </c>
      <c r="E2766" t="s">
        <v>9</v>
      </c>
      <c r="F2766">
        <v>49.07</v>
      </c>
      <c r="G2766" t="s">
        <v>16</v>
      </c>
      <c r="H2766" t="s">
        <v>12</v>
      </c>
    </row>
    <row r="2767" spans="1:8" x14ac:dyDescent="0.25">
      <c r="A2767" s="1">
        <v>45668.208333333336</v>
      </c>
      <c r="B2767" t="s">
        <v>24</v>
      </c>
      <c r="C2767">
        <v>210.3</v>
      </c>
      <c r="D2767">
        <v>24.06</v>
      </c>
      <c r="E2767" t="s">
        <v>9</v>
      </c>
      <c r="F2767">
        <v>32.99</v>
      </c>
      <c r="G2767" t="s">
        <v>16</v>
      </c>
      <c r="H2767" t="s">
        <v>12</v>
      </c>
    </row>
    <row r="2768" spans="1:8" x14ac:dyDescent="0.25">
      <c r="A2768" s="1">
        <v>45668.25</v>
      </c>
      <c r="B2768" t="s">
        <v>24</v>
      </c>
      <c r="C2768">
        <v>188.32</v>
      </c>
      <c r="D2768">
        <v>70.05</v>
      </c>
      <c r="E2768" t="s">
        <v>9</v>
      </c>
      <c r="F2768">
        <v>75.180000000000007</v>
      </c>
      <c r="G2768" t="s">
        <v>16</v>
      </c>
      <c r="H2768" t="s">
        <v>12</v>
      </c>
    </row>
    <row r="2769" spans="1:8" x14ac:dyDescent="0.25">
      <c r="A2769" s="1">
        <v>45668.291666666664</v>
      </c>
      <c r="B2769" t="s">
        <v>24</v>
      </c>
      <c r="C2769">
        <v>69.58</v>
      </c>
      <c r="D2769">
        <v>46.44</v>
      </c>
      <c r="E2769" t="s">
        <v>9</v>
      </c>
      <c r="F2769">
        <v>37.82</v>
      </c>
      <c r="G2769" t="s">
        <v>16</v>
      </c>
      <c r="H2769" t="s">
        <v>13</v>
      </c>
    </row>
    <row r="2770" spans="1:8" x14ac:dyDescent="0.25">
      <c r="A2770" s="1">
        <v>45668.333333333336</v>
      </c>
      <c r="B2770" t="s">
        <v>24</v>
      </c>
      <c r="C2770">
        <v>406.02</v>
      </c>
      <c r="D2770">
        <v>64.739999999999995</v>
      </c>
      <c r="E2770" t="s">
        <v>9</v>
      </c>
      <c r="F2770">
        <v>56.72</v>
      </c>
      <c r="G2770" t="s">
        <v>16</v>
      </c>
      <c r="H2770" t="s">
        <v>12</v>
      </c>
    </row>
    <row r="2771" spans="1:8" x14ac:dyDescent="0.25">
      <c r="A2771" s="1">
        <v>45668.375</v>
      </c>
      <c r="B2771" t="s">
        <v>24</v>
      </c>
      <c r="C2771">
        <v>470.77</v>
      </c>
      <c r="D2771">
        <v>59.77</v>
      </c>
      <c r="E2771" t="s">
        <v>9</v>
      </c>
      <c r="F2771">
        <v>66.69</v>
      </c>
      <c r="G2771" t="s">
        <v>16</v>
      </c>
      <c r="H2771" t="s">
        <v>13</v>
      </c>
    </row>
    <row r="2772" spans="1:8" x14ac:dyDescent="0.25">
      <c r="A2772" s="1">
        <v>45668.416666666664</v>
      </c>
      <c r="B2772" t="s">
        <v>24</v>
      </c>
      <c r="C2772">
        <v>178.45</v>
      </c>
      <c r="D2772">
        <v>63.82</v>
      </c>
      <c r="E2772" t="s">
        <v>9</v>
      </c>
      <c r="F2772">
        <v>88.75</v>
      </c>
      <c r="G2772" t="s">
        <v>16</v>
      </c>
      <c r="H2772" t="s">
        <v>12</v>
      </c>
    </row>
    <row r="2773" spans="1:8" x14ac:dyDescent="0.25">
      <c r="A2773" s="1">
        <v>45668.458333333336</v>
      </c>
      <c r="B2773" t="s">
        <v>24</v>
      </c>
      <c r="C2773">
        <v>80.14</v>
      </c>
      <c r="D2773">
        <v>84.27</v>
      </c>
      <c r="E2773" t="s">
        <v>9</v>
      </c>
      <c r="F2773">
        <v>53.51</v>
      </c>
      <c r="G2773" t="s">
        <v>16</v>
      </c>
      <c r="H2773" t="s">
        <v>12</v>
      </c>
    </row>
    <row r="2774" spans="1:8" x14ac:dyDescent="0.25">
      <c r="A2774" s="1">
        <v>45668.5</v>
      </c>
      <c r="B2774" t="s">
        <v>24</v>
      </c>
      <c r="C2774">
        <v>65.75</v>
      </c>
      <c r="D2774">
        <v>70.75</v>
      </c>
      <c r="E2774" t="s">
        <v>9</v>
      </c>
      <c r="F2774">
        <v>31.38</v>
      </c>
      <c r="G2774" t="s">
        <v>16</v>
      </c>
      <c r="H2774" t="s">
        <v>13</v>
      </c>
    </row>
    <row r="2775" spans="1:8" x14ac:dyDescent="0.25">
      <c r="A2775" s="1">
        <v>45668.541666666664</v>
      </c>
      <c r="B2775" t="s">
        <v>24</v>
      </c>
      <c r="C2775">
        <v>120.94</v>
      </c>
      <c r="D2775">
        <v>55.65</v>
      </c>
      <c r="E2775" t="s">
        <v>9</v>
      </c>
      <c r="F2775">
        <v>65.83</v>
      </c>
      <c r="G2775" t="s">
        <v>16</v>
      </c>
      <c r="H2775" t="s">
        <v>12</v>
      </c>
    </row>
    <row r="2776" spans="1:8" x14ac:dyDescent="0.25">
      <c r="A2776" s="1">
        <v>45668.583333333336</v>
      </c>
      <c r="B2776" t="s">
        <v>24</v>
      </c>
      <c r="C2776">
        <v>203.34</v>
      </c>
      <c r="D2776">
        <v>51.89</v>
      </c>
      <c r="E2776" t="s">
        <v>9</v>
      </c>
      <c r="F2776">
        <v>48.68</v>
      </c>
      <c r="G2776" t="s">
        <v>16</v>
      </c>
      <c r="H2776" t="s">
        <v>13</v>
      </c>
    </row>
    <row r="2777" spans="1:8" x14ac:dyDescent="0.25">
      <c r="A2777" s="1">
        <v>45668.625</v>
      </c>
      <c r="B2777" t="s">
        <v>24</v>
      </c>
      <c r="C2777">
        <v>55.05</v>
      </c>
      <c r="D2777">
        <v>30.31</v>
      </c>
      <c r="E2777" t="s">
        <v>9</v>
      </c>
      <c r="F2777">
        <v>89.63</v>
      </c>
      <c r="G2777" t="s">
        <v>16</v>
      </c>
      <c r="H2777" t="s">
        <v>11</v>
      </c>
    </row>
    <row r="2778" spans="1:8" x14ac:dyDescent="0.25">
      <c r="A2778" s="1">
        <v>45668.666666666664</v>
      </c>
      <c r="B2778" t="s">
        <v>24</v>
      </c>
      <c r="C2778">
        <v>307.79000000000002</v>
      </c>
      <c r="D2778">
        <v>27.48</v>
      </c>
      <c r="E2778" t="s">
        <v>9</v>
      </c>
      <c r="F2778">
        <v>83.66</v>
      </c>
      <c r="G2778" t="s">
        <v>16</v>
      </c>
      <c r="H2778" t="s">
        <v>13</v>
      </c>
    </row>
    <row r="2779" spans="1:8" x14ac:dyDescent="0.25">
      <c r="A2779" s="1">
        <v>45668.708333333336</v>
      </c>
      <c r="B2779" t="s">
        <v>24</v>
      </c>
      <c r="C2779">
        <v>439.89</v>
      </c>
      <c r="D2779">
        <v>15.76</v>
      </c>
      <c r="E2779" t="s">
        <v>9</v>
      </c>
      <c r="F2779">
        <v>70.77</v>
      </c>
      <c r="G2779" t="s">
        <v>16</v>
      </c>
      <c r="H2779" t="s">
        <v>11</v>
      </c>
    </row>
    <row r="2780" spans="1:8" x14ac:dyDescent="0.25">
      <c r="A2780" s="1">
        <v>45668.75</v>
      </c>
      <c r="B2780" t="s">
        <v>24</v>
      </c>
      <c r="C2780">
        <v>219.67</v>
      </c>
      <c r="D2780">
        <v>87.64</v>
      </c>
      <c r="E2780" t="s">
        <v>14</v>
      </c>
      <c r="F2780">
        <v>77.36</v>
      </c>
      <c r="G2780" t="s">
        <v>16</v>
      </c>
      <c r="H2780" t="s">
        <v>11</v>
      </c>
    </row>
    <row r="2781" spans="1:8" x14ac:dyDescent="0.25">
      <c r="A2781" s="1">
        <v>45668.791666666664</v>
      </c>
      <c r="B2781" t="s">
        <v>24</v>
      </c>
      <c r="C2781">
        <v>337.34</v>
      </c>
      <c r="D2781">
        <v>86.76</v>
      </c>
      <c r="E2781" t="s">
        <v>14</v>
      </c>
      <c r="F2781">
        <v>67.790000000000006</v>
      </c>
      <c r="G2781" t="s">
        <v>16</v>
      </c>
      <c r="H2781" t="s">
        <v>11</v>
      </c>
    </row>
    <row r="2782" spans="1:8" x14ac:dyDescent="0.25">
      <c r="A2782" s="1">
        <v>45668.833333333336</v>
      </c>
      <c r="B2782" t="s">
        <v>24</v>
      </c>
      <c r="C2782">
        <v>459.47</v>
      </c>
      <c r="D2782">
        <v>78.06</v>
      </c>
      <c r="E2782" t="s">
        <v>9</v>
      </c>
      <c r="F2782">
        <v>63.8</v>
      </c>
      <c r="G2782" t="s">
        <v>16</v>
      </c>
      <c r="H2782" t="s">
        <v>13</v>
      </c>
    </row>
    <row r="2783" spans="1:8" x14ac:dyDescent="0.25">
      <c r="A2783" s="1">
        <v>45668.875</v>
      </c>
      <c r="B2783" t="s">
        <v>24</v>
      </c>
      <c r="C2783">
        <v>326.17</v>
      </c>
      <c r="D2783">
        <v>19.63</v>
      </c>
      <c r="E2783" t="s">
        <v>9</v>
      </c>
      <c r="F2783">
        <v>60.51</v>
      </c>
      <c r="G2783" t="s">
        <v>16</v>
      </c>
      <c r="H2783" t="s">
        <v>13</v>
      </c>
    </row>
    <row r="2784" spans="1:8" x14ac:dyDescent="0.25">
      <c r="A2784" s="1">
        <v>45668.916666666664</v>
      </c>
      <c r="B2784" t="s">
        <v>24</v>
      </c>
      <c r="C2784">
        <v>447.01</v>
      </c>
      <c r="D2784">
        <v>41.81</v>
      </c>
      <c r="E2784" t="s">
        <v>9</v>
      </c>
      <c r="F2784">
        <v>53.25</v>
      </c>
      <c r="G2784" t="s">
        <v>16</v>
      </c>
      <c r="H2784" t="s">
        <v>11</v>
      </c>
    </row>
    <row r="2785" spans="1:8" x14ac:dyDescent="0.25">
      <c r="A2785" s="1">
        <v>45668.958333333336</v>
      </c>
      <c r="B2785" t="s">
        <v>24</v>
      </c>
      <c r="C2785">
        <v>132.41</v>
      </c>
      <c r="D2785">
        <v>63.09</v>
      </c>
      <c r="E2785" t="s">
        <v>9</v>
      </c>
      <c r="F2785">
        <v>42.69</v>
      </c>
      <c r="G2785" t="s">
        <v>16</v>
      </c>
      <c r="H2785" t="s">
        <v>11</v>
      </c>
    </row>
    <row r="2786" spans="1:8" x14ac:dyDescent="0.25">
      <c r="A2786" s="1">
        <v>45669</v>
      </c>
      <c r="B2786" t="s">
        <v>24</v>
      </c>
      <c r="C2786">
        <v>92.51</v>
      </c>
      <c r="D2786">
        <v>29.44</v>
      </c>
      <c r="E2786" t="s">
        <v>9</v>
      </c>
      <c r="F2786">
        <v>30.43</v>
      </c>
      <c r="G2786" t="s">
        <v>16</v>
      </c>
      <c r="H2786" t="s">
        <v>12</v>
      </c>
    </row>
    <row r="2787" spans="1:8" x14ac:dyDescent="0.25">
      <c r="A2787" s="1">
        <v>45669.041666666664</v>
      </c>
      <c r="B2787" t="s">
        <v>24</v>
      </c>
      <c r="C2787">
        <v>434.1</v>
      </c>
      <c r="D2787">
        <v>20.260000000000002</v>
      </c>
      <c r="E2787" t="s">
        <v>9</v>
      </c>
      <c r="F2787">
        <v>50.6</v>
      </c>
      <c r="G2787" t="s">
        <v>16</v>
      </c>
      <c r="H2787" t="s">
        <v>12</v>
      </c>
    </row>
    <row r="2788" spans="1:8" x14ac:dyDescent="0.25">
      <c r="A2788" s="1">
        <v>45669.083333333336</v>
      </c>
      <c r="B2788" t="s">
        <v>24</v>
      </c>
      <c r="C2788">
        <v>293.14999999999998</v>
      </c>
      <c r="D2788">
        <v>71.150000000000006</v>
      </c>
      <c r="E2788" t="s">
        <v>9</v>
      </c>
      <c r="F2788">
        <v>51.46</v>
      </c>
      <c r="G2788" t="s">
        <v>16</v>
      </c>
      <c r="H2788" t="s">
        <v>13</v>
      </c>
    </row>
    <row r="2789" spans="1:8" x14ac:dyDescent="0.25">
      <c r="A2789" s="1">
        <v>45669.125</v>
      </c>
      <c r="B2789" t="s">
        <v>24</v>
      </c>
      <c r="C2789">
        <v>225.52</v>
      </c>
      <c r="D2789">
        <v>79.59</v>
      </c>
      <c r="E2789" t="s">
        <v>9</v>
      </c>
      <c r="F2789">
        <v>54.46</v>
      </c>
      <c r="G2789" t="s">
        <v>16</v>
      </c>
      <c r="H2789" t="s">
        <v>12</v>
      </c>
    </row>
    <row r="2790" spans="1:8" x14ac:dyDescent="0.25">
      <c r="A2790" s="1">
        <v>45669.166666666664</v>
      </c>
      <c r="B2790" t="s">
        <v>24</v>
      </c>
      <c r="C2790">
        <v>329.43</v>
      </c>
      <c r="D2790">
        <v>48.51</v>
      </c>
      <c r="E2790" t="s">
        <v>9</v>
      </c>
      <c r="F2790">
        <v>83.36</v>
      </c>
      <c r="G2790" t="s">
        <v>16</v>
      </c>
      <c r="H2790" t="s">
        <v>12</v>
      </c>
    </row>
    <row r="2791" spans="1:8" x14ac:dyDescent="0.25">
      <c r="A2791" s="1">
        <v>45669.208333333336</v>
      </c>
      <c r="B2791" t="s">
        <v>24</v>
      </c>
      <c r="C2791">
        <v>359.78</v>
      </c>
      <c r="D2791">
        <v>43.52</v>
      </c>
      <c r="E2791" t="s">
        <v>9</v>
      </c>
      <c r="F2791">
        <v>86.32</v>
      </c>
      <c r="G2791" t="s">
        <v>16</v>
      </c>
      <c r="H2791" t="s">
        <v>13</v>
      </c>
    </row>
    <row r="2792" spans="1:8" x14ac:dyDescent="0.25">
      <c r="A2792" s="1">
        <v>45669.25</v>
      </c>
      <c r="B2792" t="s">
        <v>24</v>
      </c>
      <c r="C2792">
        <v>214.13</v>
      </c>
      <c r="D2792">
        <v>66.47</v>
      </c>
      <c r="E2792" t="s">
        <v>9</v>
      </c>
      <c r="F2792">
        <v>43.88</v>
      </c>
      <c r="G2792" t="s">
        <v>16</v>
      </c>
      <c r="H2792" t="s">
        <v>12</v>
      </c>
    </row>
    <row r="2793" spans="1:8" x14ac:dyDescent="0.25">
      <c r="A2793" s="1">
        <v>45669.291666666664</v>
      </c>
      <c r="B2793" t="s">
        <v>24</v>
      </c>
      <c r="C2793">
        <v>265.42</v>
      </c>
      <c r="D2793">
        <v>29.08</v>
      </c>
      <c r="E2793" t="s">
        <v>9</v>
      </c>
      <c r="F2793">
        <v>47.52</v>
      </c>
      <c r="G2793" t="s">
        <v>16</v>
      </c>
      <c r="H2793" t="s">
        <v>11</v>
      </c>
    </row>
    <row r="2794" spans="1:8" x14ac:dyDescent="0.25">
      <c r="A2794" s="1">
        <v>45669.333333333336</v>
      </c>
      <c r="B2794" t="s">
        <v>24</v>
      </c>
      <c r="C2794">
        <v>210.37</v>
      </c>
      <c r="D2794">
        <v>65.8</v>
      </c>
      <c r="E2794" t="s">
        <v>9</v>
      </c>
      <c r="F2794">
        <v>32.08</v>
      </c>
      <c r="G2794" t="s">
        <v>16</v>
      </c>
      <c r="H2794" t="s">
        <v>11</v>
      </c>
    </row>
    <row r="2795" spans="1:8" x14ac:dyDescent="0.25">
      <c r="A2795" s="1">
        <v>45669.375</v>
      </c>
      <c r="B2795" t="s">
        <v>24</v>
      </c>
      <c r="C2795">
        <v>88.93</v>
      </c>
      <c r="D2795">
        <v>18.61</v>
      </c>
      <c r="E2795" t="s">
        <v>9</v>
      </c>
      <c r="F2795">
        <v>52.46</v>
      </c>
      <c r="G2795" t="s">
        <v>16</v>
      </c>
      <c r="H2795" t="s">
        <v>11</v>
      </c>
    </row>
    <row r="2796" spans="1:8" x14ac:dyDescent="0.25">
      <c r="A2796" s="1">
        <v>45669.416666666664</v>
      </c>
      <c r="B2796" t="s">
        <v>24</v>
      </c>
      <c r="C2796">
        <v>324.10000000000002</v>
      </c>
      <c r="D2796">
        <v>14.52</v>
      </c>
      <c r="E2796" t="s">
        <v>9</v>
      </c>
      <c r="F2796">
        <v>89.38</v>
      </c>
      <c r="G2796" t="s">
        <v>16</v>
      </c>
      <c r="H2796" t="s">
        <v>12</v>
      </c>
    </row>
    <row r="2797" spans="1:8" x14ac:dyDescent="0.25">
      <c r="A2797" s="1">
        <v>45669.458333333336</v>
      </c>
      <c r="B2797" t="s">
        <v>24</v>
      </c>
      <c r="C2797">
        <v>77.61</v>
      </c>
      <c r="D2797">
        <v>87.24</v>
      </c>
      <c r="E2797" t="s">
        <v>14</v>
      </c>
      <c r="F2797">
        <v>77.400000000000006</v>
      </c>
      <c r="G2797" t="s">
        <v>16</v>
      </c>
      <c r="H2797" t="s">
        <v>11</v>
      </c>
    </row>
    <row r="2798" spans="1:8" x14ac:dyDescent="0.25">
      <c r="A2798" s="1">
        <v>45669.5</v>
      </c>
      <c r="B2798" t="s">
        <v>24</v>
      </c>
      <c r="C2798">
        <v>408.9</v>
      </c>
      <c r="D2798">
        <v>71.489999999999995</v>
      </c>
      <c r="E2798" t="s">
        <v>9</v>
      </c>
      <c r="F2798">
        <v>61.65</v>
      </c>
      <c r="G2798" t="s">
        <v>16</v>
      </c>
      <c r="H2798" t="s">
        <v>13</v>
      </c>
    </row>
    <row r="2799" spans="1:8" x14ac:dyDescent="0.25">
      <c r="A2799" s="1">
        <v>45669.541666666664</v>
      </c>
      <c r="B2799" t="s">
        <v>24</v>
      </c>
      <c r="C2799">
        <v>434.39</v>
      </c>
      <c r="D2799">
        <v>89.35</v>
      </c>
      <c r="E2799" t="s">
        <v>14</v>
      </c>
      <c r="F2799">
        <v>77.33</v>
      </c>
      <c r="G2799" t="s">
        <v>16</v>
      </c>
      <c r="H2799" t="s">
        <v>11</v>
      </c>
    </row>
    <row r="2800" spans="1:8" x14ac:dyDescent="0.25">
      <c r="A2800" s="1">
        <v>45669.583333333336</v>
      </c>
      <c r="B2800" t="s">
        <v>24</v>
      </c>
      <c r="C2800">
        <v>142.44999999999999</v>
      </c>
      <c r="D2800">
        <v>30.85</v>
      </c>
      <c r="E2800" t="s">
        <v>9</v>
      </c>
      <c r="F2800">
        <v>39.1</v>
      </c>
      <c r="G2800" t="s">
        <v>16</v>
      </c>
      <c r="H2800" t="s">
        <v>11</v>
      </c>
    </row>
    <row r="2801" spans="1:8" x14ac:dyDescent="0.25">
      <c r="A2801" s="1">
        <v>45669.625</v>
      </c>
      <c r="B2801" t="s">
        <v>24</v>
      </c>
      <c r="C2801">
        <v>344.27</v>
      </c>
      <c r="D2801">
        <v>57.33</v>
      </c>
      <c r="E2801" t="s">
        <v>9</v>
      </c>
      <c r="F2801">
        <v>65.78</v>
      </c>
      <c r="G2801" t="s">
        <v>16</v>
      </c>
      <c r="H2801" t="s">
        <v>13</v>
      </c>
    </row>
    <row r="2802" spans="1:8" x14ac:dyDescent="0.25">
      <c r="A2802" s="1">
        <v>45669.666666666664</v>
      </c>
      <c r="B2802" t="s">
        <v>24</v>
      </c>
      <c r="C2802">
        <v>363.79</v>
      </c>
      <c r="D2802">
        <v>62.37</v>
      </c>
      <c r="E2802" t="s">
        <v>9</v>
      </c>
      <c r="F2802">
        <v>59.34</v>
      </c>
      <c r="G2802" t="s">
        <v>16</v>
      </c>
      <c r="H2802" t="s">
        <v>12</v>
      </c>
    </row>
    <row r="2803" spans="1:8" x14ac:dyDescent="0.25">
      <c r="A2803" s="1">
        <v>45669.708333333336</v>
      </c>
      <c r="B2803" t="s">
        <v>24</v>
      </c>
      <c r="C2803">
        <v>385.74</v>
      </c>
      <c r="D2803">
        <v>68.319999999999993</v>
      </c>
      <c r="E2803" t="s">
        <v>9</v>
      </c>
      <c r="F2803">
        <v>68.62</v>
      </c>
      <c r="G2803" t="s">
        <v>16</v>
      </c>
      <c r="H2803" t="s">
        <v>12</v>
      </c>
    </row>
    <row r="2804" spans="1:8" x14ac:dyDescent="0.25">
      <c r="A2804" s="1">
        <v>45669.75</v>
      </c>
      <c r="B2804" t="s">
        <v>24</v>
      </c>
      <c r="C2804">
        <v>60.06</v>
      </c>
      <c r="D2804">
        <v>79.5</v>
      </c>
      <c r="E2804" t="s">
        <v>9</v>
      </c>
      <c r="F2804">
        <v>59.47</v>
      </c>
      <c r="G2804" t="s">
        <v>16</v>
      </c>
      <c r="H2804" t="s">
        <v>11</v>
      </c>
    </row>
    <row r="2805" spans="1:8" x14ac:dyDescent="0.25">
      <c r="A2805" s="1">
        <v>45669.791666666664</v>
      </c>
      <c r="B2805" t="s">
        <v>24</v>
      </c>
      <c r="C2805">
        <v>395</v>
      </c>
      <c r="D2805">
        <v>90.05</v>
      </c>
      <c r="E2805" t="s">
        <v>14</v>
      </c>
      <c r="F2805">
        <v>55.64</v>
      </c>
      <c r="G2805" t="s">
        <v>16</v>
      </c>
      <c r="H2805" t="s">
        <v>12</v>
      </c>
    </row>
    <row r="2806" spans="1:8" x14ac:dyDescent="0.25">
      <c r="A2806" s="1">
        <v>45669.833333333336</v>
      </c>
      <c r="B2806" t="s">
        <v>24</v>
      </c>
      <c r="C2806">
        <v>463.43</v>
      </c>
      <c r="D2806">
        <v>86.63</v>
      </c>
      <c r="E2806" t="s">
        <v>14</v>
      </c>
      <c r="F2806">
        <v>85.2</v>
      </c>
      <c r="G2806" t="s">
        <v>16</v>
      </c>
      <c r="H2806" t="s">
        <v>11</v>
      </c>
    </row>
    <row r="2807" spans="1:8" x14ac:dyDescent="0.25">
      <c r="A2807" s="1">
        <v>45669.875</v>
      </c>
      <c r="B2807" t="s">
        <v>24</v>
      </c>
      <c r="C2807">
        <v>287.25</v>
      </c>
      <c r="D2807">
        <v>31.77</v>
      </c>
      <c r="E2807" t="s">
        <v>9</v>
      </c>
      <c r="F2807">
        <v>77.88</v>
      </c>
      <c r="G2807" t="s">
        <v>16</v>
      </c>
      <c r="H2807" t="s">
        <v>13</v>
      </c>
    </row>
    <row r="2808" spans="1:8" x14ac:dyDescent="0.25">
      <c r="A2808" s="1">
        <v>45669.916666666664</v>
      </c>
      <c r="B2808" t="s">
        <v>24</v>
      </c>
      <c r="C2808">
        <v>467.98</v>
      </c>
      <c r="D2808">
        <v>61.9</v>
      </c>
      <c r="E2808" t="s">
        <v>9</v>
      </c>
      <c r="F2808">
        <v>37.270000000000003</v>
      </c>
      <c r="G2808" t="s">
        <v>16</v>
      </c>
      <c r="H2808" t="s">
        <v>12</v>
      </c>
    </row>
    <row r="2809" spans="1:8" x14ac:dyDescent="0.25">
      <c r="A2809" s="1">
        <v>45669.958333333336</v>
      </c>
      <c r="B2809" t="s">
        <v>24</v>
      </c>
      <c r="C2809">
        <v>194.82</v>
      </c>
      <c r="D2809">
        <v>26.49</v>
      </c>
      <c r="E2809" t="s">
        <v>9</v>
      </c>
      <c r="F2809">
        <v>57.19</v>
      </c>
      <c r="G2809" t="s">
        <v>16</v>
      </c>
      <c r="H2809" t="s">
        <v>12</v>
      </c>
    </row>
    <row r="2810" spans="1:8" x14ac:dyDescent="0.25">
      <c r="A2810" s="1">
        <v>45670</v>
      </c>
      <c r="B2810" t="s">
        <v>24</v>
      </c>
      <c r="C2810">
        <v>306.75</v>
      </c>
      <c r="D2810">
        <v>85.15</v>
      </c>
      <c r="E2810" t="s">
        <v>14</v>
      </c>
      <c r="F2810">
        <v>41.75</v>
      </c>
      <c r="G2810" t="s">
        <v>16</v>
      </c>
      <c r="H2810" t="s">
        <v>13</v>
      </c>
    </row>
    <row r="2811" spans="1:8" x14ac:dyDescent="0.25">
      <c r="A2811" s="1">
        <v>45670.041666666664</v>
      </c>
      <c r="B2811" t="s">
        <v>24</v>
      </c>
      <c r="C2811">
        <v>481.86</v>
      </c>
      <c r="D2811">
        <v>22.1</v>
      </c>
      <c r="E2811" t="s">
        <v>9</v>
      </c>
      <c r="F2811">
        <v>58.94</v>
      </c>
      <c r="G2811" t="s">
        <v>16</v>
      </c>
      <c r="H2811" t="s">
        <v>13</v>
      </c>
    </row>
    <row r="2812" spans="1:8" x14ac:dyDescent="0.25">
      <c r="A2812" s="1">
        <v>45670.083333333336</v>
      </c>
      <c r="B2812" t="s">
        <v>24</v>
      </c>
      <c r="C2812">
        <v>274.8</v>
      </c>
      <c r="D2812">
        <v>34.43</v>
      </c>
      <c r="E2812" t="s">
        <v>9</v>
      </c>
      <c r="F2812">
        <v>84.66</v>
      </c>
      <c r="G2812" t="s">
        <v>16</v>
      </c>
      <c r="H2812" t="s">
        <v>11</v>
      </c>
    </row>
    <row r="2813" spans="1:8" x14ac:dyDescent="0.25">
      <c r="A2813" s="1">
        <v>45670.125</v>
      </c>
      <c r="B2813" t="s">
        <v>24</v>
      </c>
      <c r="C2813">
        <v>142.87</v>
      </c>
      <c r="D2813">
        <v>58.62</v>
      </c>
      <c r="E2813" t="s">
        <v>9</v>
      </c>
      <c r="F2813">
        <v>36.64</v>
      </c>
      <c r="G2813" t="s">
        <v>16</v>
      </c>
      <c r="H2813" t="s">
        <v>11</v>
      </c>
    </row>
    <row r="2814" spans="1:8" x14ac:dyDescent="0.25">
      <c r="A2814" s="1">
        <v>45670.166666666664</v>
      </c>
      <c r="B2814" t="s">
        <v>24</v>
      </c>
      <c r="C2814">
        <v>143.55000000000001</v>
      </c>
      <c r="D2814">
        <v>46.13</v>
      </c>
      <c r="E2814" t="s">
        <v>9</v>
      </c>
      <c r="F2814">
        <v>36.67</v>
      </c>
      <c r="G2814" t="s">
        <v>16</v>
      </c>
      <c r="H2814" t="s">
        <v>12</v>
      </c>
    </row>
    <row r="2815" spans="1:8" x14ac:dyDescent="0.25">
      <c r="A2815" s="1">
        <v>45670.208333333336</v>
      </c>
      <c r="B2815" t="s">
        <v>24</v>
      </c>
      <c r="C2815">
        <v>323.95999999999998</v>
      </c>
      <c r="D2815">
        <v>19.309999999999999</v>
      </c>
      <c r="E2815" t="s">
        <v>9</v>
      </c>
      <c r="F2815">
        <v>52.82</v>
      </c>
      <c r="G2815" t="s">
        <v>16</v>
      </c>
      <c r="H2815" t="s">
        <v>12</v>
      </c>
    </row>
    <row r="2816" spans="1:8" x14ac:dyDescent="0.25">
      <c r="A2816" s="1">
        <v>45670.25</v>
      </c>
      <c r="B2816" t="s">
        <v>24</v>
      </c>
      <c r="C2816">
        <v>347.17</v>
      </c>
      <c r="D2816">
        <v>23.25</v>
      </c>
      <c r="E2816" t="s">
        <v>9</v>
      </c>
      <c r="F2816">
        <v>47.46</v>
      </c>
      <c r="G2816" t="s">
        <v>16</v>
      </c>
      <c r="H2816" t="s">
        <v>11</v>
      </c>
    </row>
    <row r="2817" spans="1:8" x14ac:dyDescent="0.25">
      <c r="A2817" s="1">
        <v>45670.291666666664</v>
      </c>
      <c r="B2817" t="s">
        <v>24</v>
      </c>
      <c r="C2817">
        <v>429.34</v>
      </c>
      <c r="D2817">
        <v>74.5</v>
      </c>
      <c r="E2817" t="s">
        <v>9</v>
      </c>
      <c r="F2817">
        <v>42.09</v>
      </c>
      <c r="G2817" t="s">
        <v>16</v>
      </c>
      <c r="H2817" t="s">
        <v>13</v>
      </c>
    </row>
    <row r="2818" spans="1:8" x14ac:dyDescent="0.25">
      <c r="A2818" s="1">
        <v>45670.333333333336</v>
      </c>
      <c r="B2818" t="s">
        <v>24</v>
      </c>
      <c r="C2818">
        <v>411.78</v>
      </c>
      <c r="D2818">
        <v>23.11</v>
      </c>
      <c r="E2818" t="s">
        <v>9</v>
      </c>
      <c r="F2818">
        <v>35.07</v>
      </c>
      <c r="G2818" t="s">
        <v>16</v>
      </c>
      <c r="H2818" t="s">
        <v>13</v>
      </c>
    </row>
    <row r="2819" spans="1:8" x14ac:dyDescent="0.25">
      <c r="A2819" s="1">
        <v>45670.375</v>
      </c>
      <c r="B2819" t="s">
        <v>24</v>
      </c>
      <c r="C2819">
        <v>144.52000000000001</v>
      </c>
      <c r="D2819">
        <v>77.5</v>
      </c>
      <c r="E2819" t="s">
        <v>9</v>
      </c>
      <c r="F2819">
        <v>71.150000000000006</v>
      </c>
      <c r="G2819" t="s">
        <v>16</v>
      </c>
      <c r="H2819" t="s">
        <v>11</v>
      </c>
    </row>
    <row r="2820" spans="1:8" x14ac:dyDescent="0.25">
      <c r="A2820" s="1">
        <v>45670.416666666664</v>
      </c>
      <c r="B2820" t="s">
        <v>24</v>
      </c>
      <c r="C2820">
        <v>264.63</v>
      </c>
      <c r="D2820">
        <v>93.97</v>
      </c>
      <c r="E2820" t="s">
        <v>14</v>
      </c>
      <c r="F2820">
        <v>73.05</v>
      </c>
      <c r="G2820" t="s">
        <v>16</v>
      </c>
      <c r="H2820" t="s">
        <v>11</v>
      </c>
    </row>
    <row r="2821" spans="1:8" x14ac:dyDescent="0.25">
      <c r="A2821" s="1">
        <v>45670.458333333336</v>
      </c>
      <c r="B2821" t="s">
        <v>24</v>
      </c>
      <c r="C2821">
        <v>171.5</v>
      </c>
      <c r="D2821">
        <v>42.57</v>
      </c>
      <c r="E2821" t="s">
        <v>9</v>
      </c>
      <c r="F2821">
        <v>82.3</v>
      </c>
      <c r="G2821" t="s">
        <v>16</v>
      </c>
      <c r="H2821" t="s">
        <v>11</v>
      </c>
    </row>
    <row r="2822" spans="1:8" x14ac:dyDescent="0.25">
      <c r="A2822" s="1">
        <v>45670.5</v>
      </c>
      <c r="B2822" t="s">
        <v>24</v>
      </c>
      <c r="C2822">
        <v>292.14999999999998</v>
      </c>
      <c r="D2822">
        <v>50.86</v>
      </c>
      <c r="E2822" t="s">
        <v>9</v>
      </c>
      <c r="F2822">
        <v>57.73</v>
      </c>
      <c r="G2822" t="s">
        <v>16</v>
      </c>
      <c r="H2822" t="s">
        <v>13</v>
      </c>
    </row>
    <row r="2823" spans="1:8" x14ac:dyDescent="0.25">
      <c r="A2823" s="1">
        <v>45670.541666666664</v>
      </c>
      <c r="B2823" t="s">
        <v>24</v>
      </c>
      <c r="C2823">
        <v>245.88</v>
      </c>
      <c r="D2823">
        <v>48.67</v>
      </c>
      <c r="E2823" t="s">
        <v>9</v>
      </c>
      <c r="F2823">
        <v>80.56</v>
      </c>
      <c r="G2823" t="s">
        <v>16</v>
      </c>
      <c r="H2823" t="s">
        <v>13</v>
      </c>
    </row>
    <row r="2824" spans="1:8" x14ac:dyDescent="0.25">
      <c r="A2824" s="1">
        <v>45670.583333333336</v>
      </c>
      <c r="B2824" t="s">
        <v>24</v>
      </c>
      <c r="C2824">
        <v>270.60000000000002</v>
      </c>
      <c r="D2824">
        <v>82.2</v>
      </c>
      <c r="E2824" t="s">
        <v>9</v>
      </c>
      <c r="F2824">
        <v>58.52</v>
      </c>
      <c r="G2824" t="s">
        <v>16</v>
      </c>
      <c r="H2824" t="s">
        <v>11</v>
      </c>
    </row>
    <row r="2825" spans="1:8" x14ac:dyDescent="0.25">
      <c r="A2825" s="1">
        <v>45670.625</v>
      </c>
      <c r="B2825" t="s">
        <v>24</v>
      </c>
      <c r="C2825">
        <v>323.93</v>
      </c>
      <c r="D2825">
        <v>84.97</v>
      </c>
      <c r="E2825" t="s">
        <v>9</v>
      </c>
      <c r="F2825">
        <v>83.03</v>
      </c>
      <c r="G2825" t="s">
        <v>16</v>
      </c>
      <c r="H2825" t="s">
        <v>11</v>
      </c>
    </row>
    <row r="2826" spans="1:8" x14ac:dyDescent="0.25">
      <c r="A2826" s="1">
        <v>45670.666666666664</v>
      </c>
      <c r="B2826" t="s">
        <v>24</v>
      </c>
      <c r="C2826">
        <v>242.76</v>
      </c>
      <c r="D2826">
        <v>51.64</v>
      </c>
      <c r="E2826" t="s">
        <v>9</v>
      </c>
      <c r="F2826">
        <v>88.66</v>
      </c>
      <c r="G2826" t="s">
        <v>16</v>
      </c>
      <c r="H2826" t="s">
        <v>11</v>
      </c>
    </row>
    <row r="2827" spans="1:8" x14ac:dyDescent="0.25">
      <c r="A2827" s="1">
        <v>45670.708333333336</v>
      </c>
      <c r="B2827" t="s">
        <v>24</v>
      </c>
      <c r="C2827">
        <v>137.47</v>
      </c>
      <c r="D2827">
        <v>83.75</v>
      </c>
      <c r="E2827" t="s">
        <v>9</v>
      </c>
      <c r="F2827">
        <v>45.21</v>
      </c>
      <c r="G2827" t="s">
        <v>16</v>
      </c>
      <c r="H2827" t="s">
        <v>13</v>
      </c>
    </row>
    <row r="2828" spans="1:8" x14ac:dyDescent="0.25">
      <c r="A2828" s="1">
        <v>45670.75</v>
      </c>
      <c r="B2828" t="s">
        <v>24</v>
      </c>
      <c r="C2828">
        <v>124.5</v>
      </c>
      <c r="D2828">
        <v>46.8</v>
      </c>
      <c r="E2828" t="s">
        <v>9</v>
      </c>
      <c r="F2828">
        <v>83.96</v>
      </c>
      <c r="G2828" t="s">
        <v>16</v>
      </c>
      <c r="H2828" t="s">
        <v>11</v>
      </c>
    </row>
    <row r="2829" spans="1:8" x14ac:dyDescent="0.25">
      <c r="A2829" s="1">
        <v>45670.791666666664</v>
      </c>
      <c r="B2829" t="s">
        <v>24</v>
      </c>
      <c r="C2829">
        <v>142.03</v>
      </c>
      <c r="D2829">
        <v>47.68</v>
      </c>
      <c r="E2829" t="s">
        <v>9</v>
      </c>
      <c r="F2829">
        <v>62.44</v>
      </c>
      <c r="G2829" t="s">
        <v>16</v>
      </c>
      <c r="H2829" t="s">
        <v>12</v>
      </c>
    </row>
    <row r="2830" spans="1:8" x14ac:dyDescent="0.25">
      <c r="A2830" s="1">
        <v>45670.833333333336</v>
      </c>
      <c r="B2830" t="s">
        <v>24</v>
      </c>
      <c r="C2830">
        <v>414.16</v>
      </c>
      <c r="D2830">
        <v>80.47</v>
      </c>
      <c r="E2830" t="s">
        <v>9</v>
      </c>
      <c r="F2830">
        <v>41.71</v>
      </c>
      <c r="G2830" t="s">
        <v>16</v>
      </c>
      <c r="H2830" t="s">
        <v>11</v>
      </c>
    </row>
    <row r="2831" spans="1:8" x14ac:dyDescent="0.25">
      <c r="A2831" s="1">
        <v>45670.875</v>
      </c>
      <c r="B2831" t="s">
        <v>24</v>
      </c>
      <c r="C2831">
        <v>61.71</v>
      </c>
      <c r="D2831">
        <v>33.21</v>
      </c>
      <c r="E2831" t="s">
        <v>9</v>
      </c>
      <c r="F2831">
        <v>76.45</v>
      </c>
      <c r="G2831" t="s">
        <v>16</v>
      </c>
      <c r="H2831" t="s">
        <v>12</v>
      </c>
    </row>
    <row r="2832" spans="1:8" x14ac:dyDescent="0.25">
      <c r="A2832" s="1">
        <v>45670.916666666664</v>
      </c>
      <c r="B2832" t="s">
        <v>24</v>
      </c>
      <c r="C2832">
        <v>139.66</v>
      </c>
      <c r="D2832">
        <v>30.31</v>
      </c>
      <c r="E2832" t="s">
        <v>9</v>
      </c>
      <c r="F2832">
        <v>32.520000000000003</v>
      </c>
      <c r="G2832" t="s">
        <v>16</v>
      </c>
      <c r="H2832" t="s">
        <v>12</v>
      </c>
    </row>
    <row r="2833" spans="1:8" x14ac:dyDescent="0.25">
      <c r="A2833" s="1">
        <v>45670.958333333336</v>
      </c>
      <c r="B2833" t="s">
        <v>24</v>
      </c>
      <c r="C2833">
        <v>492.42</v>
      </c>
      <c r="D2833">
        <v>33.840000000000003</v>
      </c>
      <c r="E2833" t="s">
        <v>9</v>
      </c>
      <c r="F2833">
        <v>52.58</v>
      </c>
      <c r="G2833" t="s">
        <v>16</v>
      </c>
      <c r="H2833" t="s">
        <v>11</v>
      </c>
    </row>
    <row r="2834" spans="1:8" x14ac:dyDescent="0.25">
      <c r="A2834" s="1">
        <v>45671</v>
      </c>
      <c r="B2834" t="s">
        <v>24</v>
      </c>
      <c r="C2834">
        <v>181.39</v>
      </c>
      <c r="D2834">
        <v>62.38</v>
      </c>
      <c r="E2834" t="s">
        <v>9</v>
      </c>
      <c r="F2834">
        <v>73.040000000000006</v>
      </c>
      <c r="G2834" t="s">
        <v>16</v>
      </c>
      <c r="H2834" t="s">
        <v>11</v>
      </c>
    </row>
    <row r="2835" spans="1:8" x14ac:dyDescent="0.25">
      <c r="A2835" s="1">
        <v>45671.041666666664</v>
      </c>
      <c r="B2835" t="s">
        <v>24</v>
      </c>
      <c r="C2835">
        <v>362.7</v>
      </c>
      <c r="D2835">
        <v>80.22</v>
      </c>
      <c r="E2835" t="s">
        <v>9</v>
      </c>
      <c r="F2835">
        <v>62.65</v>
      </c>
      <c r="G2835" t="s">
        <v>16</v>
      </c>
      <c r="H2835" t="s">
        <v>13</v>
      </c>
    </row>
    <row r="2836" spans="1:8" x14ac:dyDescent="0.25">
      <c r="A2836" s="1">
        <v>45671.083333333336</v>
      </c>
      <c r="B2836" t="s">
        <v>24</v>
      </c>
      <c r="C2836">
        <v>330.03</v>
      </c>
      <c r="D2836">
        <v>51.44</v>
      </c>
      <c r="E2836" t="s">
        <v>9</v>
      </c>
      <c r="F2836">
        <v>86.14</v>
      </c>
      <c r="G2836" t="s">
        <v>16</v>
      </c>
      <c r="H2836" t="s">
        <v>12</v>
      </c>
    </row>
    <row r="2837" spans="1:8" x14ac:dyDescent="0.25">
      <c r="A2837" s="1">
        <v>45671.125</v>
      </c>
      <c r="B2837" t="s">
        <v>24</v>
      </c>
      <c r="C2837">
        <v>231.29</v>
      </c>
      <c r="D2837">
        <v>66.7</v>
      </c>
      <c r="E2837" t="s">
        <v>9</v>
      </c>
      <c r="F2837">
        <v>61.62</v>
      </c>
      <c r="G2837" t="s">
        <v>16</v>
      </c>
      <c r="H2837" t="s">
        <v>11</v>
      </c>
    </row>
    <row r="2838" spans="1:8" x14ac:dyDescent="0.25">
      <c r="A2838" s="1">
        <v>45671.166666666664</v>
      </c>
      <c r="B2838" t="s">
        <v>24</v>
      </c>
      <c r="C2838">
        <v>415.89</v>
      </c>
      <c r="D2838">
        <v>38.71</v>
      </c>
      <c r="E2838" t="s">
        <v>9</v>
      </c>
      <c r="F2838">
        <v>65.2</v>
      </c>
      <c r="G2838" t="s">
        <v>16</v>
      </c>
      <c r="H2838" t="s">
        <v>13</v>
      </c>
    </row>
    <row r="2839" spans="1:8" x14ac:dyDescent="0.25">
      <c r="A2839" s="1">
        <v>45671.208333333336</v>
      </c>
      <c r="B2839" t="s">
        <v>24</v>
      </c>
      <c r="C2839">
        <v>438.99</v>
      </c>
      <c r="D2839">
        <v>14.27</v>
      </c>
      <c r="E2839" t="s">
        <v>9</v>
      </c>
      <c r="F2839">
        <v>42.08</v>
      </c>
      <c r="G2839" t="s">
        <v>16</v>
      </c>
      <c r="H2839" t="s">
        <v>12</v>
      </c>
    </row>
    <row r="2840" spans="1:8" x14ac:dyDescent="0.25">
      <c r="A2840" s="1">
        <v>45671.25</v>
      </c>
      <c r="B2840" t="s">
        <v>24</v>
      </c>
      <c r="C2840">
        <v>51.64</v>
      </c>
      <c r="D2840">
        <v>75.540000000000006</v>
      </c>
      <c r="E2840" t="s">
        <v>9</v>
      </c>
      <c r="F2840">
        <v>75.69</v>
      </c>
      <c r="G2840" t="s">
        <v>16</v>
      </c>
      <c r="H2840" t="s">
        <v>11</v>
      </c>
    </row>
    <row r="2841" spans="1:8" x14ac:dyDescent="0.25">
      <c r="A2841" s="1">
        <v>45671.291666666664</v>
      </c>
      <c r="B2841" t="s">
        <v>24</v>
      </c>
      <c r="C2841">
        <v>468.51</v>
      </c>
      <c r="D2841">
        <v>23.56</v>
      </c>
      <c r="E2841" t="s">
        <v>9</v>
      </c>
      <c r="F2841">
        <v>43.92</v>
      </c>
      <c r="G2841" t="s">
        <v>16</v>
      </c>
      <c r="H2841" t="s">
        <v>12</v>
      </c>
    </row>
    <row r="2842" spans="1:8" x14ac:dyDescent="0.25">
      <c r="A2842" s="1">
        <v>45671.333333333336</v>
      </c>
      <c r="B2842" t="s">
        <v>24</v>
      </c>
      <c r="C2842">
        <v>297.3</v>
      </c>
      <c r="D2842">
        <v>77.540000000000006</v>
      </c>
      <c r="E2842" t="s">
        <v>9</v>
      </c>
      <c r="F2842">
        <v>46.15</v>
      </c>
      <c r="G2842" t="s">
        <v>16</v>
      </c>
      <c r="H2842" t="s">
        <v>13</v>
      </c>
    </row>
    <row r="2843" spans="1:8" x14ac:dyDescent="0.25">
      <c r="A2843" s="1">
        <v>45671.375</v>
      </c>
      <c r="B2843" t="s">
        <v>24</v>
      </c>
      <c r="C2843">
        <v>180.94</v>
      </c>
      <c r="D2843">
        <v>61.52</v>
      </c>
      <c r="E2843" t="s">
        <v>9</v>
      </c>
      <c r="F2843">
        <v>66.3</v>
      </c>
      <c r="G2843" t="s">
        <v>16</v>
      </c>
      <c r="H2843" t="s">
        <v>13</v>
      </c>
    </row>
    <row r="2844" spans="1:8" x14ac:dyDescent="0.25">
      <c r="A2844" s="1">
        <v>45671.416666666664</v>
      </c>
      <c r="B2844" t="s">
        <v>24</v>
      </c>
      <c r="C2844">
        <v>368.39</v>
      </c>
      <c r="D2844">
        <v>64.36</v>
      </c>
      <c r="E2844" t="s">
        <v>9</v>
      </c>
      <c r="F2844">
        <v>59.76</v>
      </c>
      <c r="G2844" t="s">
        <v>16</v>
      </c>
      <c r="H2844" t="s">
        <v>12</v>
      </c>
    </row>
    <row r="2845" spans="1:8" x14ac:dyDescent="0.25">
      <c r="A2845" s="1">
        <v>45671.458333333336</v>
      </c>
      <c r="B2845" t="s">
        <v>24</v>
      </c>
      <c r="C2845">
        <v>363.88</v>
      </c>
      <c r="D2845">
        <v>19.899999999999999</v>
      </c>
      <c r="E2845" t="s">
        <v>9</v>
      </c>
      <c r="F2845">
        <v>86.32</v>
      </c>
      <c r="G2845" t="s">
        <v>16</v>
      </c>
      <c r="H2845" t="s">
        <v>13</v>
      </c>
    </row>
    <row r="2846" spans="1:8" x14ac:dyDescent="0.25">
      <c r="A2846" s="1">
        <v>45671.5</v>
      </c>
      <c r="B2846" t="s">
        <v>24</v>
      </c>
      <c r="C2846">
        <v>472.29</v>
      </c>
      <c r="D2846">
        <v>22.69</v>
      </c>
      <c r="E2846" t="s">
        <v>9</v>
      </c>
      <c r="F2846">
        <v>86.99</v>
      </c>
      <c r="G2846" t="s">
        <v>16</v>
      </c>
      <c r="H2846" t="s">
        <v>13</v>
      </c>
    </row>
    <row r="2847" spans="1:8" x14ac:dyDescent="0.25">
      <c r="A2847" s="1">
        <v>45671.541666666664</v>
      </c>
      <c r="B2847" t="s">
        <v>24</v>
      </c>
      <c r="C2847">
        <v>315.08</v>
      </c>
      <c r="D2847">
        <v>58.53</v>
      </c>
      <c r="E2847" t="s">
        <v>9</v>
      </c>
      <c r="F2847">
        <v>34.69</v>
      </c>
      <c r="G2847" t="s">
        <v>16</v>
      </c>
      <c r="H2847" t="s">
        <v>11</v>
      </c>
    </row>
    <row r="2848" spans="1:8" x14ac:dyDescent="0.25">
      <c r="A2848" s="1">
        <v>45671.583333333336</v>
      </c>
      <c r="B2848" t="s">
        <v>24</v>
      </c>
      <c r="C2848">
        <v>65.650000000000006</v>
      </c>
      <c r="D2848">
        <v>78.239999999999995</v>
      </c>
      <c r="E2848" t="s">
        <v>9</v>
      </c>
      <c r="F2848">
        <v>65.75</v>
      </c>
      <c r="G2848" t="s">
        <v>16</v>
      </c>
      <c r="H2848" t="s">
        <v>11</v>
      </c>
    </row>
    <row r="2849" spans="1:8" x14ac:dyDescent="0.25">
      <c r="A2849" s="1">
        <v>45671.625</v>
      </c>
      <c r="B2849" t="s">
        <v>24</v>
      </c>
      <c r="C2849">
        <v>343.95</v>
      </c>
      <c r="D2849">
        <v>27.9</v>
      </c>
      <c r="E2849" t="s">
        <v>9</v>
      </c>
      <c r="F2849">
        <v>85.87</v>
      </c>
      <c r="G2849" t="s">
        <v>16</v>
      </c>
      <c r="H2849" t="s">
        <v>12</v>
      </c>
    </row>
    <row r="2850" spans="1:8" x14ac:dyDescent="0.25">
      <c r="A2850" s="1">
        <v>45671.666666666664</v>
      </c>
      <c r="B2850" t="s">
        <v>24</v>
      </c>
      <c r="C2850">
        <v>230.79</v>
      </c>
      <c r="D2850">
        <v>19.739999999999998</v>
      </c>
      <c r="E2850" t="s">
        <v>9</v>
      </c>
      <c r="F2850">
        <v>76.05</v>
      </c>
      <c r="G2850" t="s">
        <v>16</v>
      </c>
      <c r="H2850" t="s">
        <v>11</v>
      </c>
    </row>
    <row r="2851" spans="1:8" x14ac:dyDescent="0.25">
      <c r="A2851" s="1">
        <v>45671.708333333336</v>
      </c>
      <c r="B2851" t="s">
        <v>24</v>
      </c>
      <c r="C2851">
        <v>291.98</v>
      </c>
      <c r="D2851">
        <v>83.43</v>
      </c>
      <c r="E2851" t="s">
        <v>9</v>
      </c>
      <c r="F2851">
        <v>46.26</v>
      </c>
      <c r="G2851" t="s">
        <v>16</v>
      </c>
      <c r="H2851" t="s">
        <v>11</v>
      </c>
    </row>
    <row r="2852" spans="1:8" x14ac:dyDescent="0.25">
      <c r="A2852" s="1">
        <v>45671.75</v>
      </c>
      <c r="B2852" t="s">
        <v>24</v>
      </c>
      <c r="C2852">
        <v>308.56</v>
      </c>
      <c r="D2852">
        <v>17.920000000000002</v>
      </c>
      <c r="E2852" t="s">
        <v>9</v>
      </c>
      <c r="F2852">
        <v>54.32</v>
      </c>
      <c r="G2852" t="s">
        <v>16</v>
      </c>
      <c r="H2852" t="s">
        <v>13</v>
      </c>
    </row>
    <row r="2853" spans="1:8" x14ac:dyDescent="0.25">
      <c r="A2853" s="1">
        <v>45671.791666666664</v>
      </c>
      <c r="B2853" t="s">
        <v>24</v>
      </c>
      <c r="C2853">
        <v>402.93</v>
      </c>
      <c r="D2853">
        <v>88.74</v>
      </c>
      <c r="E2853" t="s">
        <v>14</v>
      </c>
      <c r="F2853">
        <v>52.57</v>
      </c>
      <c r="G2853" t="s">
        <v>16</v>
      </c>
      <c r="H2853" t="s">
        <v>11</v>
      </c>
    </row>
    <row r="2854" spans="1:8" x14ac:dyDescent="0.25">
      <c r="A2854" s="1">
        <v>45671.833333333336</v>
      </c>
      <c r="B2854" t="s">
        <v>24</v>
      </c>
      <c r="C2854">
        <v>320.13</v>
      </c>
      <c r="D2854">
        <v>60.24</v>
      </c>
      <c r="E2854" t="s">
        <v>9</v>
      </c>
      <c r="F2854">
        <v>32.340000000000003</v>
      </c>
      <c r="G2854" t="s">
        <v>16</v>
      </c>
      <c r="H2854" t="s">
        <v>12</v>
      </c>
    </row>
    <row r="2855" spans="1:8" x14ac:dyDescent="0.25">
      <c r="A2855" s="1">
        <v>45671.875</v>
      </c>
      <c r="B2855" t="s">
        <v>24</v>
      </c>
      <c r="C2855">
        <v>477.13</v>
      </c>
      <c r="D2855">
        <v>42.24</v>
      </c>
      <c r="E2855" t="s">
        <v>9</v>
      </c>
      <c r="F2855">
        <v>40.78</v>
      </c>
      <c r="G2855" t="s">
        <v>16</v>
      </c>
      <c r="H2855" t="s">
        <v>13</v>
      </c>
    </row>
    <row r="2856" spans="1:8" x14ac:dyDescent="0.25">
      <c r="A2856" s="1">
        <v>45671.916666666664</v>
      </c>
      <c r="B2856" t="s">
        <v>24</v>
      </c>
      <c r="C2856">
        <v>463.01</v>
      </c>
      <c r="D2856">
        <v>68</v>
      </c>
      <c r="E2856" t="s">
        <v>9</v>
      </c>
      <c r="F2856">
        <v>58.29</v>
      </c>
      <c r="G2856" t="s">
        <v>16</v>
      </c>
      <c r="H2856" t="s">
        <v>11</v>
      </c>
    </row>
    <row r="2857" spans="1:8" x14ac:dyDescent="0.25">
      <c r="A2857" s="1">
        <v>45671.958333333336</v>
      </c>
      <c r="B2857" t="s">
        <v>24</v>
      </c>
      <c r="C2857">
        <v>115.8</v>
      </c>
      <c r="D2857">
        <v>81.790000000000006</v>
      </c>
      <c r="E2857" t="s">
        <v>9</v>
      </c>
      <c r="F2857">
        <v>55.54</v>
      </c>
      <c r="G2857" t="s">
        <v>16</v>
      </c>
      <c r="H2857" t="s">
        <v>12</v>
      </c>
    </row>
    <row r="2858" spans="1:8" x14ac:dyDescent="0.25">
      <c r="A2858" s="1">
        <v>45672</v>
      </c>
      <c r="B2858" t="s">
        <v>24</v>
      </c>
      <c r="C2858">
        <v>67.06</v>
      </c>
      <c r="D2858">
        <v>51.01</v>
      </c>
      <c r="E2858" t="s">
        <v>9</v>
      </c>
      <c r="F2858">
        <v>79.55</v>
      </c>
      <c r="G2858" t="s">
        <v>16</v>
      </c>
      <c r="H2858" t="s">
        <v>11</v>
      </c>
    </row>
    <row r="2859" spans="1:8" x14ac:dyDescent="0.25">
      <c r="A2859" s="1">
        <v>45672.041666666664</v>
      </c>
      <c r="B2859" t="s">
        <v>24</v>
      </c>
      <c r="C2859">
        <v>349.42</v>
      </c>
      <c r="D2859">
        <v>91.98</v>
      </c>
      <c r="E2859" t="s">
        <v>14</v>
      </c>
      <c r="F2859">
        <v>39.19</v>
      </c>
      <c r="G2859" t="s">
        <v>16</v>
      </c>
      <c r="H2859" t="s">
        <v>11</v>
      </c>
    </row>
    <row r="2860" spans="1:8" x14ac:dyDescent="0.25">
      <c r="A2860" s="1">
        <v>45672.083333333336</v>
      </c>
      <c r="B2860" t="s">
        <v>24</v>
      </c>
      <c r="C2860">
        <v>344.6</v>
      </c>
      <c r="D2860">
        <v>50.79</v>
      </c>
      <c r="E2860" t="s">
        <v>9</v>
      </c>
      <c r="F2860">
        <v>83.29</v>
      </c>
      <c r="G2860" t="s">
        <v>16</v>
      </c>
      <c r="H2860" t="s">
        <v>12</v>
      </c>
    </row>
    <row r="2861" spans="1:8" x14ac:dyDescent="0.25">
      <c r="A2861" s="1">
        <v>45672.125</v>
      </c>
      <c r="B2861" t="s">
        <v>24</v>
      </c>
      <c r="C2861">
        <v>98.15</v>
      </c>
      <c r="D2861">
        <v>37.71</v>
      </c>
      <c r="E2861" t="s">
        <v>9</v>
      </c>
      <c r="F2861">
        <v>63.11</v>
      </c>
      <c r="G2861" t="s">
        <v>16</v>
      </c>
      <c r="H2861" t="s">
        <v>13</v>
      </c>
    </row>
    <row r="2862" spans="1:8" x14ac:dyDescent="0.25">
      <c r="A2862" s="1">
        <v>45672.166666666664</v>
      </c>
      <c r="B2862" t="s">
        <v>24</v>
      </c>
      <c r="C2862">
        <v>453.38</v>
      </c>
      <c r="D2862">
        <v>50.32</v>
      </c>
      <c r="E2862" t="s">
        <v>9</v>
      </c>
      <c r="F2862">
        <v>69.41</v>
      </c>
      <c r="G2862" t="s">
        <v>16</v>
      </c>
      <c r="H2862" t="s">
        <v>11</v>
      </c>
    </row>
    <row r="2863" spans="1:8" x14ac:dyDescent="0.25">
      <c r="A2863" s="1">
        <v>45672.208333333336</v>
      </c>
      <c r="B2863" t="s">
        <v>24</v>
      </c>
      <c r="C2863">
        <v>297.83999999999997</v>
      </c>
      <c r="D2863">
        <v>34.29</v>
      </c>
      <c r="E2863" t="s">
        <v>9</v>
      </c>
      <c r="F2863">
        <v>52.27</v>
      </c>
      <c r="G2863" t="s">
        <v>16</v>
      </c>
      <c r="H2863" t="s">
        <v>12</v>
      </c>
    </row>
    <row r="2864" spans="1:8" x14ac:dyDescent="0.25">
      <c r="A2864" s="1">
        <v>45672.25</v>
      </c>
      <c r="B2864" t="s">
        <v>24</v>
      </c>
      <c r="C2864">
        <v>71.52</v>
      </c>
      <c r="D2864">
        <v>72.16</v>
      </c>
      <c r="E2864" t="s">
        <v>9</v>
      </c>
      <c r="F2864">
        <v>84.65</v>
      </c>
      <c r="G2864" t="s">
        <v>16</v>
      </c>
      <c r="H2864" t="s">
        <v>12</v>
      </c>
    </row>
    <row r="2865" spans="1:8" x14ac:dyDescent="0.25">
      <c r="A2865" s="1">
        <v>45672.291666666664</v>
      </c>
      <c r="B2865" t="s">
        <v>24</v>
      </c>
      <c r="C2865">
        <v>341.45</v>
      </c>
      <c r="D2865">
        <v>88.27</v>
      </c>
      <c r="E2865" t="s">
        <v>14</v>
      </c>
      <c r="F2865">
        <v>68.56</v>
      </c>
      <c r="G2865" t="s">
        <v>16</v>
      </c>
      <c r="H2865" t="s">
        <v>13</v>
      </c>
    </row>
    <row r="2866" spans="1:8" x14ac:dyDescent="0.25">
      <c r="A2866" s="1">
        <v>45672.333333333336</v>
      </c>
      <c r="B2866" t="s">
        <v>24</v>
      </c>
      <c r="C2866">
        <v>474.2</v>
      </c>
      <c r="D2866">
        <v>55.49</v>
      </c>
      <c r="E2866" t="s">
        <v>9</v>
      </c>
      <c r="F2866">
        <v>36.76</v>
      </c>
      <c r="G2866" t="s">
        <v>16</v>
      </c>
      <c r="H2866" t="s">
        <v>13</v>
      </c>
    </row>
    <row r="2867" spans="1:8" x14ac:dyDescent="0.25">
      <c r="A2867" s="1">
        <v>45672.375</v>
      </c>
      <c r="B2867" t="s">
        <v>24</v>
      </c>
      <c r="C2867">
        <v>163.78</v>
      </c>
      <c r="D2867">
        <v>45.75</v>
      </c>
      <c r="E2867" t="s">
        <v>9</v>
      </c>
      <c r="F2867">
        <v>68.760000000000005</v>
      </c>
      <c r="G2867" t="s">
        <v>16</v>
      </c>
      <c r="H2867" t="s">
        <v>11</v>
      </c>
    </row>
    <row r="2868" spans="1:8" x14ac:dyDescent="0.25">
      <c r="A2868" s="1">
        <v>45672.416666666664</v>
      </c>
      <c r="B2868" t="s">
        <v>24</v>
      </c>
      <c r="C2868">
        <v>162.75</v>
      </c>
      <c r="D2868">
        <v>41.09</v>
      </c>
      <c r="E2868" t="s">
        <v>9</v>
      </c>
      <c r="F2868">
        <v>50.49</v>
      </c>
      <c r="G2868" t="s">
        <v>16</v>
      </c>
      <c r="H2868" t="s">
        <v>11</v>
      </c>
    </row>
    <row r="2869" spans="1:8" x14ac:dyDescent="0.25">
      <c r="A2869" s="1">
        <v>45672.458333333336</v>
      </c>
      <c r="B2869" t="s">
        <v>24</v>
      </c>
      <c r="C2869">
        <v>445.63</v>
      </c>
      <c r="D2869">
        <v>58.42</v>
      </c>
      <c r="E2869" t="s">
        <v>9</v>
      </c>
      <c r="F2869">
        <v>47.11</v>
      </c>
      <c r="G2869" t="s">
        <v>16</v>
      </c>
      <c r="H2869" t="s">
        <v>13</v>
      </c>
    </row>
    <row r="2870" spans="1:8" x14ac:dyDescent="0.25">
      <c r="A2870" s="1">
        <v>45672.5</v>
      </c>
      <c r="B2870" t="s">
        <v>24</v>
      </c>
      <c r="C2870">
        <v>414.96</v>
      </c>
      <c r="D2870">
        <v>26.73</v>
      </c>
      <c r="E2870" t="s">
        <v>9</v>
      </c>
      <c r="F2870">
        <v>42.63</v>
      </c>
      <c r="G2870" t="s">
        <v>16</v>
      </c>
      <c r="H2870" t="s">
        <v>12</v>
      </c>
    </row>
    <row r="2871" spans="1:8" x14ac:dyDescent="0.25">
      <c r="A2871" s="1">
        <v>45672.541666666664</v>
      </c>
      <c r="B2871" t="s">
        <v>24</v>
      </c>
      <c r="C2871">
        <v>441.66</v>
      </c>
      <c r="D2871">
        <v>70.39</v>
      </c>
      <c r="E2871" t="s">
        <v>9</v>
      </c>
      <c r="F2871">
        <v>44.69</v>
      </c>
      <c r="G2871" t="s">
        <v>16</v>
      </c>
      <c r="H2871" t="s">
        <v>11</v>
      </c>
    </row>
    <row r="2872" spans="1:8" x14ac:dyDescent="0.25">
      <c r="A2872" s="1">
        <v>45672.583333333336</v>
      </c>
      <c r="B2872" t="s">
        <v>24</v>
      </c>
      <c r="C2872">
        <v>328.62</v>
      </c>
      <c r="D2872">
        <v>80.489999999999995</v>
      </c>
      <c r="E2872" t="s">
        <v>9</v>
      </c>
      <c r="F2872">
        <v>40.69</v>
      </c>
      <c r="G2872" t="s">
        <v>16</v>
      </c>
      <c r="H2872" t="s">
        <v>12</v>
      </c>
    </row>
    <row r="2873" spans="1:8" x14ac:dyDescent="0.25">
      <c r="A2873" s="1">
        <v>45672.625</v>
      </c>
      <c r="B2873" t="s">
        <v>24</v>
      </c>
      <c r="C2873">
        <v>245.73</v>
      </c>
      <c r="D2873">
        <v>23.07</v>
      </c>
      <c r="E2873" t="s">
        <v>9</v>
      </c>
      <c r="F2873">
        <v>38.46</v>
      </c>
      <c r="G2873" t="s">
        <v>16</v>
      </c>
      <c r="H2873" t="s">
        <v>12</v>
      </c>
    </row>
    <row r="2874" spans="1:8" x14ac:dyDescent="0.25">
      <c r="A2874" s="1">
        <v>45672.666666666664</v>
      </c>
      <c r="B2874" t="s">
        <v>24</v>
      </c>
      <c r="C2874">
        <v>128.47</v>
      </c>
      <c r="D2874">
        <v>39.22</v>
      </c>
      <c r="E2874" t="s">
        <v>9</v>
      </c>
      <c r="F2874">
        <v>64.97</v>
      </c>
      <c r="G2874" t="s">
        <v>16</v>
      </c>
      <c r="H2874" t="s">
        <v>11</v>
      </c>
    </row>
    <row r="2875" spans="1:8" x14ac:dyDescent="0.25">
      <c r="A2875" s="1">
        <v>45672.708333333336</v>
      </c>
      <c r="B2875" t="s">
        <v>24</v>
      </c>
      <c r="C2875">
        <v>74.040000000000006</v>
      </c>
      <c r="D2875">
        <v>63.27</v>
      </c>
      <c r="E2875" t="s">
        <v>9</v>
      </c>
      <c r="F2875">
        <v>72.92</v>
      </c>
      <c r="G2875" t="s">
        <v>16</v>
      </c>
      <c r="H2875" t="s">
        <v>11</v>
      </c>
    </row>
    <row r="2876" spans="1:8" x14ac:dyDescent="0.25">
      <c r="A2876" s="1">
        <v>45672.75</v>
      </c>
      <c r="B2876" t="s">
        <v>24</v>
      </c>
      <c r="C2876">
        <v>376.95</v>
      </c>
      <c r="D2876">
        <v>71.599999999999994</v>
      </c>
      <c r="E2876" t="s">
        <v>9</v>
      </c>
      <c r="F2876">
        <v>52.92</v>
      </c>
      <c r="G2876" t="s">
        <v>16</v>
      </c>
      <c r="H2876" t="s">
        <v>11</v>
      </c>
    </row>
    <row r="2877" spans="1:8" x14ac:dyDescent="0.25">
      <c r="A2877" s="1">
        <v>45672.791666666664</v>
      </c>
      <c r="B2877" t="s">
        <v>24</v>
      </c>
      <c r="C2877">
        <v>79.19</v>
      </c>
      <c r="D2877">
        <v>29.57</v>
      </c>
      <c r="E2877" t="s">
        <v>9</v>
      </c>
      <c r="F2877">
        <v>34.11</v>
      </c>
      <c r="G2877" t="s">
        <v>16</v>
      </c>
      <c r="H2877" t="s">
        <v>13</v>
      </c>
    </row>
    <row r="2878" spans="1:8" x14ac:dyDescent="0.25">
      <c r="A2878" s="1">
        <v>45672.833333333336</v>
      </c>
      <c r="B2878" t="s">
        <v>24</v>
      </c>
      <c r="C2878">
        <v>342.57</v>
      </c>
      <c r="D2878">
        <v>83.8</v>
      </c>
      <c r="E2878" t="s">
        <v>9</v>
      </c>
      <c r="F2878">
        <v>37.92</v>
      </c>
      <c r="G2878" t="s">
        <v>16</v>
      </c>
      <c r="H2878" t="s">
        <v>12</v>
      </c>
    </row>
    <row r="2879" spans="1:8" x14ac:dyDescent="0.25">
      <c r="A2879" s="1">
        <v>45672.875</v>
      </c>
      <c r="B2879" t="s">
        <v>24</v>
      </c>
      <c r="C2879">
        <v>415.77</v>
      </c>
      <c r="D2879">
        <v>61.54</v>
      </c>
      <c r="E2879" t="s">
        <v>9</v>
      </c>
      <c r="F2879">
        <v>75.64</v>
      </c>
      <c r="G2879" t="s">
        <v>16</v>
      </c>
      <c r="H2879" t="s">
        <v>13</v>
      </c>
    </row>
    <row r="2880" spans="1:8" x14ac:dyDescent="0.25">
      <c r="A2880" s="1">
        <v>45672.916666666664</v>
      </c>
      <c r="B2880" t="s">
        <v>24</v>
      </c>
      <c r="C2880">
        <v>82.83</v>
      </c>
      <c r="D2880">
        <v>73.180000000000007</v>
      </c>
      <c r="E2880" t="s">
        <v>9</v>
      </c>
      <c r="F2880">
        <v>47.94</v>
      </c>
      <c r="G2880" t="s">
        <v>16</v>
      </c>
      <c r="H2880" t="s">
        <v>11</v>
      </c>
    </row>
    <row r="2881" spans="1:8" x14ac:dyDescent="0.25">
      <c r="A2881" s="1">
        <v>45672.958333333336</v>
      </c>
      <c r="B2881" t="s">
        <v>24</v>
      </c>
      <c r="C2881">
        <v>160.66999999999999</v>
      </c>
      <c r="D2881">
        <v>69.78</v>
      </c>
      <c r="E2881" t="s">
        <v>9</v>
      </c>
      <c r="F2881">
        <v>83.51</v>
      </c>
      <c r="G2881" t="s">
        <v>16</v>
      </c>
      <c r="H2881" t="s">
        <v>12</v>
      </c>
    </row>
    <row r="2882" spans="1:8" x14ac:dyDescent="0.25">
      <c r="A2882" s="1">
        <v>45658</v>
      </c>
      <c r="B2882" t="s">
        <v>25</v>
      </c>
      <c r="C2882">
        <v>206.31</v>
      </c>
      <c r="D2882">
        <v>53.15</v>
      </c>
      <c r="E2882" t="s">
        <v>9</v>
      </c>
      <c r="F2882">
        <v>75.14</v>
      </c>
      <c r="G2882" t="s">
        <v>10</v>
      </c>
      <c r="H2882" t="s">
        <v>12</v>
      </c>
    </row>
    <row r="2883" spans="1:8" x14ac:dyDescent="0.25">
      <c r="A2883" s="1">
        <v>45658.041666666664</v>
      </c>
      <c r="B2883" t="s">
        <v>25</v>
      </c>
      <c r="C2883">
        <v>309.41000000000003</v>
      </c>
      <c r="D2883">
        <v>89.65</v>
      </c>
      <c r="E2883" t="s">
        <v>14</v>
      </c>
      <c r="F2883">
        <v>49.39</v>
      </c>
      <c r="G2883" t="s">
        <v>10</v>
      </c>
      <c r="H2883" t="s">
        <v>11</v>
      </c>
    </row>
    <row r="2884" spans="1:8" x14ac:dyDescent="0.25">
      <c r="A2884" s="1">
        <v>45658.083333333336</v>
      </c>
      <c r="B2884" t="s">
        <v>25</v>
      </c>
      <c r="C2884">
        <v>70.47</v>
      </c>
      <c r="D2884">
        <v>61.72</v>
      </c>
      <c r="E2884" t="s">
        <v>9</v>
      </c>
      <c r="F2884">
        <v>73.319999999999993</v>
      </c>
      <c r="G2884" t="s">
        <v>10</v>
      </c>
      <c r="H2884" t="s">
        <v>13</v>
      </c>
    </row>
    <row r="2885" spans="1:8" x14ac:dyDescent="0.25">
      <c r="A2885" s="1">
        <v>45658.125</v>
      </c>
      <c r="B2885" t="s">
        <v>25</v>
      </c>
      <c r="C2885">
        <v>175.41</v>
      </c>
      <c r="D2885">
        <v>56.97</v>
      </c>
      <c r="E2885" t="s">
        <v>9</v>
      </c>
      <c r="F2885">
        <v>63.38</v>
      </c>
      <c r="G2885" t="s">
        <v>10</v>
      </c>
      <c r="H2885" t="s">
        <v>11</v>
      </c>
    </row>
    <row r="2886" spans="1:8" x14ac:dyDescent="0.25">
      <c r="A2886" s="1">
        <v>45658.166666666664</v>
      </c>
      <c r="B2886" t="s">
        <v>25</v>
      </c>
      <c r="C2886">
        <v>347.96</v>
      </c>
      <c r="D2886">
        <v>26.8</v>
      </c>
      <c r="E2886" t="s">
        <v>9</v>
      </c>
      <c r="F2886">
        <v>84.25</v>
      </c>
      <c r="G2886" t="s">
        <v>10</v>
      </c>
      <c r="H2886" t="s">
        <v>13</v>
      </c>
    </row>
    <row r="2887" spans="1:8" x14ac:dyDescent="0.25">
      <c r="A2887" s="1">
        <v>45658.208333333336</v>
      </c>
      <c r="B2887" t="s">
        <v>25</v>
      </c>
      <c r="C2887">
        <v>181.13</v>
      </c>
      <c r="D2887">
        <v>82.92</v>
      </c>
      <c r="E2887" t="s">
        <v>9</v>
      </c>
      <c r="F2887">
        <v>57.51</v>
      </c>
      <c r="G2887" t="s">
        <v>10</v>
      </c>
      <c r="H2887" t="s">
        <v>13</v>
      </c>
    </row>
    <row r="2888" spans="1:8" x14ac:dyDescent="0.25">
      <c r="A2888" s="1">
        <v>45658.25</v>
      </c>
      <c r="B2888" t="s">
        <v>25</v>
      </c>
      <c r="C2888">
        <v>272.56</v>
      </c>
      <c r="D2888">
        <v>20.84</v>
      </c>
      <c r="E2888" t="s">
        <v>9</v>
      </c>
      <c r="F2888">
        <v>89.12</v>
      </c>
      <c r="G2888" t="s">
        <v>10</v>
      </c>
      <c r="H2888" t="s">
        <v>13</v>
      </c>
    </row>
    <row r="2889" spans="1:8" x14ac:dyDescent="0.25">
      <c r="A2889" s="1">
        <v>45658.291666666664</v>
      </c>
      <c r="B2889" t="s">
        <v>25</v>
      </c>
      <c r="C2889">
        <v>408.68</v>
      </c>
      <c r="D2889">
        <v>21.58</v>
      </c>
      <c r="E2889" t="s">
        <v>9</v>
      </c>
      <c r="F2889">
        <v>40.94</v>
      </c>
      <c r="G2889" t="s">
        <v>10</v>
      </c>
      <c r="H2889" t="s">
        <v>13</v>
      </c>
    </row>
    <row r="2890" spans="1:8" x14ac:dyDescent="0.25">
      <c r="A2890" s="1">
        <v>45658.333333333336</v>
      </c>
      <c r="B2890" t="s">
        <v>25</v>
      </c>
      <c r="C2890">
        <v>466.4</v>
      </c>
      <c r="D2890">
        <v>84.83</v>
      </c>
      <c r="E2890" t="s">
        <v>9</v>
      </c>
      <c r="F2890">
        <v>50.51</v>
      </c>
      <c r="G2890" t="s">
        <v>10</v>
      </c>
      <c r="H2890" t="s">
        <v>13</v>
      </c>
    </row>
    <row r="2891" spans="1:8" x14ac:dyDescent="0.25">
      <c r="A2891" s="1">
        <v>45658.375</v>
      </c>
      <c r="B2891" t="s">
        <v>25</v>
      </c>
      <c r="C2891">
        <v>443.01</v>
      </c>
      <c r="D2891">
        <v>51.13</v>
      </c>
      <c r="E2891" t="s">
        <v>9</v>
      </c>
      <c r="F2891">
        <v>39.79</v>
      </c>
      <c r="G2891" t="s">
        <v>10</v>
      </c>
      <c r="H2891" t="s">
        <v>13</v>
      </c>
    </row>
    <row r="2892" spans="1:8" x14ac:dyDescent="0.25">
      <c r="A2892" s="1">
        <v>45658.416666666664</v>
      </c>
      <c r="B2892" t="s">
        <v>25</v>
      </c>
      <c r="C2892">
        <v>256.70999999999998</v>
      </c>
      <c r="D2892">
        <v>87.51</v>
      </c>
      <c r="E2892" t="s">
        <v>14</v>
      </c>
      <c r="F2892">
        <v>40.07</v>
      </c>
      <c r="G2892" t="s">
        <v>10</v>
      </c>
      <c r="H2892" t="s">
        <v>13</v>
      </c>
    </row>
    <row r="2893" spans="1:8" x14ac:dyDescent="0.25">
      <c r="A2893" s="1">
        <v>45658.458333333336</v>
      </c>
      <c r="B2893" t="s">
        <v>25</v>
      </c>
      <c r="C2893">
        <v>209.03</v>
      </c>
      <c r="D2893">
        <v>64.92</v>
      </c>
      <c r="E2893" t="s">
        <v>9</v>
      </c>
      <c r="F2893">
        <v>83.12</v>
      </c>
      <c r="G2893" t="s">
        <v>10</v>
      </c>
      <c r="H2893" t="s">
        <v>12</v>
      </c>
    </row>
    <row r="2894" spans="1:8" x14ac:dyDescent="0.25">
      <c r="A2894" s="1">
        <v>45658.5</v>
      </c>
      <c r="B2894" t="s">
        <v>25</v>
      </c>
      <c r="C2894">
        <v>276.27999999999997</v>
      </c>
      <c r="D2894">
        <v>39.43</v>
      </c>
      <c r="E2894" t="s">
        <v>9</v>
      </c>
      <c r="F2894">
        <v>40.83</v>
      </c>
      <c r="G2894" t="s">
        <v>10</v>
      </c>
      <c r="H2894" t="s">
        <v>11</v>
      </c>
    </row>
    <row r="2895" spans="1:8" x14ac:dyDescent="0.25">
      <c r="A2895" s="1">
        <v>45658.541666666664</v>
      </c>
      <c r="B2895" t="s">
        <v>25</v>
      </c>
      <c r="C2895">
        <v>206.87</v>
      </c>
      <c r="D2895">
        <v>53.98</v>
      </c>
      <c r="E2895" t="s">
        <v>9</v>
      </c>
      <c r="F2895">
        <v>55</v>
      </c>
      <c r="G2895" t="s">
        <v>10</v>
      </c>
      <c r="H2895" t="s">
        <v>12</v>
      </c>
    </row>
    <row r="2896" spans="1:8" x14ac:dyDescent="0.25">
      <c r="A2896" s="1">
        <v>45658.583333333336</v>
      </c>
      <c r="B2896" t="s">
        <v>25</v>
      </c>
      <c r="C2896">
        <v>280.32</v>
      </c>
      <c r="D2896">
        <v>89.64</v>
      </c>
      <c r="E2896" t="s">
        <v>14</v>
      </c>
      <c r="F2896">
        <v>32.24</v>
      </c>
      <c r="G2896" t="s">
        <v>10</v>
      </c>
      <c r="H2896" t="s">
        <v>13</v>
      </c>
    </row>
    <row r="2897" spans="1:8" x14ac:dyDescent="0.25">
      <c r="A2897" s="1">
        <v>45658.625</v>
      </c>
      <c r="B2897" t="s">
        <v>25</v>
      </c>
      <c r="C2897">
        <v>316.7</v>
      </c>
      <c r="D2897">
        <v>53.38</v>
      </c>
      <c r="E2897" t="s">
        <v>9</v>
      </c>
      <c r="F2897">
        <v>74.33</v>
      </c>
      <c r="G2897" t="s">
        <v>10</v>
      </c>
      <c r="H2897" t="s">
        <v>11</v>
      </c>
    </row>
    <row r="2898" spans="1:8" x14ac:dyDescent="0.25">
      <c r="A2898" s="1">
        <v>45658.666666666664</v>
      </c>
      <c r="B2898" t="s">
        <v>25</v>
      </c>
      <c r="C2898">
        <v>228.96</v>
      </c>
      <c r="D2898">
        <v>69.099999999999994</v>
      </c>
      <c r="E2898" t="s">
        <v>9</v>
      </c>
      <c r="F2898">
        <v>83.45</v>
      </c>
      <c r="G2898" t="s">
        <v>10</v>
      </c>
      <c r="H2898" t="s">
        <v>11</v>
      </c>
    </row>
    <row r="2899" spans="1:8" x14ac:dyDescent="0.25">
      <c r="A2899" s="1">
        <v>45658.708333333336</v>
      </c>
      <c r="B2899" t="s">
        <v>25</v>
      </c>
      <c r="C2899">
        <v>112.07</v>
      </c>
      <c r="D2899">
        <v>93.52</v>
      </c>
      <c r="E2899" t="s">
        <v>14</v>
      </c>
      <c r="F2899">
        <v>52.19</v>
      </c>
      <c r="G2899" t="s">
        <v>10</v>
      </c>
      <c r="H2899" t="s">
        <v>13</v>
      </c>
    </row>
    <row r="2900" spans="1:8" x14ac:dyDescent="0.25">
      <c r="A2900" s="1">
        <v>45658.75</v>
      </c>
      <c r="B2900" t="s">
        <v>25</v>
      </c>
      <c r="C2900">
        <v>270.56</v>
      </c>
      <c r="D2900">
        <v>25.57</v>
      </c>
      <c r="E2900" t="s">
        <v>9</v>
      </c>
      <c r="F2900">
        <v>33.33</v>
      </c>
      <c r="G2900" t="s">
        <v>10</v>
      </c>
      <c r="H2900" t="s">
        <v>13</v>
      </c>
    </row>
    <row r="2901" spans="1:8" x14ac:dyDescent="0.25">
      <c r="A2901" s="1">
        <v>45658.791666666664</v>
      </c>
      <c r="B2901" t="s">
        <v>25</v>
      </c>
      <c r="C2901">
        <v>161.16</v>
      </c>
      <c r="D2901">
        <v>33.729999999999997</v>
      </c>
      <c r="E2901" t="s">
        <v>9</v>
      </c>
      <c r="F2901">
        <v>87.42</v>
      </c>
      <c r="G2901" t="s">
        <v>10</v>
      </c>
      <c r="H2901" t="s">
        <v>12</v>
      </c>
    </row>
    <row r="2902" spans="1:8" x14ac:dyDescent="0.25">
      <c r="A2902" s="1">
        <v>45658.833333333336</v>
      </c>
      <c r="B2902" t="s">
        <v>25</v>
      </c>
      <c r="C2902">
        <v>390.07</v>
      </c>
      <c r="D2902">
        <v>77.97</v>
      </c>
      <c r="E2902" t="s">
        <v>9</v>
      </c>
      <c r="F2902">
        <v>36.29</v>
      </c>
      <c r="G2902" t="s">
        <v>10</v>
      </c>
      <c r="H2902" t="s">
        <v>13</v>
      </c>
    </row>
    <row r="2903" spans="1:8" x14ac:dyDescent="0.25">
      <c r="A2903" s="1">
        <v>45658.875</v>
      </c>
      <c r="B2903" t="s">
        <v>25</v>
      </c>
      <c r="C2903">
        <v>197.86</v>
      </c>
      <c r="D2903">
        <v>16.18</v>
      </c>
      <c r="E2903" t="s">
        <v>9</v>
      </c>
      <c r="F2903">
        <v>56.66</v>
      </c>
      <c r="G2903" t="s">
        <v>10</v>
      </c>
      <c r="H2903" t="s">
        <v>11</v>
      </c>
    </row>
    <row r="2904" spans="1:8" x14ac:dyDescent="0.25">
      <c r="A2904" s="1">
        <v>45658.916666666664</v>
      </c>
      <c r="B2904" t="s">
        <v>25</v>
      </c>
      <c r="C2904">
        <v>328.62</v>
      </c>
      <c r="D2904">
        <v>64.180000000000007</v>
      </c>
      <c r="E2904" t="s">
        <v>9</v>
      </c>
      <c r="F2904">
        <v>32.270000000000003</v>
      </c>
      <c r="G2904" t="s">
        <v>10</v>
      </c>
      <c r="H2904" t="s">
        <v>12</v>
      </c>
    </row>
    <row r="2905" spans="1:8" x14ac:dyDescent="0.25">
      <c r="A2905" s="1">
        <v>45658.958333333336</v>
      </c>
      <c r="B2905" t="s">
        <v>25</v>
      </c>
      <c r="C2905">
        <v>157.15</v>
      </c>
      <c r="D2905">
        <v>48.33</v>
      </c>
      <c r="E2905" t="s">
        <v>9</v>
      </c>
      <c r="F2905">
        <v>30.88</v>
      </c>
      <c r="G2905" t="s">
        <v>10</v>
      </c>
      <c r="H2905" t="s">
        <v>11</v>
      </c>
    </row>
    <row r="2906" spans="1:8" x14ac:dyDescent="0.25">
      <c r="A2906" s="1">
        <v>45659</v>
      </c>
      <c r="B2906" t="s">
        <v>25</v>
      </c>
      <c r="C2906">
        <v>179.49</v>
      </c>
      <c r="D2906">
        <v>93.63</v>
      </c>
      <c r="E2906" t="s">
        <v>14</v>
      </c>
      <c r="F2906">
        <v>32.51</v>
      </c>
      <c r="G2906" t="s">
        <v>10</v>
      </c>
      <c r="H2906" t="s">
        <v>11</v>
      </c>
    </row>
    <row r="2907" spans="1:8" x14ac:dyDescent="0.25">
      <c r="A2907" s="1">
        <v>45659.041666666664</v>
      </c>
      <c r="B2907" t="s">
        <v>25</v>
      </c>
      <c r="C2907">
        <v>215.66</v>
      </c>
      <c r="D2907">
        <v>17.170000000000002</v>
      </c>
      <c r="E2907" t="s">
        <v>9</v>
      </c>
      <c r="F2907">
        <v>49.61</v>
      </c>
      <c r="G2907" t="s">
        <v>10</v>
      </c>
      <c r="H2907" t="s">
        <v>13</v>
      </c>
    </row>
    <row r="2908" spans="1:8" x14ac:dyDescent="0.25">
      <c r="A2908" s="1">
        <v>45659.083333333336</v>
      </c>
      <c r="B2908" t="s">
        <v>25</v>
      </c>
      <c r="C2908">
        <v>114.48</v>
      </c>
      <c r="D2908">
        <v>24.93</v>
      </c>
      <c r="E2908" t="s">
        <v>9</v>
      </c>
      <c r="F2908">
        <v>45.38</v>
      </c>
      <c r="G2908" t="s">
        <v>10</v>
      </c>
      <c r="H2908" t="s">
        <v>13</v>
      </c>
    </row>
    <row r="2909" spans="1:8" x14ac:dyDescent="0.25">
      <c r="A2909" s="1">
        <v>45659.125</v>
      </c>
      <c r="B2909" t="s">
        <v>25</v>
      </c>
      <c r="C2909">
        <v>216.92</v>
      </c>
      <c r="D2909">
        <v>27.99</v>
      </c>
      <c r="E2909" t="s">
        <v>9</v>
      </c>
      <c r="F2909">
        <v>45.13</v>
      </c>
      <c r="G2909" t="s">
        <v>10</v>
      </c>
      <c r="H2909" t="s">
        <v>12</v>
      </c>
    </row>
    <row r="2910" spans="1:8" x14ac:dyDescent="0.25">
      <c r="A2910" s="1">
        <v>45659.166666666664</v>
      </c>
      <c r="B2910" t="s">
        <v>25</v>
      </c>
      <c r="C2910">
        <v>384</v>
      </c>
      <c r="D2910">
        <v>69.73</v>
      </c>
      <c r="E2910" t="s">
        <v>9</v>
      </c>
      <c r="F2910">
        <v>50.22</v>
      </c>
      <c r="G2910" t="s">
        <v>10</v>
      </c>
      <c r="H2910" t="s">
        <v>12</v>
      </c>
    </row>
    <row r="2911" spans="1:8" x14ac:dyDescent="0.25">
      <c r="A2911" s="1">
        <v>45659.208333333336</v>
      </c>
      <c r="B2911" t="s">
        <v>25</v>
      </c>
      <c r="C2911">
        <v>113.95</v>
      </c>
      <c r="D2911">
        <v>35.01</v>
      </c>
      <c r="E2911" t="s">
        <v>9</v>
      </c>
      <c r="F2911">
        <v>62.77</v>
      </c>
      <c r="G2911" t="s">
        <v>10</v>
      </c>
      <c r="H2911" t="s">
        <v>13</v>
      </c>
    </row>
    <row r="2912" spans="1:8" x14ac:dyDescent="0.25">
      <c r="A2912" s="1">
        <v>45659.25</v>
      </c>
      <c r="B2912" t="s">
        <v>25</v>
      </c>
      <c r="C2912">
        <v>61.02</v>
      </c>
      <c r="D2912">
        <v>89.8</v>
      </c>
      <c r="E2912" t="s">
        <v>14</v>
      </c>
      <c r="F2912">
        <v>85.26</v>
      </c>
      <c r="G2912" t="s">
        <v>10</v>
      </c>
      <c r="H2912" t="s">
        <v>11</v>
      </c>
    </row>
    <row r="2913" spans="1:8" x14ac:dyDescent="0.25">
      <c r="A2913" s="1">
        <v>45659.291666666664</v>
      </c>
      <c r="B2913" t="s">
        <v>25</v>
      </c>
      <c r="C2913">
        <v>476.71</v>
      </c>
      <c r="D2913">
        <v>23.38</v>
      </c>
      <c r="E2913" t="s">
        <v>9</v>
      </c>
      <c r="F2913">
        <v>50.08</v>
      </c>
      <c r="G2913" t="s">
        <v>10</v>
      </c>
      <c r="H2913" t="s">
        <v>11</v>
      </c>
    </row>
    <row r="2914" spans="1:8" x14ac:dyDescent="0.25">
      <c r="A2914" s="1">
        <v>45659.333333333336</v>
      </c>
      <c r="B2914" t="s">
        <v>25</v>
      </c>
      <c r="C2914">
        <v>141.83000000000001</v>
      </c>
      <c r="D2914">
        <v>90.61</v>
      </c>
      <c r="E2914" t="s">
        <v>14</v>
      </c>
      <c r="F2914">
        <v>35.049999999999997</v>
      </c>
      <c r="G2914" t="s">
        <v>10</v>
      </c>
      <c r="H2914" t="s">
        <v>13</v>
      </c>
    </row>
    <row r="2915" spans="1:8" x14ac:dyDescent="0.25">
      <c r="A2915" s="1">
        <v>45659.375</v>
      </c>
      <c r="B2915" t="s">
        <v>25</v>
      </c>
      <c r="C2915">
        <v>86.33</v>
      </c>
      <c r="D2915">
        <v>93.42</v>
      </c>
      <c r="E2915" t="s">
        <v>14</v>
      </c>
      <c r="F2915">
        <v>85.1</v>
      </c>
      <c r="G2915" t="s">
        <v>10</v>
      </c>
      <c r="H2915" t="s">
        <v>11</v>
      </c>
    </row>
    <row r="2916" spans="1:8" x14ac:dyDescent="0.25">
      <c r="A2916" s="1">
        <v>45659.416666666664</v>
      </c>
      <c r="B2916" t="s">
        <v>25</v>
      </c>
      <c r="C2916">
        <v>406.1</v>
      </c>
      <c r="D2916">
        <v>60.48</v>
      </c>
      <c r="E2916" t="s">
        <v>9</v>
      </c>
      <c r="F2916">
        <v>45.92</v>
      </c>
      <c r="G2916" t="s">
        <v>10</v>
      </c>
      <c r="H2916" t="s">
        <v>11</v>
      </c>
    </row>
    <row r="2917" spans="1:8" x14ac:dyDescent="0.25">
      <c r="A2917" s="1">
        <v>45659.458333333336</v>
      </c>
      <c r="B2917" t="s">
        <v>25</v>
      </c>
      <c r="C2917">
        <v>249.37</v>
      </c>
      <c r="D2917">
        <v>76.23</v>
      </c>
      <c r="E2917" t="s">
        <v>9</v>
      </c>
      <c r="F2917">
        <v>45.88</v>
      </c>
      <c r="G2917" t="s">
        <v>10</v>
      </c>
      <c r="H2917" t="s">
        <v>13</v>
      </c>
    </row>
    <row r="2918" spans="1:8" x14ac:dyDescent="0.25">
      <c r="A2918" s="1">
        <v>45659.5</v>
      </c>
      <c r="B2918" t="s">
        <v>25</v>
      </c>
      <c r="C2918">
        <v>221.53</v>
      </c>
      <c r="D2918">
        <v>72.23</v>
      </c>
      <c r="E2918" t="s">
        <v>9</v>
      </c>
      <c r="F2918">
        <v>83.03</v>
      </c>
      <c r="G2918" t="s">
        <v>10</v>
      </c>
      <c r="H2918" t="s">
        <v>13</v>
      </c>
    </row>
    <row r="2919" spans="1:8" x14ac:dyDescent="0.25">
      <c r="A2919" s="1">
        <v>45659.541666666664</v>
      </c>
      <c r="B2919" t="s">
        <v>25</v>
      </c>
      <c r="C2919">
        <v>470.13</v>
      </c>
      <c r="D2919">
        <v>55.44</v>
      </c>
      <c r="E2919" t="s">
        <v>9</v>
      </c>
      <c r="F2919">
        <v>72.040000000000006</v>
      </c>
      <c r="G2919" t="s">
        <v>10</v>
      </c>
      <c r="H2919" t="s">
        <v>11</v>
      </c>
    </row>
    <row r="2920" spans="1:8" x14ac:dyDescent="0.25">
      <c r="A2920" s="1">
        <v>45659.583333333336</v>
      </c>
      <c r="B2920" t="s">
        <v>25</v>
      </c>
      <c r="C2920">
        <v>181.9</v>
      </c>
      <c r="D2920">
        <v>40.15</v>
      </c>
      <c r="E2920" t="s">
        <v>9</v>
      </c>
      <c r="F2920">
        <v>33.96</v>
      </c>
      <c r="G2920" t="s">
        <v>10</v>
      </c>
      <c r="H2920" t="s">
        <v>13</v>
      </c>
    </row>
    <row r="2921" spans="1:8" x14ac:dyDescent="0.25">
      <c r="A2921" s="1">
        <v>45659.625</v>
      </c>
      <c r="B2921" t="s">
        <v>25</v>
      </c>
      <c r="C2921">
        <v>121.63</v>
      </c>
      <c r="D2921">
        <v>67.260000000000005</v>
      </c>
      <c r="E2921" t="s">
        <v>9</v>
      </c>
      <c r="F2921">
        <v>82.21</v>
      </c>
      <c r="G2921" t="s">
        <v>10</v>
      </c>
      <c r="H2921" t="s">
        <v>11</v>
      </c>
    </row>
    <row r="2922" spans="1:8" x14ac:dyDescent="0.25">
      <c r="A2922" s="1">
        <v>45659.666666666664</v>
      </c>
      <c r="B2922" t="s">
        <v>25</v>
      </c>
      <c r="C2922">
        <v>480.48</v>
      </c>
      <c r="D2922">
        <v>74.349999999999994</v>
      </c>
      <c r="E2922" t="s">
        <v>9</v>
      </c>
      <c r="F2922">
        <v>64.03</v>
      </c>
      <c r="G2922" t="s">
        <v>10</v>
      </c>
      <c r="H2922" t="s">
        <v>13</v>
      </c>
    </row>
    <row r="2923" spans="1:8" x14ac:dyDescent="0.25">
      <c r="A2923" s="1">
        <v>45659.708333333336</v>
      </c>
      <c r="B2923" t="s">
        <v>25</v>
      </c>
      <c r="C2923">
        <v>491</v>
      </c>
      <c r="D2923">
        <v>39.9</v>
      </c>
      <c r="E2923" t="s">
        <v>9</v>
      </c>
      <c r="F2923">
        <v>74.650000000000006</v>
      </c>
      <c r="G2923" t="s">
        <v>10</v>
      </c>
      <c r="H2923" t="s">
        <v>13</v>
      </c>
    </row>
    <row r="2924" spans="1:8" x14ac:dyDescent="0.25">
      <c r="A2924" s="1">
        <v>45659.75</v>
      </c>
      <c r="B2924" t="s">
        <v>25</v>
      </c>
      <c r="C2924">
        <v>284.27</v>
      </c>
      <c r="D2924">
        <v>19.98</v>
      </c>
      <c r="E2924" t="s">
        <v>9</v>
      </c>
      <c r="F2924">
        <v>60.73</v>
      </c>
      <c r="G2924" t="s">
        <v>10</v>
      </c>
      <c r="H2924" t="s">
        <v>13</v>
      </c>
    </row>
    <row r="2925" spans="1:8" x14ac:dyDescent="0.25">
      <c r="A2925" s="1">
        <v>45659.791666666664</v>
      </c>
      <c r="B2925" t="s">
        <v>25</v>
      </c>
      <c r="C2925">
        <v>307.26</v>
      </c>
      <c r="D2925">
        <v>89.96</v>
      </c>
      <c r="E2925" t="s">
        <v>14</v>
      </c>
      <c r="F2925">
        <v>30.46</v>
      </c>
      <c r="G2925" t="s">
        <v>10</v>
      </c>
      <c r="H2925" t="s">
        <v>12</v>
      </c>
    </row>
    <row r="2926" spans="1:8" x14ac:dyDescent="0.25">
      <c r="A2926" s="1">
        <v>45659.833333333336</v>
      </c>
      <c r="B2926" t="s">
        <v>25</v>
      </c>
      <c r="C2926">
        <v>305.76</v>
      </c>
      <c r="D2926">
        <v>86.11</v>
      </c>
      <c r="E2926" t="s">
        <v>14</v>
      </c>
      <c r="F2926">
        <v>75.069999999999993</v>
      </c>
      <c r="G2926" t="s">
        <v>10</v>
      </c>
      <c r="H2926" t="s">
        <v>11</v>
      </c>
    </row>
    <row r="2927" spans="1:8" x14ac:dyDescent="0.25">
      <c r="A2927" s="1">
        <v>45659.875</v>
      </c>
      <c r="B2927" t="s">
        <v>25</v>
      </c>
      <c r="C2927">
        <v>482.01</v>
      </c>
      <c r="D2927">
        <v>32.29</v>
      </c>
      <c r="E2927" t="s">
        <v>9</v>
      </c>
      <c r="F2927">
        <v>73.52</v>
      </c>
      <c r="G2927" t="s">
        <v>10</v>
      </c>
      <c r="H2927" t="s">
        <v>11</v>
      </c>
    </row>
    <row r="2928" spans="1:8" x14ac:dyDescent="0.25">
      <c r="A2928" s="1">
        <v>45659.916666666664</v>
      </c>
      <c r="B2928" t="s">
        <v>25</v>
      </c>
      <c r="C2928">
        <v>488.54</v>
      </c>
      <c r="D2928">
        <v>31.98</v>
      </c>
      <c r="E2928" t="s">
        <v>9</v>
      </c>
      <c r="F2928">
        <v>58.36</v>
      </c>
      <c r="G2928" t="s">
        <v>10</v>
      </c>
      <c r="H2928" t="s">
        <v>12</v>
      </c>
    </row>
    <row r="2929" spans="1:8" x14ac:dyDescent="0.25">
      <c r="A2929" s="1">
        <v>45659.958333333336</v>
      </c>
      <c r="B2929" t="s">
        <v>25</v>
      </c>
      <c r="C2929">
        <v>408</v>
      </c>
      <c r="D2929">
        <v>40.28</v>
      </c>
      <c r="E2929" t="s">
        <v>9</v>
      </c>
      <c r="F2929">
        <v>81.42</v>
      </c>
      <c r="G2929" t="s">
        <v>10</v>
      </c>
      <c r="H2929" t="s">
        <v>12</v>
      </c>
    </row>
    <row r="2930" spans="1:8" x14ac:dyDescent="0.25">
      <c r="A2930" s="1">
        <v>45660</v>
      </c>
      <c r="B2930" t="s">
        <v>25</v>
      </c>
      <c r="C2930">
        <v>200.81</v>
      </c>
      <c r="D2930">
        <v>45.7</v>
      </c>
      <c r="E2930" t="s">
        <v>9</v>
      </c>
      <c r="F2930">
        <v>89.4</v>
      </c>
      <c r="G2930" t="s">
        <v>10</v>
      </c>
      <c r="H2930" t="s">
        <v>13</v>
      </c>
    </row>
    <row r="2931" spans="1:8" x14ac:dyDescent="0.25">
      <c r="A2931" s="1">
        <v>45660.041666666664</v>
      </c>
      <c r="B2931" t="s">
        <v>25</v>
      </c>
      <c r="C2931">
        <v>235.54</v>
      </c>
      <c r="D2931">
        <v>33.1</v>
      </c>
      <c r="E2931" t="s">
        <v>9</v>
      </c>
      <c r="F2931">
        <v>79.95</v>
      </c>
      <c r="G2931" t="s">
        <v>10</v>
      </c>
      <c r="H2931" t="s">
        <v>13</v>
      </c>
    </row>
    <row r="2932" spans="1:8" x14ac:dyDescent="0.25">
      <c r="A2932" s="1">
        <v>45660.083333333336</v>
      </c>
      <c r="B2932" t="s">
        <v>25</v>
      </c>
      <c r="C2932">
        <v>497.02</v>
      </c>
      <c r="D2932">
        <v>92.43</v>
      </c>
      <c r="E2932" t="s">
        <v>14</v>
      </c>
      <c r="F2932">
        <v>59.37</v>
      </c>
      <c r="G2932" t="s">
        <v>10</v>
      </c>
      <c r="H2932" t="s">
        <v>13</v>
      </c>
    </row>
    <row r="2933" spans="1:8" x14ac:dyDescent="0.25">
      <c r="A2933" s="1">
        <v>45660.125</v>
      </c>
      <c r="B2933" t="s">
        <v>25</v>
      </c>
      <c r="C2933">
        <v>307.07</v>
      </c>
      <c r="D2933">
        <v>14.61</v>
      </c>
      <c r="E2933" t="s">
        <v>9</v>
      </c>
      <c r="F2933">
        <v>69.17</v>
      </c>
      <c r="G2933" t="s">
        <v>10</v>
      </c>
      <c r="H2933" t="s">
        <v>13</v>
      </c>
    </row>
    <row r="2934" spans="1:8" x14ac:dyDescent="0.25">
      <c r="A2934" s="1">
        <v>45660.166666666664</v>
      </c>
      <c r="B2934" t="s">
        <v>25</v>
      </c>
      <c r="C2934">
        <v>366.21</v>
      </c>
      <c r="D2934">
        <v>74.41</v>
      </c>
      <c r="E2934" t="s">
        <v>9</v>
      </c>
      <c r="F2934">
        <v>45.21</v>
      </c>
      <c r="G2934" t="s">
        <v>10</v>
      </c>
      <c r="H2934" t="s">
        <v>11</v>
      </c>
    </row>
    <row r="2935" spans="1:8" x14ac:dyDescent="0.25">
      <c r="A2935" s="1">
        <v>45660.208333333336</v>
      </c>
      <c r="B2935" t="s">
        <v>25</v>
      </c>
      <c r="C2935">
        <v>161.32</v>
      </c>
      <c r="D2935">
        <v>91.76</v>
      </c>
      <c r="E2935" t="s">
        <v>14</v>
      </c>
      <c r="F2935">
        <v>34.049999999999997</v>
      </c>
      <c r="G2935" t="s">
        <v>10</v>
      </c>
      <c r="H2935" t="s">
        <v>11</v>
      </c>
    </row>
    <row r="2936" spans="1:8" x14ac:dyDescent="0.25">
      <c r="A2936" s="1">
        <v>45660.25</v>
      </c>
      <c r="B2936" t="s">
        <v>25</v>
      </c>
      <c r="C2936">
        <v>420.1</v>
      </c>
      <c r="D2936">
        <v>92.75</v>
      </c>
      <c r="E2936" t="s">
        <v>14</v>
      </c>
      <c r="F2936">
        <v>53.24</v>
      </c>
      <c r="G2936" t="s">
        <v>10</v>
      </c>
      <c r="H2936" t="s">
        <v>13</v>
      </c>
    </row>
    <row r="2937" spans="1:8" x14ac:dyDescent="0.25">
      <c r="A2937" s="1">
        <v>45660.291666666664</v>
      </c>
      <c r="B2937" t="s">
        <v>25</v>
      </c>
      <c r="C2937">
        <v>225.75</v>
      </c>
      <c r="D2937">
        <v>22.87</v>
      </c>
      <c r="E2937" t="s">
        <v>9</v>
      </c>
      <c r="F2937">
        <v>83.73</v>
      </c>
      <c r="G2937" t="s">
        <v>10</v>
      </c>
      <c r="H2937" t="s">
        <v>12</v>
      </c>
    </row>
    <row r="2938" spans="1:8" x14ac:dyDescent="0.25">
      <c r="A2938" s="1">
        <v>45660.333333333336</v>
      </c>
      <c r="B2938" t="s">
        <v>25</v>
      </c>
      <c r="C2938">
        <v>120.95</v>
      </c>
      <c r="D2938">
        <v>73.63</v>
      </c>
      <c r="E2938" t="s">
        <v>9</v>
      </c>
      <c r="F2938">
        <v>32.229999999999997</v>
      </c>
      <c r="G2938" t="s">
        <v>10</v>
      </c>
      <c r="H2938" t="s">
        <v>12</v>
      </c>
    </row>
    <row r="2939" spans="1:8" x14ac:dyDescent="0.25">
      <c r="A2939" s="1">
        <v>45660.375</v>
      </c>
      <c r="B2939" t="s">
        <v>25</v>
      </c>
      <c r="C2939">
        <v>464.99</v>
      </c>
      <c r="D2939">
        <v>26.29</v>
      </c>
      <c r="E2939" t="s">
        <v>9</v>
      </c>
      <c r="F2939">
        <v>64.02</v>
      </c>
      <c r="G2939" t="s">
        <v>10</v>
      </c>
      <c r="H2939" t="s">
        <v>13</v>
      </c>
    </row>
    <row r="2940" spans="1:8" x14ac:dyDescent="0.25">
      <c r="A2940" s="1">
        <v>45660.416666666664</v>
      </c>
      <c r="B2940" t="s">
        <v>25</v>
      </c>
      <c r="C2940">
        <v>390.91</v>
      </c>
      <c r="D2940">
        <v>56.57</v>
      </c>
      <c r="E2940" t="s">
        <v>9</v>
      </c>
      <c r="F2940">
        <v>67.48</v>
      </c>
      <c r="G2940" t="s">
        <v>10</v>
      </c>
      <c r="H2940" t="s">
        <v>11</v>
      </c>
    </row>
    <row r="2941" spans="1:8" x14ac:dyDescent="0.25">
      <c r="A2941" s="1">
        <v>45660.458333333336</v>
      </c>
      <c r="B2941" t="s">
        <v>25</v>
      </c>
      <c r="C2941">
        <v>73.03</v>
      </c>
      <c r="D2941">
        <v>72.73</v>
      </c>
      <c r="E2941" t="s">
        <v>9</v>
      </c>
      <c r="F2941">
        <v>31.4</v>
      </c>
      <c r="G2941" t="s">
        <v>10</v>
      </c>
      <c r="H2941" t="s">
        <v>11</v>
      </c>
    </row>
    <row r="2942" spans="1:8" x14ac:dyDescent="0.25">
      <c r="A2942" s="1">
        <v>45660.5</v>
      </c>
      <c r="B2942" t="s">
        <v>25</v>
      </c>
      <c r="C2942">
        <v>494.41</v>
      </c>
      <c r="D2942">
        <v>43.23</v>
      </c>
      <c r="E2942" t="s">
        <v>9</v>
      </c>
      <c r="F2942">
        <v>79.23</v>
      </c>
      <c r="G2942" t="s">
        <v>10</v>
      </c>
      <c r="H2942" t="s">
        <v>11</v>
      </c>
    </row>
    <row r="2943" spans="1:8" x14ac:dyDescent="0.25">
      <c r="A2943" s="1">
        <v>45660.541666666664</v>
      </c>
      <c r="B2943" t="s">
        <v>25</v>
      </c>
      <c r="C2943">
        <v>428.01</v>
      </c>
      <c r="D2943">
        <v>92.19</v>
      </c>
      <c r="E2943" t="s">
        <v>14</v>
      </c>
      <c r="F2943">
        <v>56.13</v>
      </c>
      <c r="G2943" t="s">
        <v>10</v>
      </c>
      <c r="H2943" t="s">
        <v>11</v>
      </c>
    </row>
    <row r="2944" spans="1:8" x14ac:dyDescent="0.25">
      <c r="A2944" s="1">
        <v>45660.583333333336</v>
      </c>
      <c r="B2944" t="s">
        <v>25</v>
      </c>
      <c r="C2944">
        <v>359.83</v>
      </c>
      <c r="D2944">
        <v>19.989999999999998</v>
      </c>
      <c r="E2944" t="s">
        <v>9</v>
      </c>
      <c r="F2944">
        <v>42.2</v>
      </c>
      <c r="G2944" t="s">
        <v>10</v>
      </c>
      <c r="H2944" t="s">
        <v>12</v>
      </c>
    </row>
    <row r="2945" spans="1:8" x14ac:dyDescent="0.25">
      <c r="A2945" s="1">
        <v>45660.625</v>
      </c>
      <c r="B2945" t="s">
        <v>25</v>
      </c>
      <c r="C2945">
        <v>325.06</v>
      </c>
      <c r="D2945">
        <v>40.299999999999997</v>
      </c>
      <c r="E2945" t="s">
        <v>9</v>
      </c>
      <c r="F2945">
        <v>43.02</v>
      </c>
      <c r="G2945" t="s">
        <v>10</v>
      </c>
      <c r="H2945" t="s">
        <v>13</v>
      </c>
    </row>
    <row r="2946" spans="1:8" x14ac:dyDescent="0.25">
      <c r="A2946" s="1">
        <v>45660.666666666664</v>
      </c>
      <c r="B2946" t="s">
        <v>25</v>
      </c>
      <c r="C2946">
        <v>329.32</v>
      </c>
      <c r="D2946">
        <v>85.44</v>
      </c>
      <c r="E2946" t="s">
        <v>14</v>
      </c>
      <c r="F2946">
        <v>51.08</v>
      </c>
      <c r="G2946" t="s">
        <v>10</v>
      </c>
      <c r="H2946" t="s">
        <v>12</v>
      </c>
    </row>
    <row r="2947" spans="1:8" x14ac:dyDescent="0.25">
      <c r="A2947" s="1">
        <v>45660.708333333336</v>
      </c>
      <c r="B2947" t="s">
        <v>25</v>
      </c>
      <c r="C2947">
        <v>338.96</v>
      </c>
      <c r="D2947">
        <v>47.59</v>
      </c>
      <c r="E2947" t="s">
        <v>9</v>
      </c>
      <c r="F2947">
        <v>84.2</v>
      </c>
      <c r="G2947" t="s">
        <v>10</v>
      </c>
      <c r="H2947" t="s">
        <v>11</v>
      </c>
    </row>
    <row r="2948" spans="1:8" x14ac:dyDescent="0.25">
      <c r="A2948" s="1">
        <v>45660.75</v>
      </c>
      <c r="B2948" t="s">
        <v>25</v>
      </c>
      <c r="C2948">
        <v>106.25</v>
      </c>
      <c r="D2948">
        <v>25.66</v>
      </c>
      <c r="E2948" t="s">
        <v>9</v>
      </c>
      <c r="F2948">
        <v>83.45</v>
      </c>
      <c r="G2948" t="s">
        <v>10</v>
      </c>
      <c r="H2948" t="s">
        <v>11</v>
      </c>
    </row>
    <row r="2949" spans="1:8" x14ac:dyDescent="0.25">
      <c r="A2949" s="1">
        <v>45660.791666666664</v>
      </c>
      <c r="B2949" t="s">
        <v>25</v>
      </c>
      <c r="C2949">
        <v>390.55</v>
      </c>
      <c r="D2949">
        <v>81.790000000000006</v>
      </c>
      <c r="E2949" t="s">
        <v>9</v>
      </c>
      <c r="F2949">
        <v>64.319999999999993</v>
      </c>
      <c r="G2949" t="s">
        <v>10</v>
      </c>
      <c r="H2949" t="s">
        <v>11</v>
      </c>
    </row>
    <row r="2950" spans="1:8" x14ac:dyDescent="0.25">
      <c r="A2950" s="1">
        <v>45660.833333333336</v>
      </c>
      <c r="B2950" t="s">
        <v>25</v>
      </c>
      <c r="C2950">
        <v>369.29</v>
      </c>
      <c r="D2950">
        <v>63.61</v>
      </c>
      <c r="E2950" t="s">
        <v>9</v>
      </c>
      <c r="F2950">
        <v>87.07</v>
      </c>
      <c r="G2950" t="s">
        <v>10</v>
      </c>
      <c r="H2950" t="s">
        <v>12</v>
      </c>
    </row>
    <row r="2951" spans="1:8" x14ac:dyDescent="0.25">
      <c r="A2951" s="1">
        <v>45660.875</v>
      </c>
      <c r="B2951" t="s">
        <v>25</v>
      </c>
      <c r="C2951">
        <v>317.89</v>
      </c>
      <c r="D2951">
        <v>69.91</v>
      </c>
      <c r="E2951" t="s">
        <v>9</v>
      </c>
      <c r="F2951">
        <v>53.58</v>
      </c>
      <c r="G2951" t="s">
        <v>10</v>
      </c>
      <c r="H2951" t="s">
        <v>12</v>
      </c>
    </row>
    <row r="2952" spans="1:8" x14ac:dyDescent="0.25">
      <c r="A2952" s="1">
        <v>45660.916666666664</v>
      </c>
      <c r="B2952" t="s">
        <v>25</v>
      </c>
      <c r="C2952">
        <v>490.91</v>
      </c>
      <c r="D2952">
        <v>54</v>
      </c>
      <c r="E2952" t="s">
        <v>9</v>
      </c>
      <c r="F2952">
        <v>53.44</v>
      </c>
      <c r="G2952" t="s">
        <v>10</v>
      </c>
      <c r="H2952" t="s">
        <v>12</v>
      </c>
    </row>
    <row r="2953" spans="1:8" x14ac:dyDescent="0.25">
      <c r="A2953" s="1">
        <v>45660.958333333336</v>
      </c>
      <c r="B2953" t="s">
        <v>25</v>
      </c>
      <c r="C2953">
        <v>433.73</v>
      </c>
      <c r="D2953">
        <v>66.290000000000006</v>
      </c>
      <c r="E2953" t="s">
        <v>9</v>
      </c>
      <c r="F2953">
        <v>32.69</v>
      </c>
      <c r="G2953" t="s">
        <v>10</v>
      </c>
      <c r="H2953" t="s">
        <v>12</v>
      </c>
    </row>
    <row r="2954" spans="1:8" x14ac:dyDescent="0.25">
      <c r="A2954" s="1">
        <v>45661</v>
      </c>
      <c r="B2954" t="s">
        <v>25</v>
      </c>
      <c r="C2954">
        <v>57.79</v>
      </c>
      <c r="D2954">
        <v>77.05</v>
      </c>
      <c r="E2954" t="s">
        <v>9</v>
      </c>
      <c r="F2954">
        <v>49.7</v>
      </c>
      <c r="G2954" t="s">
        <v>10</v>
      </c>
      <c r="H2954" t="s">
        <v>13</v>
      </c>
    </row>
    <row r="2955" spans="1:8" x14ac:dyDescent="0.25">
      <c r="A2955" s="1">
        <v>45661.041666666664</v>
      </c>
      <c r="B2955" t="s">
        <v>25</v>
      </c>
      <c r="C2955">
        <v>409.41</v>
      </c>
      <c r="D2955">
        <v>17.760000000000002</v>
      </c>
      <c r="E2955" t="s">
        <v>9</v>
      </c>
      <c r="F2955">
        <v>39.51</v>
      </c>
      <c r="G2955" t="s">
        <v>10</v>
      </c>
      <c r="H2955" t="s">
        <v>13</v>
      </c>
    </row>
    <row r="2956" spans="1:8" x14ac:dyDescent="0.25">
      <c r="A2956" s="1">
        <v>45661.083333333336</v>
      </c>
      <c r="B2956" t="s">
        <v>25</v>
      </c>
      <c r="C2956">
        <v>153.47</v>
      </c>
      <c r="D2956">
        <v>41.38</v>
      </c>
      <c r="E2956" t="s">
        <v>9</v>
      </c>
      <c r="F2956">
        <v>89.89</v>
      </c>
      <c r="G2956" t="s">
        <v>10</v>
      </c>
      <c r="H2956" t="s">
        <v>11</v>
      </c>
    </row>
    <row r="2957" spans="1:8" x14ac:dyDescent="0.25">
      <c r="A2957" s="1">
        <v>45661.125</v>
      </c>
      <c r="B2957" t="s">
        <v>25</v>
      </c>
      <c r="C2957">
        <v>261.3</v>
      </c>
      <c r="D2957">
        <v>44.71</v>
      </c>
      <c r="E2957" t="s">
        <v>9</v>
      </c>
      <c r="F2957">
        <v>85.74</v>
      </c>
      <c r="G2957" t="s">
        <v>10</v>
      </c>
      <c r="H2957" t="s">
        <v>11</v>
      </c>
    </row>
    <row r="2958" spans="1:8" x14ac:dyDescent="0.25">
      <c r="A2958" s="1">
        <v>45661.166666666664</v>
      </c>
      <c r="B2958" t="s">
        <v>25</v>
      </c>
      <c r="C2958">
        <v>183.68</v>
      </c>
      <c r="D2958">
        <v>32.950000000000003</v>
      </c>
      <c r="E2958" t="s">
        <v>9</v>
      </c>
      <c r="F2958">
        <v>79.81</v>
      </c>
      <c r="G2958" t="s">
        <v>10</v>
      </c>
      <c r="H2958" t="s">
        <v>11</v>
      </c>
    </row>
    <row r="2959" spans="1:8" x14ac:dyDescent="0.25">
      <c r="A2959" s="1">
        <v>45661.208333333336</v>
      </c>
      <c r="B2959" t="s">
        <v>25</v>
      </c>
      <c r="C2959">
        <v>56.34</v>
      </c>
      <c r="D2959">
        <v>87.39</v>
      </c>
      <c r="E2959" t="s">
        <v>14</v>
      </c>
      <c r="F2959">
        <v>43.6</v>
      </c>
      <c r="G2959" t="s">
        <v>10</v>
      </c>
      <c r="H2959" t="s">
        <v>12</v>
      </c>
    </row>
    <row r="2960" spans="1:8" x14ac:dyDescent="0.25">
      <c r="A2960" s="1">
        <v>45661.25</v>
      </c>
      <c r="B2960" t="s">
        <v>25</v>
      </c>
      <c r="C2960">
        <v>287.66000000000003</v>
      </c>
      <c r="D2960">
        <v>85.98</v>
      </c>
      <c r="E2960" t="s">
        <v>14</v>
      </c>
      <c r="F2960">
        <v>52.83</v>
      </c>
      <c r="G2960" t="s">
        <v>10</v>
      </c>
      <c r="H2960" t="s">
        <v>11</v>
      </c>
    </row>
    <row r="2961" spans="1:8" x14ac:dyDescent="0.25">
      <c r="A2961" s="1">
        <v>45661.291666666664</v>
      </c>
      <c r="B2961" t="s">
        <v>25</v>
      </c>
      <c r="C2961">
        <v>143.22999999999999</v>
      </c>
      <c r="D2961">
        <v>26.89</v>
      </c>
      <c r="E2961" t="s">
        <v>9</v>
      </c>
      <c r="F2961">
        <v>69.11</v>
      </c>
      <c r="G2961" t="s">
        <v>10</v>
      </c>
      <c r="H2961" t="s">
        <v>11</v>
      </c>
    </row>
    <row r="2962" spans="1:8" x14ac:dyDescent="0.25">
      <c r="A2962" s="1">
        <v>45661.333333333336</v>
      </c>
      <c r="B2962" t="s">
        <v>25</v>
      </c>
      <c r="C2962">
        <v>458.41</v>
      </c>
      <c r="D2962">
        <v>18.61</v>
      </c>
      <c r="E2962" t="s">
        <v>9</v>
      </c>
      <c r="F2962">
        <v>42.34</v>
      </c>
      <c r="G2962" t="s">
        <v>10</v>
      </c>
      <c r="H2962" t="s">
        <v>12</v>
      </c>
    </row>
    <row r="2963" spans="1:8" x14ac:dyDescent="0.25">
      <c r="A2963" s="1">
        <v>45661.375</v>
      </c>
      <c r="B2963" t="s">
        <v>25</v>
      </c>
      <c r="C2963">
        <v>358.62</v>
      </c>
      <c r="D2963">
        <v>38.799999999999997</v>
      </c>
      <c r="E2963" t="s">
        <v>9</v>
      </c>
      <c r="F2963">
        <v>38.92</v>
      </c>
      <c r="G2963" t="s">
        <v>10</v>
      </c>
      <c r="H2963" t="s">
        <v>11</v>
      </c>
    </row>
    <row r="2964" spans="1:8" x14ac:dyDescent="0.25">
      <c r="A2964" s="1">
        <v>45661.416666666664</v>
      </c>
      <c r="B2964" t="s">
        <v>25</v>
      </c>
      <c r="C2964">
        <v>100.58</v>
      </c>
      <c r="D2964">
        <v>50.59</v>
      </c>
      <c r="E2964" t="s">
        <v>9</v>
      </c>
      <c r="F2964">
        <v>41.54</v>
      </c>
      <c r="G2964" t="s">
        <v>10</v>
      </c>
      <c r="H2964" t="s">
        <v>12</v>
      </c>
    </row>
    <row r="2965" spans="1:8" x14ac:dyDescent="0.25">
      <c r="A2965" s="1">
        <v>45661.458333333336</v>
      </c>
      <c r="B2965" t="s">
        <v>25</v>
      </c>
      <c r="C2965">
        <v>484.06</v>
      </c>
      <c r="D2965">
        <v>52.77</v>
      </c>
      <c r="E2965" t="s">
        <v>9</v>
      </c>
      <c r="F2965">
        <v>36.24</v>
      </c>
      <c r="G2965" t="s">
        <v>10</v>
      </c>
      <c r="H2965" t="s">
        <v>13</v>
      </c>
    </row>
    <row r="2966" spans="1:8" x14ac:dyDescent="0.25">
      <c r="A2966" s="1">
        <v>45661.5</v>
      </c>
      <c r="B2966" t="s">
        <v>25</v>
      </c>
      <c r="C2966">
        <v>363.71</v>
      </c>
      <c r="D2966">
        <v>42.73</v>
      </c>
      <c r="E2966" t="s">
        <v>9</v>
      </c>
      <c r="F2966">
        <v>83.24</v>
      </c>
      <c r="G2966" t="s">
        <v>10</v>
      </c>
      <c r="H2966" t="s">
        <v>11</v>
      </c>
    </row>
    <row r="2967" spans="1:8" x14ac:dyDescent="0.25">
      <c r="A2967" s="1">
        <v>45661.541666666664</v>
      </c>
      <c r="B2967" t="s">
        <v>25</v>
      </c>
      <c r="C2967">
        <v>120.46</v>
      </c>
      <c r="D2967">
        <v>29.08</v>
      </c>
      <c r="E2967" t="s">
        <v>9</v>
      </c>
      <c r="F2967">
        <v>85.61</v>
      </c>
      <c r="G2967" t="s">
        <v>10</v>
      </c>
      <c r="H2967" t="s">
        <v>12</v>
      </c>
    </row>
    <row r="2968" spans="1:8" x14ac:dyDescent="0.25">
      <c r="A2968" s="1">
        <v>45661.583333333336</v>
      </c>
      <c r="B2968" t="s">
        <v>25</v>
      </c>
      <c r="C2968">
        <v>247.84</v>
      </c>
      <c r="D2968">
        <v>38.479999999999997</v>
      </c>
      <c r="E2968" t="s">
        <v>9</v>
      </c>
      <c r="F2968">
        <v>34.03</v>
      </c>
      <c r="G2968" t="s">
        <v>10</v>
      </c>
      <c r="H2968" t="s">
        <v>12</v>
      </c>
    </row>
    <row r="2969" spans="1:8" x14ac:dyDescent="0.25">
      <c r="A2969" s="1">
        <v>45661.625</v>
      </c>
      <c r="B2969" t="s">
        <v>25</v>
      </c>
      <c r="C2969">
        <v>400.06</v>
      </c>
      <c r="D2969">
        <v>58.87</v>
      </c>
      <c r="E2969" t="s">
        <v>9</v>
      </c>
      <c r="F2969">
        <v>68.849999999999994</v>
      </c>
      <c r="G2969" t="s">
        <v>10</v>
      </c>
      <c r="H2969" t="s">
        <v>12</v>
      </c>
    </row>
    <row r="2970" spans="1:8" x14ac:dyDescent="0.25">
      <c r="A2970" s="1">
        <v>45661.666666666664</v>
      </c>
      <c r="B2970" t="s">
        <v>25</v>
      </c>
      <c r="C2970">
        <v>323.86</v>
      </c>
      <c r="D2970">
        <v>45.45</v>
      </c>
      <c r="E2970" t="s">
        <v>9</v>
      </c>
      <c r="F2970">
        <v>55.27</v>
      </c>
      <c r="G2970" t="s">
        <v>10</v>
      </c>
      <c r="H2970" t="s">
        <v>11</v>
      </c>
    </row>
    <row r="2971" spans="1:8" x14ac:dyDescent="0.25">
      <c r="A2971" s="1">
        <v>45661.708333333336</v>
      </c>
      <c r="B2971" t="s">
        <v>25</v>
      </c>
      <c r="C2971">
        <v>336.49</v>
      </c>
      <c r="D2971">
        <v>32.58</v>
      </c>
      <c r="E2971" t="s">
        <v>9</v>
      </c>
      <c r="F2971">
        <v>55.11</v>
      </c>
      <c r="G2971" t="s">
        <v>10</v>
      </c>
      <c r="H2971" t="s">
        <v>13</v>
      </c>
    </row>
    <row r="2972" spans="1:8" x14ac:dyDescent="0.25">
      <c r="A2972" s="1">
        <v>45661.75</v>
      </c>
      <c r="B2972" t="s">
        <v>25</v>
      </c>
      <c r="C2972">
        <v>342.31</v>
      </c>
      <c r="D2972">
        <v>18.09</v>
      </c>
      <c r="E2972" t="s">
        <v>9</v>
      </c>
      <c r="F2972">
        <v>69.2</v>
      </c>
      <c r="G2972" t="s">
        <v>10</v>
      </c>
      <c r="H2972" t="s">
        <v>11</v>
      </c>
    </row>
    <row r="2973" spans="1:8" x14ac:dyDescent="0.25">
      <c r="A2973" s="1">
        <v>45661.791666666664</v>
      </c>
      <c r="B2973" t="s">
        <v>25</v>
      </c>
      <c r="C2973">
        <v>147.93</v>
      </c>
      <c r="D2973">
        <v>80.73</v>
      </c>
      <c r="E2973" t="s">
        <v>9</v>
      </c>
      <c r="F2973">
        <v>64.91</v>
      </c>
      <c r="G2973" t="s">
        <v>10</v>
      </c>
      <c r="H2973" t="s">
        <v>12</v>
      </c>
    </row>
    <row r="2974" spans="1:8" x14ac:dyDescent="0.25">
      <c r="A2974" s="1">
        <v>45661.833333333336</v>
      </c>
      <c r="B2974" t="s">
        <v>25</v>
      </c>
      <c r="C2974">
        <v>308.92</v>
      </c>
      <c r="D2974">
        <v>50.5</v>
      </c>
      <c r="E2974" t="s">
        <v>9</v>
      </c>
      <c r="F2974">
        <v>63.83</v>
      </c>
      <c r="G2974" t="s">
        <v>10</v>
      </c>
      <c r="H2974" t="s">
        <v>11</v>
      </c>
    </row>
    <row r="2975" spans="1:8" x14ac:dyDescent="0.25">
      <c r="A2975" s="1">
        <v>45661.875</v>
      </c>
      <c r="B2975" t="s">
        <v>25</v>
      </c>
      <c r="C2975">
        <v>131.41</v>
      </c>
      <c r="D2975">
        <v>51.42</v>
      </c>
      <c r="E2975" t="s">
        <v>9</v>
      </c>
      <c r="F2975">
        <v>32.1</v>
      </c>
      <c r="G2975" t="s">
        <v>10</v>
      </c>
      <c r="H2975" t="s">
        <v>13</v>
      </c>
    </row>
    <row r="2976" spans="1:8" x14ac:dyDescent="0.25">
      <c r="A2976" s="1">
        <v>45661.916666666664</v>
      </c>
      <c r="B2976" t="s">
        <v>25</v>
      </c>
      <c r="C2976">
        <v>176.19</v>
      </c>
      <c r="D2976">
        <v>25.41</v>
      </c>
      <c r="E2976" t="s">
        <v>9</v>
      </c>
      <c r="F2976">
        <v>71.03</v>
      </c>
      <c r="G2976" t="s">
        <v>10</v>
      </c>
      <c r="H2976" t="s">
        <v>12</v>
      </c>
    </row>
    <row r="2977" spans="1:8" x14ac:dyDescent="0.25">
      <c r="A2977" s="1">
        <v>45661.958333333336</v>
      </c>
      <c r="B2977" t="s">
        <v>25</v>
      </c>
      <c r="C2977">
        <v>105.42</v>
      </c>
      <c r="D2977">
        <v>44.96</v>
      </c>
      <c r="E2977" t="s">
        <v>9</v>
      </c>
      <c r="F2977">
        <v>80</v>
      </c>
      <c r="G2977" t="s">
        <v>10</v>
      </c>
      <c r="H2977" t="s">
        <v>13</v>
      </c>
    </row>
    <row r="2978" spans="1:8" x14ac:dyDescent="0.25">
      <c r="A2978" s="1">
        <v>45662</v>
      </c>
      <c r="B2978" t="s">
        <v>25</v>
      </c>
      <c r="C2978">
        <v>301.73</v>
      </c>
      <c r="D2978">
        <v>17.71</v>
      </c>
      <c r="E2978" t="s">
        <v>9</v>
      </c>
      <c r="F2978">
        <v>85.92</v>
      </c>
      <c r="G2978" t="s">
        <v>10</v>
      </c>
      <c r="H2978" t="s">
        <v>11</v>
      </c>
    </row>
    <row r="2979" spans="1:8" x14ac:dyDescent="0.25">
      <c r="A2979" s="1">
        <v>45662.041666666664</v>
      </c>
      <c r="B2979" t="s">
        <v>25</v>
      </c>
      <c r="C2979">
        <v>354.5</v>
      </c>
      <c r="D2979">
        <v>86.97</v>
      </c>
      <c r="E2979" t="s">
        <v>14</v>
      </c>
      <c r="F2979">
        <v>76.489999999999995</v>
      </c>
      <c r="G2979" t="s">
        <v>10</v>
      </c>
      <c r="H2979" t="s">
        <v>11</v>
      </c>
    </row>
    <row r="2980" spans="1:8" x14ac:dyDescent="0.25">
      <c r="A2980" s="1">
        <v>45662.083333333336</v>
      </c>
      <c r="B2980" t="s">
        <v>25</v>
      </c>
      <c r="C2980">
        <v>75.290000000000006</v>
      </c>
      <c r="D2980">
        <v>65.17</v>
      </c>
      <c r="E2980" t="s">
        <v>9</v>
      </c>
      <c r="F2980">
        <v>75.88</v>
      </c>
      <c r="G2980" t="s">
        <v>10</v>
      </c>
      <c r="H2980" t="s">
        <v>11</v>
      </c>
    </row>
    <row r="2981" spans="1:8" x14ac:dyDescent="0.25">
      <c r="A2981" s="1">
        <v>45662.125</v>
      </c>
      <c r="B2981" t="s">
        <v>25</v>
      </c>
      <c r="C2981">
        <v>441.78</v>
      </c>
      <c r="D2981">
        <v>35.76</v>
      </c>
      <c r="E2981" t="s">
        <v>9</v>
      </c>
      <c r="F2981">
        <v>37.270000000000003</v>
      </c>
      <c r="G2981" t="s">
        <v>10</v>
      </c>
      <c r="H2981" t="s">
        <v>11</v>
      </c>
    </row>
    <row r="2982" spans="1:8" x14ac:dyDescent="0.25">
      <c r="A2982" s="1">
        <v>45662.166666666664</v>
      </c>
      <c r="B2982" t="s">
        <v>25</v>
      </c>
      <c r="C2982">
        <v>129.43</v>
      </c>
      <c r="D2982">
        <v>63.45</v>
      </c>
      <c r="E2982" t="s">
        <v>9</v>
      </c>
      <c r="F2982">
        <v>45.81</v>
      </c>
      <c r="G2982" t="s">
        <v>10</v>
      </c>
      <c r="H2982" t="s">
        <v>12</v>
      </c>
    </row>
    <row r="2983" spans="1:8" x14ac:dyDescent="0.25">
      <c r="A2983" s="1">
        <v>45662.208333333336</v>
      </c>
      <c r="B2983" t="s">
        <v>25</v>
      </c>
      <c r="C2983">
        <v>360.18</v>
      </c>
      <c r="D2983">
        <v>41.38</v>
      </c>
      <c r="E2983" t="s">
        <v>9</v>
      </c>
      <c r="F2983">
        <v>88.07</v>
      </c>
      <c r="G2983" t="s">
        <v>10</v>
      </c>
      <c r="H2983" t="s">
        <v>11</v>
      </c>
    </row>
    <row r="2984" spans="1:8" x14ac:dyDescent="0.25">
      <c r="A2984" s="1">
        <v>45662.25</v>
      </c>
      <c r="B2984" t="s">
        <v>25</v>
      </c>
      <c r="C2984">
        <v>160.13</v>
      </c>
      <c r="D2984">
        <v>86.18</v>
      </c>
      <c r="E2984" t="s">
        <v>14</v>
      </c>
      <c r="F2984">
        <v>36.590000000000003</v>
      </c>
      <c r="G2984" t="s">
        <v>10</v>
      </c>
      <c r="H2984" t="s">
        <v>13</v>
      </c>
    </row>
    <row r="2985" spans="1:8" x14ac:dyDescent="0.25">
      <c r="A2985" s="1">
        <v>45662.291666666664</v>
      </c>
      <c r="B2985" t="s">
        <v>25</v>
      </c>
      <c r="C2985">
        <v>340.49</v>
      </c>
      <c r="D2985">
        <v>24.62</v>
      </c>
      <c r="E2985" t="s">
        <v>9</v>
      </c>
      <c r="F2985">
        <v>73</v>
      </c>
      <c r="G2985" t="s">
        <v>10</v>
      </c>
      <c r="H2985" t="s">
        <v>13</v>
      </c>
    </row>
    <row r="2986" spans="1:8" x14ac:dyDescent="0.25">
      <c r="A2986" s="1">
        <v>45662.333333333336</v>
      </c>
      <c r="B2986" t="s">
        <v>25</v>
      </c>
      <c r="C2986">
        <v>478.3</v>
      </c>
      <c r="D2986">
        <v>70.59</v>
      </c>
      <c r="E2986" t="s">
        <v>9</v>
      </c>
      <c r="F2986">
        <v>67.05</v>
      </c>
      <c r="G2986" t="s">
        <v>10</v>
      </c>
      <c r="H2986" t="s">
        <v>11</v>
      </c>
    </row>
    <row r="2987" spans="1:8" x14ac:dyDescent="0.25">
      <c r="A2987" s="1">
        <v>45662.375</v>
      </c>
      <c r="B2987" t="s">
        <v>25</v>
      </c>
      <c r="C2987">
        <v>196.2</v>
      </c>
      <c r="D2987">
        <v>55.89</v>
      </c>
      <c r="E2987" t="s">
        <v>9</v>
      </c>
      <c r="F2987">
        <v>32.74</v>
      </c>
      <c r="G2987" t="s">
        <v>10</v>
      </c>
      <c r="H2987" t="s">
        <v>11</v>
      </c>
    </row>
    <row r="2988" spans="1:8" x14ac:dyDescent="0.25">
      <c r="A2988" s="1">
        <v>45662.416666666664</v>
      </c>
      <c r="B2988" t="s">
        <v>25</v>
      </c>
      <c r="C2988">
        <v>478.88</v>
      </c>
      <c r="D2988">
        <v>33.619999999999997</v>
      </c>
      <c r="E2988" t="s">
        <v>9</v>
      </c>
      <c r="F2988">
        <v>58.29</v>
      </c>
      <c r="G2988" t="s">
        <v>10</v>
      </c>
      <c r="H2988" t="s">
        <v>12</v>
      </c>
    </row>
    <row r="2989" spans="1:8" x14ac:dyDescent="0.25">
      <c r="A2989" s="1">
        <v>45662.458333333336</v>
      </c>
      <c r="B2989" t="s">
        <v>25</v>
      </c>
      <c r="C2989">
        <v>420.18</v>
      </c>
      <c r="D2989">
        <v>26.31</v>
      </c>
      <c r="E2989" t="s">
        <v>9</v>
      </c>
      <c r="F2989">
        <v>32.29</v>
      </c>
      <c r="G2989" t="s">
        <v>10</v>
      </c>
      <c r="H2989" t="s">
        <v>11</v>
      </c>
    </row>
    <row r="2990" spans="1:8" x14ac:dyDescent="0.25">
      <c r="A2990" s="1">
        <v>45662.5</v>
      </c>
      <c r="B2990" t="s">
        <v>25</v>
      </c>
      <c r="C2990">
        <v>200.2</v>
      </c>
      <c r="D2990">
        <v>80.959999999999994</v>
      </c>
      <c r="E2990" t="s">
        <v>9</v>
      </c>
      <c r="F2990">
        <v>47.49</v>
      </c>
      <c r="G2990" t="s">
        <v>10</v>
      </c>
      <c r="H2990" t="s">
        <v>12</v>
      </c>
    </row>
    <row r="2991" spans="1:8" x14ac:dyDescent="0.25">
      <c r="A2991" s="1">
        <v>45662.541666666664</v>
      </c>
      <c r="B2991" t="s">
        <v>25</v>
      </c>
      <c r="C2991">
        <v>367.83</v>
      </c>
      <c r="D2991">
        <v>65.75</v>
      </c>
      <c r="E2991" t="s">
        <v>9</v>
      </c>
      <c r="F2991">
        <v>82.74</v>
      </c>
      <c r="G2991" t="s">
        <v>10</v>
      </c>
      <c r="H2991" t="s">
        <v>12</v>
      </c>
    </row>
    <row r="2992" spans="1:8" x14ac:dyDescent="0.25">
      <c r="A2992" s="1">
        <v>45662.583333333336</v>
      </c>
      <c r="B2992" t="s">
        <v>25</v>
      </c>
      <c r="C2992">
        <v>275.45999999999998</v>
      </c>
      <c r="D2992">
        <v>62.96</v>
      </c>
      <c r="E2992" t="s">
        <v>9</v>
      </c>
      <c r="F2992">
        <v>48.17</v>
      </c>
      <c r="G2992" t="s">
        <v>10</v>
      </c>
      <c r="H2992" t="s">
        <v>11</v>
      </c>
    </row>
    <row r="2993" spans="1:8" x14ac:dyDescent="0.25">
      <c r="A2993" s="1">
        <v>45662.625</v>
      </c>
      <c r="B2993" t="s">
        <v>25</v>
      </c>
      <c r="C2993">
        <v>403.13</v>
      </c>
      <c r="D2993">
        <v>93.54</v>
      </c>
      <c r="E2993" t="s">
        <v>14</v>
      </c>
      <c r="F2993">
        <v>52.48</v>
      </c>
      <c r="G2993" t="s">
        <v>10</v>
      </c>
      <c r="H2993" t="s">
        <v>12</v>
      </c>
    </row>
    <row r="2994" spans="1:8" x14ac:dyDescent="0.25">
      <c r="A2994" s="1">
        <v>45662.666666666664</v>
      </c>
      <c r="B2994" t="s">
        <v>25</v>
      </c>
      <c r="C2994">
        <v>352.66</v>
      </c>
      <c r="D2994">
        <v>69.930000000000007</v>
      </c>
      <c r="E2994" t="s">
        <v>9</v>
      </c>
      <c r="F2994">
        <v>32.76</v>
      </c>
      <c r="G2994" t="s">
        <v>10</v>
      </c>
      <c r="H2994" t="s">
        <v>12</v>
      </c>
    </row>
    <row r="2995" spans="1:8" x14ac:dyDescent="0.25">
      <c r="A2995" s="1">
        <v>45662.708333333336</v>
      </c>
      <c r="B2995" t="s">
        <v>25</v>
      </c>
      <c r="C2995">
        <v>235.29</v>
      </c>
      <c r="D2995">
        <v>21.85</v>
      </c>
      <c r="E2995" t="s">
        <v>9</v>
      </c>
      <c r="F2995">
        <v>44.15</v>
      </c>
      <c r="G2995" t="s">
        <v>10</v>
      </c>
      <c r="H2995" t="s">
        <v>11</v>
      </c>
    </row>
    <row r="2996" spans="1:8" x14ac:dyDescent="0.25">
      <c r="A2996" s="1">
        <v>45662.75</v>
      </c>
      <c r="B2996" t="s">
        <v>25</v>
      </c>
      <c r="C2996">
        <v>361.88</v>
      </c>
      <c r="D2996">
        <v>15.15</v>
      </c>
      <c r="E2996" t="s">
        <v>9</v>
      </c>
      <c r="F2996">
        <v>49.48</v>
      </c>
      <c r="G2996" t="s">
        <v>10</v>
      </c>
      <c r="H2996" t="s">
        <v>12</v>
      </c>
    </row>
    <row r="2997" spans="1:8" x14ac:dyDescent="0.25">
      <c r="A2997" s="1">
        <v>45662.791666666664</v>
      </c>
      <c r="B2997" t="s">
        <v>25</v>
      </c>
      <c r="C2997">
        <v>386.98</v>
      </c>
      <c r="D2997">
        <v>39.49</v>
      </c>
      <c r="E2997" t="s">
        <v>9</v>
      </c>
      <c r="F2997">
        <v>68</v>
      </c>
      <c r="G2997" t="s">
        <v>10</v>
      </c>
      <c r="H2997" t="s">
        <v>12</v>
      </c>
    </row>
    <row r="2998" spans="1:8" x14ac:dyDescent="0.25">
      <c r="A2998" s="1">
        <v>45662.833333333336</v>
      </c>
      <c r="B2998" t="s">
        <v>25</v>
      </c>
      <c r="C2998">
        <v>319.69</v>
      </c>
      <c r="D2998">
        <v>29.16</v>
      </c>
      <c r="E2998" t="s">
        <v>9</v>
      </c>
      <c r="F2998">
        <v>76.930000000000007</v>
      </c>
      <c r="G2998" t="s">
        <v>10</v>
      </c>
      <c r="H2998" t="s">
        <v>13</v>
      </c>
    </row>
    <row r="2999" spans="1:8" x14ac:dyDescent="0.25">
      <c r="A2999" s="1">
        <v>45662.875</v>
      </c>
      <c r="B2999" t="s">
        <v>25</v>
      </c>
      <c r="C2999">
        <v>304.06</v>
      </c>
      <c r="D2999">
        <v>19.170000000000002</v>
      </c>
      <c r="E2999" t="s">
        <v>9</v>
      </c>
      <c r="F2999">
        <v>82.55</v>
      </c>
      <c r="G2999" t="s">
        <v>10</v>
      </c>
      <c r="H2999" t="s">
        <v>13</v>
      </c>
    </row>
    <row r="3000" spans="1:8" x14ac:dyDescent="0.25">
      <c r="A3000" s="1">
        <v>45662.916666666664</v>
      </c>
      <c r="B3000" t="s">
        <v>25</v>
      </c>
      <c r="C3000">
        <v>221.69</v>
      </c>
      <c r="D3000">
        <v>73.510000000000005</v>
      </c>
      <c r="E3000" t="s">
        <v>9</v>
      </c>
      <c r="F3000">
        <v>85.67</v>
      </c>
      <c r="G3000" t="s">
        <v>10</v>
      </c>
      <c r="H3000" t="s">
        <v>11</v>
      </c>
    </row>
    <row r="3001" spans="1:8" x14ac:dyDescent="0.25">
      <c r="A3001" s="1">
        <v>45662.958333333336</v>
      </c>
      <c r="B3001" t="s">
        <v>25</v>
      </c>
      <c r="C3001">
        <v>172.24</v>
      </c>
      <c r="D3001">
        <v>74.14</v>
      </c>
      <c r="E3001" t="s">
        <v>9</v>
      </c>
      <c r="F3001">
        <v>34.96</v>
      </c>
      <c r="G3001" t="s">
        <v>10</v>
      </c>
      <c r="H3001" t="s">
        <v>11</v>
      </c>
    </row>
    <row r="3002" spans="1:8" x14ac:dyDescent="0.25">
      <c r="A3002" s="1">
        <v>45663</v>
      </c>
      <c r="B3002" t="s">
        <v>25</v>
      </c>
      <c r="C3002">
        <v>289.42</v>
      </c>
      <c r="D3002">
        <v>28.29</v>
      </c>
      <c r="E3002" t="s">
        <v>9</v>
      </c>
      <c r="F3002">
        <v>68.099999999999994</v>
      </c>
      <c r="G3002" t="s">
        <v>10</v>
      </c>
      <c r="H3002" t="s">
        <v>12</v>
      </c>
    </row>
    <row r="3003" spans="1:8" x14ac:dyDescent="0.25">
      <c r="A3003" s="1">
        <v>45663.041666666664</v>
      </c>
      <c r="B3003" t="s">
        <v>25</v>
      </c>
      <c r="C3003">
        <v>406.19</v>
      </c>
      <c r="D3003">
        <v>79.45</v>
      </c>
      <c r="E3003" t="s">
        <v>9</v>
      </c>
      <c r="F3003">
        <v>57.83</v>
      </c>
      <c r="G3003" t="s">
        <v>10</v>
      </c>
      <c r="H3003" t="s">
        <v>13</v>
      </c>
    </row>
    <row r="3004" spans="1:8" x14ac:dyDescent="0.25">
      <c r="A3004" s="1">
        <v>45663.083333333336</v>
      </c>
      <c r="B3004" t="s">
        <v>25</v>
      </c>
      <c r="C3004">
        <v>334.84</v>
      </c>
      <c r="D3004">
        <v>79.11</v>
      </c>
      <c r="E3004" t="s">
        <v>9</v>
      </c>
      <c r="F3004">
        <v>88.75</v>
      </c>
      <c r="G3004" t="s">
        <v>10</v>
      </c>
      <c r="H3004" t="s">
        <v>12</v>
      </c>
    </row>
    <row r="3005" spans="1:8" x14ac:dyDescent="0.25">
      <c r="A3005" s="1">
        <v>45663.125</v>
      </c>
      <c r="B3005" t="s">
        <v>25</v>
      </c>
      <c r="C3005">
        <v>66.099999999999994</v>
      </c>
      <c r="D3005">
        <v>15.4</v>
      </c>
      <c r="E3005" t="s">
        <v>9</v>
      </c>
      <c r="F3005">
        <v>49.22</v>
      </c>
      <c r="G3005" t="s">
        <v>10</v>
      </c>
      <c r="H3005" t="s">
        <v>13</v>
      </c>
    </row>
    <row r="3006" spans="1:8" x14ac:dyDescent="0.25">
      <c r="A3006" s="1">
        <v>45663.166666666664</v>
      </c>
      <c r="B3006" t="s">
        <v>25</v>
      </c>
      <c r="C3006">
        <v>381.2</v>
      </c>
      <c r="D3006">
        <v>76.41</v>
      </c>
      <c r="E3006" t="s">
        <v>9</v>
      </c>
      <c r="F3006">
        <v>43.87</v>
      </c>
      <c r="G3006" t="s">
        <v>10</v>
      </c>
      <c r="H3006" t="s">
        <v>11</v>
      </c>
    </row>
    <row r="3007" spans="1:8" x14ac:dyDescent="0.25">
      <c r="A3007" s="1">
        <v>45663.208333333336</v>
      </c>
      <c r="B3007" t="s">
        <v>25</v>
      </c>
      <c r="C3007">
        <v>93.78</v>
      </c>
      <c r="D3007">
        <v>34.54</v>
      </c>
      <c r="E3007" t="s">
        <v>9</v>
      </c>
      <c r="F3007">
        <v>69.78</v>
      </c>
      <c r="G3007" t="s">
        <v>10</v>
      </c>
      <c r="H3007" t="s">
        <v>11</v>
      </c>
    </row>
    <row r="3008" spans="1:8" x14ac:dyDescent="0.25">
      <c r="A3008" s="1">
        <v>45663.25</v>
      </c>
      <c r="B3008" t="s">
        <v>25</v>
      </c>
      <c r="C3008">
        <v>345.26</v>
      </c>
      <c r="D3008">
        <v>47.66</v>
      </c>
      <c r="E3008" t="s">
        <v>9</v>
      </c>
      <c r="F3008">
        <v>67.86</v>
      </c>
      <c r="G3008" t="s">
        <v>10</v>
      </c>
      <c r="H3008" t="s">
        <v>12</v>
      </c>
    </row>
    <row r="3009" spans="1:8" x14ac:dyDescent="0.25">
      <c r="A3009" s="1">
        <v>45663.291666666664</v>
      </c>
      <c r="B3009" t="s">
        <v>25</v>
      </c>
      <c r="C3009">
        <v>202.86</v>
      </c>
      <c r="D3009">
        <v>65.39</v>
      </c>
      <c r="E3009" t="s">
        <v>9</v>
      </c>
      <c r="F3009">
        <v>65.459999999999994</v>
      </c>
      <c r="G3009" t="s">
        <v>10</v>
      </c>
      <c r="H3009" t="s">
        <v>13</v>
      </c>
    </row>
    <row r="3010" spans="1:8" x14ac:dyDescent="0.25">
      <c r="A3010" s="1">
        <v>45663.333333333336</v>
      </c>
      <c r="B3010" t="s">
        <v>25</v>
      </c>
      <c r="C3010">
        <v>100.81</v>
      </c>
      <c r="D3010">
        <v>69.260000000000005</v>
      </c>
      <c r="E3010" t="s">
        <v>9</v>
      </c>
      <c r="F3010">
        <v>56.44</v>
      </c>
      <c r="G3010" t="s">
        <v>10</v>
      </c>
      <c r="H3010" t="s">
        <v>11</v>
      </c>
    </row>
    <row r="3011" spans="1:8" x14ac:dyDescent="0.25">
      <c r="A3011" s="1">
        <v>45663.375</v>
      </c>
      <c r="B3011" t="s">
        <v>25</v>
      </c>
      <c r="C3011">
        <v>332.91</v>
      </c>
      <c r="D3011">
        <v>88.07</v>
      </c>
      <c r="E3011" t="s">
        <v>14</v>
      </c>
      <c r="F3011">
        <v>32.17</v>
      </c>
      <c r="G3011" t="s">
        <v>10</v>
      </c>
      <c r="H3011" t="s">
        <v>11</v>
      </c>
    </row>
    <row r="3012" spans="1:8" x14ac:dyDescent="0.25">
      <c r="A3012" s="1">
        <v>45663.416666666664</v>
      </c>
      <c r="B3012" t="s">
        <v>25</v>
      </c>
      <c r="C3012">
        <v>277.5</v>
      </c>
      <c r="D3012">
        <v>66.67</v>
      </c>
      <c r="E3012" t="s">
        <v>9</v>
      </c>
      <c r="F3012">
        <v>49.32</v>
      </c>
      <c r="G3012" t="s">
        <v>10</v>
      </c>
      <c r="H3012" t="s">
        <v>13</v>
      </c>
    </row>
    <row r="3013" spans="1:8" x14ac:dyDescent="0.25">
      <c r="A3013" s="1">
        <v>45663.458333333336</v>
      </c>
      <c r="B3013" t="s">
        <v>25</v>
      </c>
      <c r="C3013">
        <v>378.07</v>
      </c>
      <c r="D3013">
        <v>33.64</v>
      </c>
      <c r="E3013" t="s">
        <v>9</v>
      </c>
      <c r="F3013">
        <v>65.67</v>
      </c>
      <c r="G3013" t="s">
        <v>10</v>
      </c>
      <c r="H3013" t="s">
        <v>13</v>
      </c>
    </row>
    <row r="3014" spans="1:8" x14ac:dyDescent="0.25">
      <c r="A3014" s="1">
        <v>45663.5</v>
      </c>
      <c r="B3014" t="s">
        <v>25</v>
      </c>
      <c r="C3014">
        <v>459.8</v>
      </c>
      <c r="D3014">
        <v>91.67</v>
      </c>
      <c r="E3014" t="s">
        <v>14</v>
      </c>
      <c r="F3014">
        <v>76.400000000000006</v>
      </c>
      <c r="G3014" t="s">
        <v>10</v>
      </c>
      <c r="H3014" t="s">
        <v>13</v>
      </c>
    </row>
    <row r="3015" spans="1:8" x14ac:dyDescent="0.25">
      <c r="A3015" s="1">
        <v>45663.541666666664</v>
      </c>
      <c r="B3015" t="s">
        <v>25</v>
      </c>
      <c r="C3015">
        <v>218.1</v>
      </c>
      <c r="D3015">
        <v>77.489999999999995</v>
      </c>
      <c r="E3015" t="s">
        <v>9</v>
      </c>
      <c r="F3015">
        <v>56.81</v>
      </c>
      <c r="G3015" t="s">
        <v>10</v>
      </c>
      <c r="H3015" t="s">
        <v>13</v>
      </c>
    </row>
    <row r="3016" spans="1:8" x14ac:dyDescent="0.25">
      <c r="A3016" s="1">
        <v>45663.583333333336</v>
      </c>
      <c r="B3016" t="s">
        <v>25</v>
      </c>
      <c r="C3016">
        <v>368.08</v>
      </c>
      <c r="D3016">
        <v>89.94</v>
      </c>
      <c r="E3016" t="s">
        <v>14</v>
      </c>
      <c r="F3016">
        <v>41.22</v>
      </c>
      <c r="G3016" t="s">
        <v>10</v>
      </c>
      <c r="H3016" t="s">
        <v>11</v>
      </c>
    </row>
    <row r="3017" spans="1:8" x14ac:dyDescent="0.25">
      <c r="A3017" s="1">
        <v>45663.625</v>
      </c>
      <c r="B3017" t="s">
        <v>25</v>
      </c>
      <c r="C3017">
        <v>301.10000000000002</v>
      </c>
      <c r="D3017">
        <v>89.02</v>
      </c>
      <c r="E3017" t="s">
        <v>14</v>
      </c>
      <c r="F3017">
        <v>36.119999999999997</v>
      </c>
      <c r="G3017" t="s">
        <v>10</v>
      </c>
      <c r="H3017" t="s">
        <v>12</v>
      </c>
    </row>
    <row r="3018" spans="1:8" x14ac:dyDescent="0.25">
      <c r="A3018" s="1">
        <v>45663.666666666664</v>
      </c>
      <c r="B3018" t="s">
        <v>25</v>
      </c>
      <c r="C3018">
        <v>486.63</v>
      </c>
      <c r="D3018">
        <v>41.92</v>
      </c>
      <c r="E3018" t="s">
        <v>9</v>
      </c>
      <c r="F3018">
        <v>51</v>
      </c>
      <c r="G3018" t="s">
        <v>10</v>
      </c>
      <c r="H3018" t="s">
        <v>11</v>
      </c>
    </row>
    <row r="3019" spans="1:8" x14ac:dyDescent="0.25">
      <c r="A3019" s="1">
        <v>45663.708333333336</v>
      </c>
      <c r="B3019" t="s">
        <v>25</v>
      </c>
      <c r="C3019">
        <v>216.37</v>
      </c>
      <c r="D3019">
        <v>27.54</v>
      </c>
      <c r="E3019" t="s">
        <v>9</v>
      </c>
      <c r="F3019">
        <v>30.69</v>
      </c>
      <c r="G3019" t="s">
        <v>10</v>
      </c>
      <c r="H3019" t="s">
        <v>12</v>
      </c>
    </row>
    <row r="3020" spans="1:8" x14ac:dyDescent="0.25">
      <c r="A3020" s="1">
        <v>45663.75</v>
      </c>
      <c r="B3020" t="s">
        <v>25</v>
      </c>
      <c r="C3020">
        <v>388.27</v>
      </c>
      <c r="D3020">
        <v>74.5</v>
      </c>
      <c r="E3020" t="s">
        <v>9</v>
      </c>
      <c r="F3020">
        <v>50.7</v>
      </c>
      <c r="G3020" t="s">
        <v>10</v>
      </c>
      <c r="H3020" t="s">
        <v>11</v>
      </c>
    </row>
    <row r="3021" spans="1:8" x14ac:dyDescent="0.25">
      <c r="A3021" s="1">
        <v>45663.791666666664</v>
      </c>
      <c r="B3021" t="s">
        <v>25</v>
      </c>
      <c r="C3021">
        <v>259.76</v>
      </c>
      <c r="D3021">
        <v>74.73</v>
      </c>
      <c r="E3021" t="s">
        <v>9</v>
      </c>
      <c r="F3021">
        <v>40.64</v>
      </c>
      <c r="G3021" t="s">
        <v>10</v>
      </c>
      <c r="H3021" t="s">
        <v>13</v>
      </c>
    </row>
    <row r="3022" spans="1:8" x14ac:dyDescent="0.25">
      <c r="A3022" s="1">
        <v>45663.833333333336</v>
      </c>
      <c r="B3022" t="s">
        <v>25</v>
      </c>
      <c r="C3022">
        <v>105.69</v>
      </c>
      <c r="D3022">
        <v>20.48</v>
      </c>
      <c r="E3022" t="s">
        <v>9</v>
      </c>
      <c r="F3022">
        <v>75.33</v>
      </c>
      <c r="G3022" t="s">
        <v>10</v>
      </c>
      <c r="H3022" t="s">
        <v>11</v>
      </c>
    </row>
    <row r="3023" spans="1:8" x14ac:dyDescent="0.25">
      <c r="A3023" s="1">
        <v>45663.875</v>
      </c>
      <c r="B3023" t="s">
        <v>25</v>
      </c>
      <c r="C3023">
        <v>450.71</v>
      </c>
      <c r="D3023">
        <v>49.15</v>
      </c>
      <c r="E3023" t="s">
        <v>9</v>
      </c>
      <c r="F3023">
        <v>48.66</v>
      </c>
      <c r="G3023" t="s">
        <v>10</v>
      </c>
      <c r="H3023" t="s">
        <v>13</v>
      </c>
    </row>
    <row r="3024" spans="1:8" x14ac:dyDescent="0.25">
      <c r="A3024" s="1">
        <v>45663.916666666664</v>
      </c>
      <c r="B3024" t="s">
        <v>25</v>
      </c>
      <c r="C3024">
        <v>76.099999999999994</v>
      </c>
      <c r="D3024">
        <v>61.27</v>
      </c>
      <c r="E3024" t="s">
        <v>9</v>
      </c>
      <c r="F3024">
        <v>50.96</v>
      </c>
      <c r="G3024" t="s">
        <v>10</v>
      </c>
      <c r="H3024" t="s">
        <v>13</v>
      </c>
    </row>
    <row r="3025" spans="1:8" x14ac:dyDescent="0.25">
      <c r="A3025" s="1">
        <v>45663.958333333336</v>
      </c>
      <c r="B3025" t="s">
        <v>25</v>
      </c>
      <c r="C3025">
        <v>406.99</v>
      </c>
      <c r="D3025">
        <v>80.83</v>
      </c>
      <c r="E3025" t="s">
        <v>9</v>
      </c>
      <c r="F3025">
        <v>32</v>
      </c>
      <c r="G3025" t="s">
        <v>10</v>
      </c>
      <c r="H3025" t="s">
        <v>11</v>
      </c>
    </row>
    <row r="3026" spans="1:8" x14ac:dyDescent="0.25">
      <c r="A3026" s="1">
        <v>45664</v>
      </c>
      <c r="B3026" t="s">
        <v>25</v>
      </c>
      <c r="C3026">
        <v>218.59</v>
      </c>
      <c r="D3026">
        <v>15.37</v>
      </c>
      <c r="E3026" t="s">
        <v>9</v>
      </c>
      <c r="F3026">
        <v>53.42</v>
      </c>
      <c r="G3026" t="s">
        <v>10</v>
      </c>
      <c r="H3026" t="s">
        <v>11</v>
      </c>
    </row>
    <row r="3027" spans="1:8" x14ac:dyDescent="0.25">
      <c r="A3027" s="1">
        <v>45664.041666666664</v>
      </c>
      <c r="B3027" t="s">
        <v>25</v>
      </c>
      <c r="C3027">
        <v>442.42</v>
      </c>
      <c r="D3027">
        <v>45.9</v>
      </c>
      <c r="E3027" t="s">
        <v>9</v>
      </c>
      <c r="F3027">
        <v>40.770000000000003</v>
      </c>
      <c r="G3027" t="s">
        <v>10</v>
      </c>
      <c r="H3027" t="s">
        <v>11</v>
      </c>
    </row>
    <row r="3028" spans="1:8" x14ac:dyDescent="0.25">
      <c r="A3028" s="1">
        <v>45664.083333333336</v>
      </c>
      <c r="B3028" t="s">
        <v>25</v>
      </c>
      <c r="C3028">
        <v>314.64</v>
      </c>
      <c r="D3028">
        <v>75.25</v>
      </c>
      <c r="E3028" t="s">
        <v>9</v>
      </c>
      <c r="F3028">
        <v>54.8</v>
      </c>
      <c r="G3028" t="s">
        <v>10</v>
      </c>
      <c r="H3028" t="s">
        <v>13</v>
      </c>
    </row>
    <row r="3029" spans="1:8" x14ac:dyDescent="0.25">
      <c r="A3029" s="1">
        <v>45664.125</v>
      </c>
      <c r="B3029" t="s">
        <v>25</v>
      </c>
      <c r="C3029">
        <v>142.72999999999999</v>
      </c>
      <c r="D3029">
        <v>44.96</v>
      </c>
      <c r="E3029" t="s">
        <v>9</v>
      </c>
      <c r="F3029">
        <v>31.51</v>
      </c>
      <c r="G3029" t="s">
        <v>10</v>
      </c>
      <c r="H3029" t="s">
        <v>12</v>
      </c>
    </row>
    <row r="3030" spans="1:8" x14ac:dyDescent="0.25">
      <c r="A3030" s="1">
        <v>45664.166666666664</v>
      </c>
      <c r="B3030" t="s">
        <v>25</v>
      </c>
      <c r="C3030">
        <v>266.76</v>
      </c>
      <c r="D3030">
        <v>56.88</v>
      </c>
      <c r="E3030" t="s">
        <v>9</v>
      </c>
      <c r="F3030">
        <v>86.94</v>
      </c>
      <c r="G3030" t="s">
        <v>10</v>
      </c>
      <c r="H3030" t="s">
        <v>13</v>
      </c>
    </row>
    <row r="3031" spans="1:8" x14ac:dyDescent="0.25">
      <c r="A3031" s="1">
        <v>45664.208333333336</v>
      </c>
      <c r="B3031" t="s">
        <v>25</v>
      </c>
      <c r="C3031">
        <v>104.95</v>
      </c>
      <c r="D3031">
        <v>51.01</v>
      </c>
      <c r="E3031" t="s">
        <v>9</v>
      </c>
      <c r="F3031">
        <v>38</v>
      </c>
      <c r="G3031" t="s">
        <v>10</v>
      </c>
      <c r="H3031" t="s">
        <v>13</v>
      </c>
    </row>
    <row r="3032" spans="1:8" x14ac:dyDescent="0.25">
      <c r="A3032" s="1">
        <v>45664.25</v>
      </c>
      <c r="B3032" t="s">
        <v>25</v>
      </c>
      <c r="C3032">
        <v>380.58</v>
      </c>
      <c r="D3032">
        <v>58.82</v>
      </c>
      <c r="E3032" t="s">
        <v>9</v>
      </c>
      <c r="F3032">
        <v>44.71</v>
      </c>
      <c r="G3032" t="s">
        <v>10</v>
      </c>
      <c r="H3032" t="s">
        <v>12</v>
      </c>
    </row>
    <row r="3033" spans="1:8" x14ac:dyDescent="0.25">
      <c r="A3033" s="1">
        <v>45664.291666666664</v>
      </c>
      <c r="B3033" t="s">
        <v>25</v>
      </c>
      <c r="C3033">
        <v>205.32</v>
      </c>
      <c r="D3033">
        <v>15.42</v>
      </c>
      <c r="E3033" t="s">
        <v>9</v>
      </c>
      <c r="F3033">
        <v>45.08</v>
      </c>
      <c r="G3033" t="s">
        <v>10</v>
      </c>
      <c r="H3033" t="s">
        <v>12</v>
      </c>
    </row>
    <row r="3034" spans="1:8" x14ac:dyDescent="0.25">
      <c r="A3034" s="1">
        <v>45664.333333333336</v>
      </c>
      <c r="B3034" t="s">
        <v>25</v>
      </c>
      <c r="C3034">
        <v>430.23</v>
      </c>
      <c r="D3034">
        <v>52.48</v>
      </c>
      <c r="E3034" t="s">
        <v>9</v>
      </c>
      <c r="F3034">
        <v>39.74</v>
      </c>
      <c r="G3034" t="s">
        <v>10</v>
      </c>
      <c r="H3034" t="s">
        <v>13</v>
      </c>
    </row>
    <row r="3035" spans="1:8" x14ac:dyDescent="0.25">
      <c r="A3035" s="1">
        <v>45664.375</v>
      </c>
      <c r="B3035" t="s">
        <v>25</v>
      </c>
      <c r="C3035">
        <v>484.5</v>
      </c>
      <c r="D3035">
        <v>36.81</v>
      </c>
      <c r="E3035" t="s">
        <v>9</v>
      </c>
      <c r="F3035">
        <v>84.52</v>
      </c>
      <c r="G3035" t="s">
        <v>10</v>
      </c>
      <c r="H3035" t="s">
        <v>12</v>
      </c>
    </row>
    <row r="3036" spans="1:8" x14ac:dyDescent="0.25">
      <c r="A3036" s="1">
        <v>45664.416666666664</v>
      </c>
      <c r="B3036" t="s">
        <v>25</v>
      </c>
      <c r="C3036">
        <v>477.94</v>
      </c>
      <c r="D3036">
        <v>61.14</v>
      </c>
      <c r="E3036" t="s">
        <v>9</v>
      </c>
      <c r="F3036">
        <v>77.739999999999995</v>
      </c>
      <c r="G3036" t="s">
        <v>10</v>
      </c>
      <c r="H3036" t="s">
        <v>11</v>
      </c>
    </row>
    <row r="3037" spans="1:8" x14ac:dyDescent="0.25">
      <c r="A3037" s="1">
        <v>45664.458333333336</v>
      </c>
      <c r="B3037" t="s">
        <v>25</v>
      </c>
      <c r="C3037">
        <v>202.14</v>
      </c>
      <c r="D3037">
        <v>38.520000000000003</v>
      </c>
      <c r="E3037" t="s">
        <v>9</v>
      </c>
      <c r="F3037">
        <v>82.09</v>
      </c>
      <c r="G3037" t="s">
        <v>10</v>
      </c>
      <c r="H3037" t="s">
        <v>12</v>
      </c>
    </row>
    <row r="3038" spans="1:8" x14ac:dyDescent="0.25">
      <c r="A3038" s="1">
        <v>45664.5</v>
      </c>
      <c r="B3038" t="s">
        <v>25</v>
      </c>
      <c r="C3038">
        <v>157.41</v>
      </c>
      <c r="D3038">
        <v>30.15</v>
      </c>
      <c r="E3038" t="s">
        <v>9</v>
      </c>
      <c r="F3038">
        <v>59.77</v>
      </c>
      <c r="G3038" t="s">
        <v>10</v>
      </c>
      <c r="H3038" t="s">
        <v>13</v>
      </c>
    </row>
    <row r="3039" spans="1:8" x14ac:dyDescent="0.25">
      <c r="A3039" s="1">
        <v>45664.541666666664</v>
      </c>
      <c r="B3039" t="s">
        <v>25</v>
      </c>
      <c r="C3039">
        <v>118.25</v>
      </c>
      <c r="D3039">
        <v>33.94</v>
      </c>
      <c r="E3039" t="s">
        <v>9</v>
      </c>
      <c r="F3039">
        <v>47.62</v>
      </c>
      <c r="G3039" t="s">
        <v>10</v>
      </c>
      <c r="H3039" t="s">
        <v>13</v>
      </c>
    </row>
    <row r="3040" spans="1:8" x14ac:dyDescent="0.25">
      <c r="A3040" s="1">
        <v>45664.583333333336</v>
      </c>
      <c r="B3040" t="s">
        <v>25</v>
      </c>
      <c r="C3040">
        <v>400.4</v>
      </c>
      <c r="D3040">
        <v>59.68</v>
      </c>
      <c r="E3040" t="s">
        <v>9</v>
      </c>
      <c r="F3040">
        <v>54.15</v>
      </c>
      <c r="G3040" t="s">
        <v>10</v>
      </c>
      <c r="H3040" t="s">
        <v>11</v>
      </c>
    </row>
    <row r="3041" spans="1:8" x14ac:dyDescent="0.25">
      <c r="A3041" s="1">
        <v>45664.625</v>
      </c>
      <c r="B3041" t="s">
        <v>25</v>
      </c>
      <c r="C3041">
        <v>480.32</v>
      </c>
      <c r="D3041">
        <v>75.959999999999994</v>
      </c>
      <c r="E3041" t="s">
        <v>9</v>
      </c>
      <c r="F3041">
        <v>54.32</v>
      </c>
      <c r="G3041" t="s">
        <v>10</v>
      </c>
      <c r="H3041" t="s">
        <v>12</v>
      </c>
    </row>
    <row r="3042" spans="1:8" x14ac:dyDescent="0.25">
      <c r="A3042" s="1">
        <v>45664.666666666664</v>
      </c>
      <c r="B3042" t="s">
        <v>25</v>
      </c>
      <c r="C3042">
        <v>351.48</v>
      </c>
      <c r="D3042">
        <v>34.880000000000003</v>
      </c>
      <c r="E3042" t="s">
        <v>9</v>
      </c>
      <c r="F3042">
        <v>44.71</v>
      </c>
      <c r="G3042" t="s">
        <v>10</v>
      </c>
      <c r="H3042" t="s">
        <v>13</v>
      </c>
    </row>
    <row r="3043" spans="1:8" x14ac:dyDescent="0.25">
      <c r="A3043" s="1">
        <v>45664.708333333336</v>
      </c>
      <c r="B3043" t="s">
        <v>25</v>
      </c>
      <c r="C3043">
        <v>85.11</v>
      </c>
      <c r="D3043">
        <v>86.29</v>
      </c>
      <c r="E3043" t="s">
        <v>14</v>
      </c>
      <c r="F3043">
        <v>44.79</v>
      </c>
      <c r="G3043" t="s">
        <v>10</v>
      </c>
      <c r="H3043" t="s">
        <v>11</v>
      </c>
    </row>
    <row r="3044" spans="1:8" x14ac:dyDescent="0.25">
      <c r="A3044" s="1">
        <v>45664.75</v>
      </c>
      <c r="B3044" t="s">
        <v>25</v>
      </c>
      <c r="C3044">
        <v>319.43</v>
      </c>
      <c r="D3044">
        <v>49.96</v>
      </c>
      <c r="E3044" t="s">
        <v>9</v>
      </c>
      <c r="F3044">
        <v>65.819999999999993</v>
      </c>
      <c r="G3044" t="s">
        <v>10</v>
      </c>
      <c r="H3044" t="s">
        <v>11</v>
      </c>
    </row>
    <row r="3045" spans="1:8" x14ac:dyDescent="0.25">
      <c r="A3045" s="1">
        <v>45664.791666666664</v>
      </c>
      <c r="B3045" t="s">
        <v>25</v>
      </c>
      <c r="C3045">
        <v>402.38</v>
      </c>
      <c r="D3045">
        <v>81.75</v>
      </c>
      <c r="E3045" t="s">
        <v>9</v>
      </c>
      <c r="F3045">
        <v>57.26</v>
      </c>
      <c r="G3045" t="s">
        <v>10</v>
      </c>
      <c r="H3045" t="s">
        <v>11</v>
      </c>
    </row>
    <row r="3046" spans="1:8" x14ac:dyDescent="0.25">
      <c r="A3046" s="1">
        <v>45664.833333333336</v>
      </c>
      <c r="B3046" t="s">
        <v>25</v>
      </c>
      <c r="C3046">
        <v>185.28</v>
      </c>
      <c r="D3046">
        <v>67.55</v>
      </c>
      <c r="E3046" t="s">
        <v>9</v>
      </c>
      <c r="F3046">
        <v>71.739999999999995</v>
      </c>
      <c r="G3046" t="s">
        <v>10</v>
      </c>
      <c r="H3046" t="s">
        <v>12</v>
      </c>
    </row>
    <row r="3047" spans="1:8" x14ac:dyDescent="0.25">
      <c r="A3047" s="1">
        <v>45664.875</v>
      </c>
      <c r="B3047" t="s">
        <v>25</v>
      </c>
      <c r="C3047">
        <v>466.4</v>
      </c>
      <c r="D3047">
        <v>31.82</v>
      </c>
      <c r="E3047" t="s">
        <v>9</v>
      </c>
      <c r="F3047">
        <v>48.61</v>
      </c>
      <c r="G3047" t="s">
        <v>10</v>
      </c>
      <c r="H3047" t="s">
        <v>12</v>
      </c>
    </row>
    <row r="3048" spans="1:8" x14ac:dyDescent="0.25">
      <c r="A3048" s="1">
        <v>45664.916666666664</v>
      </c>
      <c r="B3048" t="s">
        <v>25</v>
      </c>
      <c r="C3048">
        <v>164.67</v>
      </c>
      <c r="D3048">
        <v>26.71</v>
      </c>
      <c r="E3048" t="s">
        <v>9</v>
      </c>
      <c r="F3048">
        <v>71.55</v>
      </c>
      <c r="G3048" t="s">
        <v>10</v>
      </c>
      <c r="H3048" t="s">
        <v>11</v>
      </c>
    </row>
    <row r="3049" spans="1:8" x14ac:dyDescent="0.25">
      <c r="A3049" s="1">
        <v>45664.958333333336</v>
      </c>
      <c r="B3049" t="s">
        <v>25</v>
      </c>
      <c r="C3049">
        <v>80.8</v>
      </c>
      <c r="D3049">
        <v>50.25</v>
      </c>
      <c r="E3049" t="s">
        <v>9</v>
      </c>
      <c r="F3049">
        <v>39.840000000000003</v>
      </c>
      <c r="G3049" t="s">
        <v>10</v>
      </c>
      <c r="H3049" t="s">
        <v>12</v>
      </c>
    </row>
    <row r="3050" spans="1:8" x14ac:dyDescent="0.25">
      <c r="A3050" s="1">
        <v>45665</v>
      </c>
      <c r="B3050" t="s">
        <v>25</v>
      </c>
      <c r="C3050">
        <v>233.87</v>
      </c>
      <c r="D3050">
        <v>82.58</v>
      </c>
      <c r="E3050" t="s">
        <v>9</v>
      </c>
      <c r="F3050">
        <v>39.479999999999997</v>
      </c>
      <c r="G3050" t="s">
        <v>10</v>
      </c>
      <c r="H3050" t="s">
        <v>12</v>
      </c>
    </row>
    <row r="3051" spans="1:8" x14ac:dyDescent="0.25">
      <c r="A3051" s="1">
        <v>45665.041666666664</v>
      </c>
      <c r="B3051" t="s">
        <v>25</v>
      </c>
      <c r="C3051">
        <v>275.97000000000003</v>
      </c>
      <c r="D3051">
        <v>72.19</v>
      </c>
      <c r="E3051" t="s">
        <v>9</v>
      </c>
      <c r="F3051">
        <v>39.369999999999997</v>
      </c>
      <c r="G3051" t="s">
        <v>10</v>
      </c>
      <c r="H3051" t="s">
        <v>11</v>
      </c>
    </row>
    <row r="3052" spans="1:8" x14ac:dyDescent="0.25">
      <c r="A3052" s="1">
        <v>45665.083333333336</v>
      </c>
      <c r="B3052" t="s">
        <v>25</v>
      </c>
      <c r="C3052">
        <v>353.66</v>
      </c>
      <c r="D3052">
        <v>75.040000000000006</v>
      </c>
      <c r="E3052" t="s">
        <v>9</v>
      </c>
      <c r="F3052">
        <v>44.75</v>
      </c>
      <c r="G3052" t="s">
        <v>10</v>
      </c>
      <c r="H3052" t="s">
        <v>12</v>
      </c>
    </row>
    <row r="3053" spans="1:8" x14ac:dyDescent="0.25">
      <c r="A3053" s="1">
        <v>45665.125</v>
      </c>
      <c r="B3053" t="s">
        <v>25</v>
      </c>
      <c r="C3053">
        <v>117.38</v>
      </c>
      <c r="D3053">
        <v>77.400000000000006</v>
      </c>
      <c r="E3053" t="s">
        <v>9</v>
      </c>
      <c r="F3053">
        <v>65.290000000000006</v>
      </c>
      <c r="G3053" t="s">
        <v>10</v>
      </c>
      <c r="H3053" t="s">
        <v>13</v>
      </c>
    </row>
    <row r="3054" spans="1:8" x14ac:dyDescent="0.25">
      <c r="A3054" s="1">
        <v>45665.166666666664</v>
      </c>
      <c r="B3054" t="s">
        <v>25</v>
      </c>
      <c r="C3054">
        <v>199.81</v>
      </c>
      <c r="D3054">
        <v>83.32</v>
      </c>
      <c r="E3054" t="s">
        <v>9</v>
      </c>
      <c r="F3054">
        <v>82.49</v>
      </c>
      <c r="G3054" t="s">
        <v>10</v>
      </c>
      <c r="H3054" t="s">
        <v>12</v>
      </c>
    </row>
    <row r="3055" spans="1:8" x14ac:dyDescent="0.25">
      <c r="A3055" s="1">
        <v>45665.208333333336</v>
      </c>
      <c r="B3055" t="s">
        <v>25</v>
      </c>
      <c r="C3055">
        <v>378.25</v>
      </c>
      <c r="D3055">
        <v>33.24</v>
      </c>
      <c r="E3055" t="s">
        <v>9</v>
      </c>
      <c r="F3055">
        <v>50.55</v>
      </c>
      <c r="G3055" t="s">
        <v>10</v>
      </c>
      <c r="H3055" t="s">
        <v>12</v>
      </c>
    </row>
    <row r="3056" spans="1:8" x14ac:dyDescent="0.25">
      <c r="A3056" s="1">
        <v>45665.25</v>
      </c>
      <c r="B3056" t="s">
        <v>25</v>
      </c>
      <c r="C3056">
        <v>178.24</v>
      </c>
      <c r="D3056">
        <v>44.62</v>
      </c>
      <c r="E3056" t="s">
        <v>9</v>
      </c>
      <c r="F3056">
        <v>78.94</v>
      </c>
      <c r="G3056" t="s">
        <v>10</v>
      </c>
      <c r="H3056" t="s">
        <v>12</v>
      </c>
    </row>
    <row r="3057" spans="1:8" x14ac:dyDescent="0.25">
      <c r="A3057" s="1">
        <v>45665.291666666664</v>
      </c>
      <c r="B3057" t="s">
        <v>25</v>
      </c>
      <c r="C3057">
        <v>86.99</v>
      </c>
      <c r="D3057">
        <v>40.6</v>
      </c>
      <c r="E3057" t="s">
        <v>9</v>
      </c>
      <c r="F3057">
        <v>55.46</v>
      </c>
      <c r="G3057" t="s">
        <v>10</v>
      </c>
      <c r="H3057" t="s">
        <v>13</v>
      </c>
    </row>
    <row r="3058" spans="1:8" x14ac:dyDescent="0.25">
      <c r="A3058" s="1">
        <v>45665.333333333336</v>
      </c>
      <c r="B3058" t="s">
        <v>25</v>
      </c>
      <c r="C3058">
        <v>466.92</v>
      </c>
      <c r="D3058">
        <v>42.67</v>
      </c>
      <c r="E3058" t="s">
        <v>9</v>
      </c>
      <c r="F3058">
        <v>73.47</v>
      </c>
      <c r="G3058" t="s">
        <v>10</v>
      </c>
      <c r="H3058" t="s">
        <v>11</v>
      </c>
    </row>
    <row r="3059" spans="1:8" x14ac:dyDescent="0.25">
      <c r="A3059" s="1">
        <v>45665.375</v>
      </c>
      <c r="B3059" t="s">
        <v>25</v>
      </c>
      <c r="C3059">
        <v>50.52</v>
      </c>
      <c r="D3059">
        <v>44.76</v>
      </c>
      <c r="E3059" t="s">
        <v>9</v>
      </c>
      <c r="F3059">
        <v>74.27</v>
      </c>
      <c r="G3059" t="s">
        <v>10</v>
      </c>
      <c r="H3059" t="s">
        <v>13</v>
      </c>
    </row>
    <row r="3060" spans="1:8" x14ac:dyDescent="0.25">
      <c r="A3060" s="1">
        <v>45665.416666666664</v>
      </c>
      <c r="B3060" t="s">
        <v>25</v>
      </c>
      <c r="C3060">
        <v>279.67</v>
      </c>
      <c r="D3060">
        <v>93.94</v>
      </c>
      <c r="E3060" t="s">
        <v>14</v>
      </c>
      <c r="F3060">
        <v>48.13</v>
      </c>
      <c r="G3060" t="s">
        <v>10</v>
      </c>
      <c r="H3060" t="s">
        <v>11</v>
      </c>
    </row>
    <row r="3061" spans="1:8" x14ac:dyDescent="0.25">
      <c r="A3061" s="1">
        <v>45665.458333333336</v>
      </c>
      <c r="B3061" t="s">
        <v>25</v>
      </c>
      <c r="C3061">
        <v>327.85</v>
      </c>
      <c r="D3061">
        <v>91.11</v>
      </c>
      <c r="E3061" t="s">
        <v>14</v>
      </c>
      <c r="F3061">
        <v>48.64</v>
      </c>
      <c r="G3061" t="s">
        <v>10</v>
      </c>
      <c r="H3061" t="s">
        <v>11</v>
      </c>
    </row>
    <row r="3062" spans="1:8" x14ac:dyDescent="0.25">
      <c r="A3062" s="1">
        <v>45665.5</v>
      </c>
      <c r="B3062" t="s">
        <v>25</v>
      </c>
      <c r="C3062">
        <v>93.67</v>
      </c>
      <c r="D3062">
        <v>49.05</v>
      </c>
      <c r="E3062" t="s">
        <v>9</v>
      </c>
      <c r="F3062">
        <v>50.29</v>
      </c>
      <c r="G3062" t="s">
        <v>10</v>
      </c>
      <c r="H3062" t="s">
        <v>11</v>
      </c>
    </row>
    <row r="3063" spans="1:8" x14ac:dyDescent="0.25">
      <c r="A3063" s="1">
        <v>45665.541666666664</v>
      </c>
      <c r="B3063" t="s">
        <v>25</v>
      </c>
      <c r="C3063">
        <v>130.52000000000001</v>
      </c>
      <c r="D3063">
        <v>53.91</v>
      </c>
      <c r="E3063" t="s">
        <v>9</v>
      </c>
      <c r="F3063">
        <v>52.02</v>
      </c>
      <c r="G3063" t="s">
        <v>10</v>
      </c>
      <c r="H3063" t="s">
        <v>12</v>
      </c>
    </row>
    <row r="3064" spans="1:8" x14ac:dyDescent="0.25">
      <c r="A3064" s="1">
        <v>45665.583333333336</v>
      </c>
      <c r="B3064" t="s">
        <v>25</v>
      </c>
      <c r="C3064">
        <v>371.28</v>
      </c>
      <c r="D3064">
        <v>63.57</v>
      </c>
      <c r="E3064" t="s">
        <v>9</v>
      </c>
      <c r="F3064">
        <v>55.63</v>
      </c>
      <c r="G3064" t="s">
        <v>10</v>
      </c>
      <c r="H3064" t="s">
        <v>11</v>
      </c>
    </row>
    <row r="3065" spans="1:8" x14ac:dyDescent="0.25">
      <c r="A3065" s="1">
        <v>45665.625</v>
      </c>
      <c r="B3065" t="s">
        <v>25</v>
      </c>
      <c r="C3065">
        <v>457.49</v>
      </c>
      <c r="D3065">
        <v>58.14</v>
      </c>
      <c r="E3065" t="s">
        <v>9</v>
      </c>
      <c r="F3065">
        <v>85.47</v>
      </c>
      <c r="G3065" t="s">
        <v>10</v>
      </c>
      <c r="H3065" t="s">
        <v>11</v>
      </c>
    </row>
    <row r="3066" spans="1:8" x14ac:dyDescent="0.25">
      <c r="A3066" s="1">
        <v>45665.666666666664</v>
      </c>
      <c r="B3066" t="s">
        <v>25</v>
      </c>
      <c r="C3066">
        <v>146.69999999999999</v>
      </c>
      <c r="D3066">
        <v>23.43</v>
      </c>
      <c r="E3066" t="s">
        <v>9</v>
      </c>
      <c r="F3066">
        <v>82.79</v>
      </c>
      <c r="G3066" t="s">
        <v>10</v>
      </c>
      <c r="H3066" t="s">
        <v>13</v>
      </c>
    </row>
    <row r="3067" spans="1:8" x14ac:dyDescent="0.25">
      <c r="A3067" s="1">
        <v>45665.708333333336</v>
      </c>
      <c r="B3067" t="s">
        <v>25</v>
      </c>
      <c r="C3067">
        <v>261.95999999999998</v>
      </c>
      <c r="D3067">
        <v>51.21</v>
      </c>
      <c r="E3067" t="s">
        <v>9</v>
      </c>
      <c r="F3067">
        <v>67.37</v>
      </c>
      <c r="G3067" t="s">
        <v>10</v>
      </c>
      <c r="H3067" t="s">
        <v>12</v>
      </c>
    </row>
    <row r="3068" spans="1:8" x14ac:dyDescent="0.25">
      <c r="A3068" s="1">
        <v>45665.75</v>
      </c>
      <c r="B3068" t="s">
        <v>25</v>
      </c>
      <c r="C3068">
        <v>266.35000000000002</v>
      </c>
      <c r="D3068">
        <v>88.9</v>
      </c>
      <c r="E3068" t="s">
        <v>14</v>
      </c>
      <c r="F3068">
        <v>73.180000000000007</v>
      </c>
      <c r="G3068" t="s">
        <v>10</v>
      </c>
      <c r="H3068" t="s">
        <v>13</v>
      </c>
    </row>
    <row r="3069" spans="1:8" x14ac:dyDescent="0.25">
      <c r="A3069" s="1">
        <v>45665.791666666664</v>
      </c>
      <c r="B3069" t="s">
        <v>25</v>
      </c>
      <c r="C3069">
        <v>105.22</v>
      </c>
      <c r="D3069">
        <v>17.02</v>
      </c>
      <c r="E3069" t="s">
        <v>9</v>
      </c>
      <c r="F3069">
        <v>49.24</v>
      </c>
      <c r="G3069" t="s">
        <v>10</v>
      </c>
      <c r="H3069" t="s">
        <v>12</v>
      </c>
    </row>
    <row r="3070" spans="1:8" x14ac:dyDescent="0.25">
      <c r="A3070" s="1">
        <v>45665.833333333336</v>
      </c>
      <c r="B3070" t="s">
        <v>25</v>
      </c>
      <c r="C3070">
        <v>233.12</v>
      </c>
      <c r="D3070">
        <v>91.92</v>
      </c>
      <c r="E3070" t="s">
        <v>14</v>
      </c>
      <c r="F3070">
        <v>61.33</v>
      </c>
      <c r="G3070" t="s">
        <v>10</v>
      </c>
      <c r="H3070" t="s">
        <v>13</v>
      </c>
    </row>
    <row r="3071" spans="1:8" x14ac:dyDescent="0.25">
      <c r="A3071" s="1">
        <v>45665.875</v>
      </c>
      <c r="B3071" t="s">
        <v>25</v>
      </c>
      <c r="C3071">
        <v>473.72</v>
      </c>
      <c r="D3071">
        <v>88.61</v>
      </c>
      <c r="E3071" t="s">
        <v>14</v>
      </c>
      <c r="F3071">
        <v>83.05</v>
      </c>
      <c r="G3071" t="s">
        <v>10</v>
      </c>
      <c r="H3071" t="s">
        <v>11</v>
      </c>
    </row>
    <row r="3072" spans="1:8" x14ac:dyDescent="0.25">
      <c r="A3072" s="1">
        <v>45665.916666666664</v>
      </c>
      <c r="B3072" t="s">
        <v>25</v>
      </c>
      <c r="C3072">
        <v>335.43</v>
      </c>
      <c r="D3072">
        <v>79.45</v>
      </c>
      <c r="E3072" t="s">
        <v>9</v>
      </c>
      <c r="F3072">
        <v>80.13</v>
      </c>
      <c r="G3072" t="s">
        <v>10</v>
      </c>
      <c r="H3072" t="s">
        <v>12</v>
      </c>
    </row>
    <row r="3073" spans="1:8" x14ac:dyDescent="0.25">
      <c r="A3073" s="1">
        <v>45665.958333333336</v>
      </c>
      <c r="B3073" t="s">
        <v>25</v>
      </c>
      <c r="C3073">
        <v>347.71</v>
      </c>
      <c r="D3073">
        <v>65.34</v>
      </c>
      <c r="E3073" t="s">
        <v>9</v>
      </c>
      <c r="F3073">
        <v>52.96</v>
      </c>
      <c r="G3073" t="s">
        <v>10</v>
      </c>
      <c r="H3073" t="s">
        <v>12</v>
      </c>
    </row>
    <row r="3074" spans="1:8" x14ac:dyDescent="0.25">
      <c r="A3074" s="1">
        <v>45666</v>
      </c>
      <c r="B3074" t="s">
        <v>25</v>
      </c>
      <c r="C3074">
        <v>227.12</v>
      </c>
      <c r="D3074">
        <v>45.99</v>
      </c>
      <c r="E3074" t="s">
        <v>9</v>
      </c>
      <c r="F3074">
        <v>55.45</v>
      </c>
      <c r="G3074" t="s">
        <v>10</v>
      </c>
      <c r="H3074" t="s">
        <v>13</v>
      </c>
    </row>
    <row r="3075" spans="1:8" x14ac:dyDescent="0.25">
      <c r="A3075" s="1">
        <v>45666.041666666664</v>
      </c>
      <c r="B3075" t="s">
        <v>25</v>
      </c>
      <c r="C3075">
        <v>391.35</v>
      </c>
      <c r="D3075">
        <v>58.24</v>
      </c>
      <c r="E3075" t="s">
        <v>9</v>
      </c>
      <c r="F3075">
        <v>69.09</v>
      </c>
      <c r="G3075" t="s">
        <v>10</v>
      </c>
      <c r="H3075" t="s">
        <v>13</v>
      </c>
    </row>
    <row r="3076" spans="1:8" x14ac:dyDescent="0.25">
      <c r="A3076" s="1">
        <v>45666.083333333336</v>
      </c>
      <c r="B3076" t="s">
        <v>25</v>
      </c>
      <c r="C3076">
        <v>287.02999999999997</v>
      </c>
      <c r="D3076">
        <v>82.71</v>
      </c>
      <c r="E3076" t="s">
        <v>9</v>
      </c>
      <c r="F3076">
        <v>61.65</v>
      </c>
      <c r="G3076" t="s">
        <v>10</v>
      </c>
      <c r="H3076" t="s">
        <v>13</v>
      </c>
    </row>
    <row r="3077" spans="1:8" x14ac:dyDescent="0.25">
      <c r="A3077" s="1">
        <v>45666.125</v>
      </c>
      <c r="B3077" t="s">
        <v>25</v>
      </c>
      <c r="C3077">
        <v>91.14</v>
      </c>
      <c r="D3077">
        <v>26.94</v>
      </c>
      <c r="E3077" t="s">
        <v>9</v>
      </c>
      <c r="F3077">
        <v>52.98</v>
      </c>
      <c r="G3077" t="s">
        <v>10</v>
      </c>
      <c r="H3077" t="s">
        <v>11</v>
      </c>
    </row>
    <row r="3078" spans="1:8" x14ac:dyDescent="0.25">
      <c r="A3078" s="1">
        <v>45666.166666666664</v>
      </c>
      <c r="B3078" t="s">
        <v>25</v>
      </c>
      <c r="C3078">
        <v>362.35</v>
      </c>
      <c r="D3078">
        <v>88.32</v>
      </c>
      <c r="E3078" t="s">
        <v>14</v>
      </c>
      <c r="F3078">
        <v>73.540000000000006</v>
      </c>
      <c r="G3078" t="s">
        <v>10</v>
      </c>
      <c r="H3078" t="s">
        <v>13</v>
      </c>
    </row>
    <row r="3079" spans="1:8" x14ac:dyDescent="0.25">
      <c r="A3079" s="1">
        <v>45666.208333333336</v>
      </c>
      <c r="B3079" t="s">
        <v>25</v>
      </c>
      <c r="C3079">
        <v>337.89</v>
      </c>
      <c r="D3079">
        <v>57.24</v>
      </c>
      <c r="E3079" t="s">
        <v>9</v>
      </c>
      <c r="F3079">
        <v>78.94</v>
      </c>
      <c r="G3079" t="s">
        <v>10</v>
      </c>
      <c r="H3079" t="s">
        <v>13</v>
      </c>
    </row>
    <row r="3080" spans="1:8" x14ac:dyDescent="0.25">
      <c r="A3080" s="1">
        <v>45666.25</v>
      </c>
      <c r="B3080" t="s">
        <v>25</v>
      </c>
      <c r="C3080">
        <v>136.94</v>
      </c>
      <c r="D3080">
        <v>84.33</v>
      </c>
      <c r="E3080" t="s">
        <v>9</v>
      </c>
      <c r="F3080">
        <v>36.26</v>
      </c>
      <c r="G3080" t="s">
        <v>10</v>
      </c>
      <c r="H3080" t="s">
        <v>13</v>
      </c>
    </row>
    <row r="3081" spans="1:8" x14ac:dyDescent="0.25">
      <c r="A3081" s="1">
        <v>45666.291666666664</v>
      </c>
      <c r="B3081" t="s">
        <v>25</v>
      </c>
      <c r="C3081">
        <v>279.38</v>
      </c>
      <c r="D3081">
        <v>87.13</v>
      </c>
      <c r="E3081" t="s">
        <v>14</v>
      </c>
      <c r="F3081">
        <v>84.51</v>
      </c>
      <c r="G3081" t="s">
        <v>10</v>
      </c>
      <c r="H3081" t="s">
        <v>12</v>
      </c>
    </row>
    <row r="3082" spans="1:8" x14ac:dyDescent="0.25">
      <c r="A3082" s="1">
        <v>45666.333333333336</v>
      </c>
      <c r="B3082" t="s">
        <v>25</v>
      </c>
      <c r="C3082">
        <v>323.58999999999997</v>
      </c>
      <c r="D3082">
        <v>94.71</v>
      </c>
      <c r="E3082" t="s">
        <v>14</v>
      </c>
      <c r="F3082">
        <v>47.93</v>
      </c>
      <c r="G3082" t="s">
        <v>10</v>
      </c>
      <c r="H3082" t="s">
        <v>13</v>
      </c>
    </row>
    <row r="3083" spans="1:8" x14ac:dyDescent="0.25">
      <c r="A3083" s="1">
        <v>45666.375</v>
      </c>
      <c r="B3083" t="s">
        <v>25</v>
      </c>
      <c r="C3083">
        <v>478.93</v>
      </c>
      <c r="D3083">
        <v>27.28</v>
      </c>
      <c r="E3083" t="s">
        <v>9</v>
      </c>
      <c r="F3083">
        <v>43.28</v>
      </c>
      <c r="G3083" t="s">
        <v>10</v>
      </c>
      <c r="H3083" t="s">
        <v>11</v>
      </c>
    </row>
    <row r="3084" spans="1:8" x14ac:dyDescent="0.25">
      <c r="A3084" s="1">
        <v>45666.416666666664</v>
      </c>
      <c r="B3084" t="s">
        <v>25</v>
      </c>
      <c r="C3084">
        <v>491.8</v>
      </c>
      <c r="D3084">
        <v>73.2</v>
      </c>
      <c r="E3084" t="s">
        <v>9</v>
      </c>
      <c r="F3084">
        <v>81.03</v>
      </c>
      <c r="G3084" t="s">
        <v>10</v>
      </c>
      <c r="H3084" t="s">
        <v>11</v>
      </c>
    </row>
    <row r="3085" spans="1:8" x14ac:dyDescent="0.25">
      <c r="A3085" s="1">
        <v>45666.458333333336</v>
      </c>
      <c r="B3085" t="s">
        <v>25</v>
      </c>
      <c r="C3085">
        <v>285.91000000000003</v>
      </c>
      <c r="D3085">
        <v>35.799999999999997</v>
      </c>
      <c r="E3085" t="s">
        <v>9</v>
      </c>
      <c r="F3085">
        <v>79.75</v>
      </c>
      <c r="G3085" t="s">
        <v>10</v>
      </c>
      <c r="H3085" t="s">
        <v>12</v>
      </c>
    </row>
    <row r="3086" spans="1:8" x14ac:dyDescent="0.25">
      <c r="A3086" s="1">
        <v>45666.5</v>
      </c>
      <c r="B3086" t="s">
        <v>25</v>
      </c>
      <c r="C3086">
        <v>349.99</v>
      </c>
      <c r="D3086">
        <v>80.239999999999995</v>
      </c>
      <c r="E3086" t="s">
        <v>9</v>
      </c>
      <c r="F3086">
        <v>52.46</v>
      </c>
      <c r="G3086" t="s">
        <v>10</v>
      </c>
      <c r="H3086" t="s">
        <v>12</v>
      </c>
    </row>
    <row r="3087" spans="1:8" x14ac:dyDescent="0.25">
      <c r="A3087" s="1">
        <v>45666.541666666664</v>
      </c>
      <c r="B3087" t="s">
        <v>25</v>
      </c>
      <c r="C3087">
        <v>259.83999999999997</v>
      </c>
      <c r="D3087">
        <v>49.33</v>
      </c>
      <c r="E3087" t="s">
        <v>9</v>
      </c>
      <c r="F3087">
        <v>81.150000000000006</v>
      </c>
      <c r="G3087" t="s">
        <v>10</v>
      </c>
      <c r="H3087" t="s">
        <v>12</v>
      </c>
    </row>
    <row r="3088" spans="1:8" x14ac:dyDescent="0.25">
      <c r="A3088" s="1">
        <v>45666.583333333336</v>
      </c>
      <c r="B3088" t="s">
        <v>25</v>
      </c>
      <c r="C3088">
        <v>213.99</v>
      </c>
      <c r="D3088">
        <v>44.78</v>
      </c>
      <c r="E3088" t="s">
        <v>9</v>
      </c>
      <c r="F3088">
        <v>78.319999999999993</v>
      </c>
      <c r="G3088" t="s">
        <v>10</v>
      </c>
      <c r="H3088" t="s">
        <v>11</v>
      </c>
    </row>
    <row r="3089" spans="1:8" x14ac:dyDescent="0.25">
      <c r="A3089" s="1">
        <v>45666.625</v>
      </c>
      <c r="B3089" t="s">
        <v>25</v>
      </c>
      <c r="C3089">
        <v>344.03</v>
      </c>
      <c r="D3089">
        <v>56.28</v>
      </c>
      <c r="E3089" t="s">
        <v>9</v>
      </c>
      <c r="F3089">
        <v>66.48</v>
      </c>
      <c r="G3089" t="s">
        <v>10</v>
      </c>
      <c r="H3089" t="s">
        <v>12</v>
      </c>
    </row>
    <row r="3090" spans="1:8" x14ac:dyDescent="0.25">
      <c r="A3090" s="1">
        <v>45666.666666666664</v>
      </c>
      <c r="B3090" t="s">
        <v>25</v>
      </c>
      <c r="C3090">
        <v>494.36</v>
      </c>
      <c r="D3090">
        <v>71.11</v>
      </c>
      <c r="E3090" t="s">
        <v>9</v>
      </c>
      <c r="F3090">
        <v>47.46</v>
      </c>
      <c r="G3090" t="s">
        <v>10</v>
      </c>
      <c r="H3090" t="s">
        <v>11</v>
      </c>
    </row>
    <row r="3091" spans="1:8" x14ac:dyDescent="0.25">
      <c r="A3091" s="1">
        <v>45666.708333333336</v>
      </c>
      <c r="B3091" t="s">
        <v>25</v>
      </c>
      <c r="C3091">
        <v>231.35</v>
      </c>
      <c r="D3091">
        <v>72.52</v>
      </c>
      <c r="E3091" t="s">
        <v>9</v>
      </c>
      <c r="F3091">
        <v>71.040000000000006</v>
      </c>
      <c r="G3091" t="s">
        <v>10</v>
      </c>
      <c r="H3091" t="s">
        <v>12</v>
      </c>
    </row>
    <row r="3092" spans="1:8" x14ac:dyDescent="0.25">
      <c r="A3092" s="1">
        <v>45666.75</v>
      </c>
      <c r="B3092" t="s">
        <v>25</v>
      </c>
      <c r="C3092">
        <v>236.77</v>
      </c>
      <c r="D3092">
        <v>31.41</v>
      </c>
      <c r="E3092" t="s">
        <v>9</v>
      </c>
      <c r="F3092">
        <v>67.849999999999994</v>
      </c>
      <c r="G3092" t="s">
        <v>10</v>
      </c>
      <c r="H3092" t="s">
        <v>12</v>
      </c>
    </row>
    <row r="3093" spans="1:8" x14ac:dyDescent="0.25">
      <c r="A3093" s="1">
        <v>45666.791666666664</v>
      </c>
      <c r="B3093" t="s">
        <v>25</v>
      </c>
      <c r="C3093">
        <v>499.39</v>
      </c>
      <c r="D3093">
        <v>30.29</v>
      </c>
      <c r="E3093" t="s">
        <v>9</v>
      </c>
      <c r="F3093">
        <v>61.39</v>
      </c>
      <c r="G3093" t="s">
        <v>10</v>
      </c>
      <c r="H3093" t="s">
        <v>13</v>
      </c>
    </row>
    <row r="3094" spans="1:8" x14ac:dyDescent="0.25">
      <c r="A3094" s="1">
        <v>45666.833333333336</v>
      </c>
      <c r="B3094" t="s">
        <v>25</v>
      </c>
      <c r="C3094">
        <v>260.74</v>
      </c>
      <c r="D3094">
        <v>47.52</v>
      </c>
      <c r="E3094" t="s">
        <v>9</v>
      </c>
      <c r="F3094">
        <v>64.69</v>
      </c>
      <c r="G3094" t="s">
        <v>10</v>
      </c>
      <c r="H3094" t="s">
        <v>12</v>
      </c>
    </row>
    <row r="3095" spans="1:8" x14ac:dyDescent="0.25">
      <c r="A3095" s="1">
        <v>45666.875</v>
      </c>
      <c r="B3095" t="s">
        <v>25</v>
      </c>
      <c r="C3095">
        <v>307.64999999999998</v>
      </c>
      <c r="D3095">
        <v>41.2</v>
      </c>
      <c r="E3095" t="s">
        <v>9</v>
      </c>
      <c r="F3095">
        <v>40.92</v>
      </c>
      <c r="G3095" t="s">
        <v>10</v>
      </c>
      <c r="H3095" t="s">
        <v>11</v>
      </c>
    </row>
    <row r="3096" spans="1:8" x14ac:dyDescent="0.25">
      <c r="A3096" s="1">
        <v>45666.916666666664</v>
      </c>
      <c r="B3096" t="s">
        <v>25</v>
      </c>
      <c r="C3096">
        <v>363.82</v>
      </c>
      <c r="D3096">
        <v>68.58</v>
      </c>
      <c r="E3096" t="s">
        <v>9</v>
      </c>
      <c r="F3096">
        <v>45.29</v>
      </c>
      <c r="G3096" t="s">
        <v>10</v>
      </c>
      <c r="H3096" t="s">
        <v>11</v>
      </c>
    </row>
    <row r="3097" spans="1:8" x14ac:dyDescent="0.25">
      <c r="A3097" s="1">
        <v>45666.958333333336</v>
      </c>
      <c r="B3097" t="s">
        <v>25</v>
      </c>
      <c r="C3097">
        <v>416.65</v>
      </c>
      <c r="D3097">
        <v>48.27</v>
      </c>
      <c r="E3097" t="s">
        <v>9</v>
      </c>
      <c r="F3097">
        <v>84.2</v>
      </c>
      <c r="G3097" t="s">
        <v>10</v>
      </c>
      <c r="H3097" t="s">
        <v>13</v>
      </c>
    </row>
    <row r="3098" spans="1:8" x14ac:dyDescent="0.25">
      <c r="A3098" s="1">
        <v>45667</v>
      </c>
      <c r="B3098" t="s">
        <v>25</v>
      </c>
      <c r="C3098">
        <v>308.27999999999997</v>
      </c>
      <c r="D3098">
        <v>53.83</v>
      </c>
      <c r="E3098" t="s">
        <v>9</v>
      </c>
      <c r="F3098">
        <v>74</v>
      </c>
      <c r="G3098" t="s">
        <v>10</v>
      </c>
      <c r="H3098" t="s">
        <v>12</v>
      </c>
    </row>
    <row r="3099" spans="1:8" x14ac:dyDescent="0.25">
      <c r="A3099" s="1">
        <v>45667.041666666664</v>
      </c>
      <c r="B3099" t="s">
        <v>25</v>
      </c>
      <c r="C3099">
        <v>252.59</v>
      </c>
      <c r="D3099">
        <v>32.49</v>
      </c>
      <c r="E3099" t="s">
        <v>9</v>
      </c>
      <c r="F3099">
        <v>51.68</v>
      </c>
      <c r="G3099" t="s">
        <v>10</v>
      </c>
      <c r="H3099" t="s">
        <v>13</v>
      </c>
    </row>
    <row r="3100" spans="1:8" x14ac:dyDescent="0.25">
      <c r="A3100" s="1">
        <v>45667.083333333336</v>
      </c>
      <c r="B3100" t="s">
        <v>25</v>
      </c>
      <c r="C3100">
        <v>93.19</v>
      </c>
      <c r="D3100">
        <v>46.04</v>
      </c>
      <c r="E3100" t="s">
        <v>9</v>
      </c>
      <c r="F3100">
        <v>60.89</v>
      </c>
      <c r="G3100" t="s">
        <v>10</v>
      </c>
      <c r="H3100" t="s">
        <v>11</v>
      </c>
    </row>
    <row r="3101" spans="1:8" x14ac:dyDescent="0.25">
      <c r="A3101" s="1">
        <v>45667.125</v>
      </c>
      <c r="B3101" t="s">
        <v>25</v>
      </c>
      <c r="C3101">
        <v>114.19</v>
      </c>
      <c r="D3101">
        <v>79.81</v>
      </c>
      <c r="E3101" t="s">
        <v>9</v>
      </c>
      <c r="F3101">
        <v>81.61</v>
      </c>
      <c r="G3101" t="s">
        <v>10</v>
      </c>
      <c r="H3101" t="s">
        <v>12</v>
      </c>
    </row>
    <row r="3102" spans="1:8" x14ac:dyDescent="0.25">
      <c r="A3102" s="1">
        <v>45667.166666666664</v>
      </c>
      <c r="B3102" t="s">
        <v>25</v>
      </c>
      <c r="C3102">
        <v>341.79</v>
      </c>
      <c r="D3102">
        <v>37.49</v>
      </c>
      <c r="E3102" t="s">
        <v>9</v>
      </c>
      <c r="F3102">
        <v>80.72</v>
      </c>
      <c r="G3102" t="s">
        <v>10</v>
      </c>
      <c r="H3102" t="s">
        <v>13</v>
      </c>
    </row>
    <row r="3103" spans="1:8" x14ac:dyDescent="0.25">
      <c r="A3103" s="1">
        <v>45667.208333333336</v>
      </c>
      <c r="B3103" t="s">
        <v>25</v>
      </c>
      <c r="C3103">
        <v>329.05</v>
      </c>
      <c r="D3103">
        <v>62.29</v>
      </c>
      <c r="E3103" t="s">
        <v>9</v>
      </c>
      <c r="F3103">
        <v>81.66</v>
      </c>
      <c r="G3103" t="s">
        <v>10</v>
      </c>
      <c r="H3103" t="s">
        <v>11</v>
      </c>
    </row>
    <row r="3104" spans="1:8" x14ac:dyDescent="0.25">
      <c r="A3104" s="1">
        <v>45667.25</v>
      </c>
      <c r="B3104" t="s">
        <v>25</v>
      </c>
      <c r="C3104">
        <v>164.02</v>
      </c>
      <c r="D3104">
        <v>86.22</v>
      </c>
      <c r="E3104" t="s">
        <v>14</v>
      </c>
      <c r="F3104">
        <v>86.46</v>
      </c>
      <c r="G3104" t="s">
        <v>10</v>
      </c>
      <c r="H3104" t="s">
        <v>12</v>
      </c>
    </row>
    <row r="3105" spans="1:8" x14ac:dyDescent="0.25">
      <c r="A3105" s="1">
        <v>45667.291666666664</v>
      </c>
      <c r="B3105" t="s">
        <v>25</v>
      </c>
      <c r="C3105">
        <v>227.98</v>
      </c>
      <c r="D3105">
        <v>90.23</v>
      </c>
      <c r="E3105" t="s">
        <v>14</v>
      </c>
      <c r="F3105">
        <v>82.28</v>
      </c>
      <c r="G3105" t="s">
        <v>10</v>
      </c>
      <c r="H3105" t="s">
        <v>13</v>
      </c>
    </row>
    <row r="3106" spans="1:8" x14ac:dyDescent="0.25">
      <c r="A3106" s="1">
        <v>45667.333333333336</v>
      </c>
      <c r="B3106" t="s">
        <v>25</v>
      </c>
      <c r="C3106">
        <v>126.64</v>
      </c>
      <c r="D3106">
        <v>69.599999999999994</v>
      </c>
      <c r="E3106" t="s">
        <v>9</v>
      </c>
      <c r="F3106">
        <v>57.14</v>
      </c>
      <c r="G3106" t="s">
        <v>10</v>
      </c>
      <c r="H3106" t="s">
        <v>12</v>
      </c>
    </row>
    <row r="3107" spans="1:8" x14ac:dyDescent="0.25">
      <c r="A3107" s="1">
        <v>45667.375</v>
      </c>
      <c r="B3107" t="s">
        <v>25</v>
      </c>
      <c r="C3107">
        <v>63.64</v>
      </c>
      <c r="D3107">
        <v>75.94</v>
      </c>
      <c r="E3107" t="s">
        <v>9</v>
      </c>
      <c r="F3107">
        <v>80.13</v>
      </c>
      <c r="G3107" t="s">
        <v>10</v>
      </c>
      <c r="H3107" t="s">
        <v>12</v>
      </c>
    </row>
    <row r="3108" spans="1:8" x14ac:dyDescent="0.25">
      <c r="A3108" s="1">
        <v>45667.416666666664</v>
      </c>
      <c r="B3108" t="s">
        <v>25</v>
      </c>
      <c r="C3108">
        <v>339.5</v>
      </c>
      <c r="D3108">
        <v>32.58</v>
      </c>
      <c r="E3108" t="s">
        <v>9</v>
      </c>
      <c r="F3108">
        <v>39.46</v>
      </c>
      <c r="G3108" t="s">
        <v>10</v>
      </c>
      <c r="H3108" t="s">
        <v>12</v>
      </c>
    </row>
    <row r="3109" spans="1:8" x14ac:dyDescent="0.25">
      <c r="A3109" s="1">
        <v>45667.458333333336</v>
      </c>
      <c r="B3109" t="s">
        <v>25</v>
      </c>
      <c r="C3109">
        <v>227.56</v>
      </c>
      <c r="D3109">
        <v>78.13</v>
      </c>
      <c r="E3109" t="s">
        <v>9</v>
      </c>
      <c r="F3109">
        <v>58.1</v>
      </c>
      <c r="G3109" t="s">
        <v>10</v>
      </c>
      <c r="H3109" t="s">
        <v>12</v>
      </c>
    </row>
    <row r="3110" spans="1:8" x14ac:dyDescent="0.25">
      <c r="A3110" s="1">
        <v>45667.5</v>
      </c>
      <c r="B3110" t="s">
        <v>25</v>
      </c>
      <c r="C3110">
        <v>189.84</v>
      </c>
      <c r="D3110">
        <v>94.93</v>
      </c>
      <c r="E3110" t="s">
        <v>14</v>
      </c>
      <c r="F3110">
        <v>74.930000000000007</v>
      </c>
      <c r="G3110" t="s">
        <v>10</v>
      </c>
      <c r="H3110" t="s">
        <v>12</v>
      </c>
    </row>
    <row r="3111" spans="1:8" x14ac:dyDescent="0.25">
      <c r="A3111" s="1">
        <v>45667.541666666664</v>
      </c>
      <c r="B3111" t="s">
        <v>25</v>
      </c>
      <c r="C3111">
        <v>415.88</v>
      </c>
      <c r="D3111">
        <v>54.28</v>
      </c>
      <c r="E3111" t="s">
        <v>9</v>
      </c>
      <c r="F3111">
        <v>87.4</v>
      </c>
      <c r="G3111" t="s">
        <v>10</v>
      </c>
      <c r="H3111" t="s">
        <v>13</v>
      </c>
    </row>
    <row r="3112" spans="1:8" x14ac:dyDescent="0.25">
      <c r="A3112" s="1">
        <v>45667.583333333336</v>
      </c>
      <c r="B3112" t="s">
        <v>25</v>
      </c>
      <c r="C3112">
        <v>127.01</v>
      </c>
      <c r="D3112">
        <v>81.19</v>
      </c>
      <c r="E3112" t="s">
        <v>9</v>
      </c>
      <c r="F3112">
        <v>63.1</v>
      </c>
      <c r="G3112" t="s">
        <v>10</v>
      </c>
      <c r="H3112" t="s">
        <v>12</v>
      </c>
    </row>
    <row r="3113" spans="1:8" x14ac:dyDescent="0.25">
      <c r="A3113" s="1">
        <v>45667.625</v>
      </c>
      <c r="B3113" t="s">
        <v>25</v>
      </c>
      <c r="C3113">
        <v>448.25</v>
      </c>
      <c r="D3113">
        <v>35.78</v>
      </c>
      <c r="E3113" t="s">
        <v>9</v>
      </c>
      <c r="F3113">
        <v>44.63</v>
      </c>
      <c r="G3113" t="s">
        <v>10</v>
      </c>
      <c r="H3113" t="s">
        <v>12</v>
      </c>
    </row>
    <row r="3114" spans="1:8" x14ac:dyDescent="0.25">
      <c r="A3114" s="1">
        <v>45667.666666666664</v>
      </c>
      <c r="B3114" t="s">
        <v>25</v>
      </c>
      <c r="C3114">
        <v>427.56</v>
      </c>
      <c r="D3114">
        <v>73.08</v>
      </c>
      <c r="E3114" t="s">
        <v>9</v>
      </c>
      <c r="F3114">
        <v>52.16</v>
      </c>
      <c r="G3114" t="s">
        <v>10</v>
      </c>
      <c r="H3114" t="s">
        <v>11</v>
      </c>
    </row>
    <row r="3115" spans="1:8" x14ac:dyDescent="0.25">
      <c r="A3115" s="1">
        <v>45667.708333333336</v>
      </c>
      <c r="B3115" t="s">
        <v>25</v>
      </c>
      <c r="C3115">
        <v>372.89</v>
      </c>
      <c r="D3115">
        <v>39.630000000000003</v>
      </c>
      <c r="E3115" t="s">
        <v>9</v>
      </c>
      <c r="F3115">
        <v>76.92</v>
      </c>
      <c r="G3115" t="s">
        <v>10</v>
      </c>
      <c r="H3115" t="s">
        <v>12</v>
      </c>
    </row>
    <row r="3116" spans="1:8" x14ac:dyDescent="0.25">
      <c r="A3116" s="1">
        <v>45667.75</v>
      </c>
      <c r="B3116" t="s">
        <v>25</v>
      </c>
      <c r="C3116">
        <v>402.18</v>
      </c>
      <c r="D3116">
        <v>67.77</v>
      </c>
      <c r="E3116" t="s">
        <v>9</v>
      </c>
      <c r="F3116">
        <v>70.989999999999995</v>
      </c>
      <c r="G3116" t="s">
        <v>10</v>
      </c>
      <c r="H3116" t="s">
        <v>13</v>
      </c>
    </row>
    <row r="3117" spans="1:8" x14ac:dyDescent="0.25">
      <c r="A3117" s="1">
        <v>45667.791666666664</v>
      </c>
      <c r="B3117" t="s">
        <v>25</v>
      </c>
      <c r="C3117">
        <v>442.9</v>
      </c>
      <c r="D3117">
        <v>37.4</v>
      </c>
      <c r="E3117" t="s">
        <v>9</v>
      </c>
      <c r="F3117">
        <v>47.42</v>
      </c>
      <c r="G3117" t="s">
        <v>10</v>
      </c>
      <c r="H3117" t="s">
        <v>11</v>
      </c>
    </row>
    <row r="3118" spans="1:8" x14ac:dyDescent="0.25">
      <c r="A3118" s="1">
        <v>45667.833333333336</v>
      </c>
      <c r="B3118" t="s">
        <v>25</v>
      </c>
      <c r="C3118">
        <v>75</v>
      </c>
      <c r="D3118">
        <v>26.04</v>
      </c>
      <c r="E3118" t="s">
        <v>9</v>
      </c>
      <c r="F3118">
        <v>64.61</v>
      </c>
      <c r="G3118" t="s">
        <v>10</v>
      </c>
      <c r="H3118" t="s">
        <v>13</v>
      </c>
    </row>
    <row r="3119" spans="1:8" x14ac:dyDescent="0.25">
      <c r="A3119" s="1">
        <v>45667.875</v>
      </c>
      <c r="B3119" t="s">
        <v>25</v>
      </c>
      <c r="C3119">
        <v>323.86</v>
      </c>
      <c r="D3119">
        <v>72.55</v>
      </c>
      <c r="E3119" t="s">
        <v>9</v>
      </c>
      <c r="F3119">
        <v>52.43</v>
      </c>
      <c r="G3119" t="s">
        <v>10</v>
      </c>
      <c r="H3119" t="s">
        <v>13</v>
      </c>
    </row>
    <row r="3120" spans="1:8" x14ac:dyDescent="0.25">
      <c r="A3120" s="1">
        <v>45667.916666666664</v>
      </c>
      <c r="B3120" t="s">
        <v>25</v>
      </c>
      <c r="C3120">
        <v>322.68</v>
      </c>
      <c r="D3120">
        <v>52.99</v>
      </c>
      <c r="E3120" t="s">
        <v>9</v>
      </c>
      <c r="F3120">
        <v>74.48</v>
      </c>
      <c r="G3120" t="s">
        <v>10</v>
      </c>
      <c r="H3120" t="s">
        <v>12</v>
      </c>
    </row>
    <row r="3121" spans="1:8" x14ac:dyDescent="0.25">
      <c r="A3121" s="1">
        <v>45667.958333333336</v>
      </c>
      <c r="B3121" t="s">
        <v>25</v>
      </c>
      <c r="C3121">
        <v>271.97000000000003</v>
      </c>
      <c r="D3121">
        <v>88.21</v>
      </c>
      <c r="E3121" t="s">
        <v>14</v>
      </c>
      <c r="F3121">
        <v>87.34</v>
      </c>
      <c r="G3121" t="s">
        <v>10</v>
      </c>
      <c r="H3121" t="s">
        <v>13</v>
      </c>
    </row>
    <row r="3122" spans="1:8" x14ac:dyDescent="0.25">
      <c r="A3122" s="1">
        <v>45668</v>
      </c>
      <c r="B3122" t="s">
        <v>25</v>
      </c>
      <c r="C3122">
        <v>254.91</v>
      </c>
      <c r="D3122">
        <v>35.53</v>
      </c>
      <c r="E3122" t="s">
        <v>9</v>
      </c>
      <c r="F3122">
        <v>54.49</v>
      </c>
      <c r="G3122" t="s">
        <v>10</v>
      </c>
      <c r="H3122" t="s">
        <v>12</v>
      </c>
    </row>
    <row r="3123" spans="1:8" x14ac:dyDescent="0.25">
      <c r="A3123" s="1">
        <v>45668.041666666664</v>
      </c>
      <c r="B3123" t="s">
        <v>25</v>
      </c>
      <c r="C3123">
        <v>191.38</v>
      </c>
      <c r="D3123">
        <v>44.31</v>
      </c>
      <c r="E3123" t="s">
        <v>9</v>
      </c>
      <c r="F3123">
        <v>67.239999999999995</v>
      </c>
      <c r="G3123" t="s">
        <v>10</v>
      </c>
      <c r="H3123" t="s">
        <v>11</v>
      </c>
    </row>
    <row r="3124" spans="1:8" x14ac:dyDescent="0.25">
      <c r="A3124" s="1">
        <v>45668.083333333336</v>
      </c>
      <c r="B3124" t="s">
        <v>25</v>
      </c>
      <c r="C3124">
        <v>464.55</v>
      </c>
      <c r="D3124">
        <v>28.85</v>
      </c>
      <c r="E3124" t="s">
        <v>9</v>
      </c>
      <c r="F3124">
        <v>78.180000000000007</v>
      </c>
      <c r="G3124" t="s">
        <v>10</v>
      </c>
      <c r="H3124" t="s">
        <v>13</v>
      </c>
    </row>
    <row r="3125" spans="1:8" x14ac:dyDescent="0.25">
      <c r="A3125" s="1">
        <v>45668.125</v>
      </c>
      <c r="B3125" t="s">
        <v>25</v>
      </c>
      <c r="C3125">
        <v>71.48</v>
      </c>
      <c r="D3125">
        <v>77.94</v>
      </c>
      <c r="E3125" t="s">
        <v>9</v>
      </c>
      <c r="F3125">
        <v>61.98</v>
      </c>
      <c r="G3125" t="s">
        <v>10</v>
      </c>
      <c r="H3125" t="s">
        <v>11</v>
      </c>
    </row>
    <row r="3126" spans="1:8" x14ac:dyDescent="0.25">
      <c r="A3126" s="1">
        <v>45668.166666666664</v>
      </c>
      <c r="B3126" t="s">
        <v>25</v>
      </c>
      <c r="C3126">
        <v>455.28</v>
      </c>
      <c r="D3126">
        <v>39.94</v>
      </c>
      <c r="E3126" t="s">
        <v>9</v>
      </c>
      <c r="F3126">
        <v>57.64</v>
      </c>
      <c r="G3126" t="s">
        <v>10</v>
      </c>
      <c r="H3126" t="s">
        <v>11</v>
      </c>
    </row>
    <row r="3127" spans="1:8" x14ac:dyDescent="0.25">
      <c r="A3127" s="1">
        <v>45668.208333333336</v>
      </c>
      <c r="B3127" t="s">
        <v>25</v>
      </c>
      <c r="C3127">
        <v>462.64</v>
      </c>
      <c r="D3127">
        <v>54.54</v>
      </c>
      <c r="E3127" t="s">
        <v>9</v>
      </c>
      <c r="F3127">
        <v>62.73</v>
      </c>
      <c r="G3127" t="s">
        <v>10</v>
      </c>
      <c r="H3127" t="s">
        <v>12</v>
      </c>
    </row>
    <row r="3128" spans="1:8" x14ac:dyDescent="0.25">
      <c r="A3128" s="1">
        <v>45668.25</v>
      </c>
      <c r="B3128" t="s">
        <v>25</v>
      </c>
      <c r="C3128">
        <v>406.99</v>
      </c>
      <c r="D3128">
        <v>48.76</v>
      </c>
      <c r="E3128" t="s">
        <v>9</v>
      </c>
      <c r="F3128">
        <v>89.7</v>
      </c>
      <c r="G3128" t="s">
        <v>10</v>
      </c>
      <c r="H3128" t="s">
        <v>11</v>
      </c>
    </row>
    <row r="3129" spans="1:8" x14ac:dyDescent="0.25">
      <c r="A3129" s="1">
        <v>45668.291666666664</v>
      </c>
      <c r="B3129" t="s">
        <v>25</v>
      </c>
      <c r="C3129">
        <v>405.47</v>
      </c>
      <c r="D3129">
        <v>87.64</v>
      </c>
      <c r="E3129" t="s">
        <v>14</v>
      </c>
      <c r="F3129">
        <v>43.09</v>
      </c>
      <c r="G3129" t="s">
        <v>10</v>
      </c>
      <c r="H3129" t="s">
        <v>12</v>
      </c>
    </row>
    <row r="3130" spans="1:8" x14ac:dyDescent="0.25">
      <c r="A3130" s="1">
        <v>45668.333333333336</v>
      </c>
      <c r="B3130" t="s">
        <v>25</v>
      </c>
      <c r="C3130">
        <v>247</v>
      </c>
      <c r="D3130">
        <v>14.25</v>
      </c>
      <c r="E3130" t="s">
        <v>9</v>
      </c>
      <c r="F3130">
        <v>82.49</v>
      </c>
      <c r="G3130" t="s">
        <v>10</v>
      </c>
      <c r="H3130" t="s">
        <v>12</v>
      </c>
    </row>
    <row r="3131" spans="1:8" x14ac:dyDescent="0.25">
      <c r="A3131" s="1">
        <v>45668.375</v>
      </c>
      <c r="B3131" t="s">
        <v>25</v>
      </c>
      <c r="C3131">
        <v>132.34</v>
      </c>
      <c r="D3131">
        <v>79.47</v>
      </c>
      <c r="E3131" t="s">
        <v>9</v>
      </c>
      <c r="F3131">
        <v>66.72</v>
      </c>
      <c r="G3131" t="s">
        <v>10</v>
      </c>
      <c r="H3131" t="s">
        <v>12</v>
      </c>
    </row>
    <row r="3132" spans="1:8" x14ac:dyDescent="0.25">
      <c r="A3132" s="1">
        <v>45668.416666666664</v>
      </c>
      <c r="B3132" t="s">
        <v>25</v>
      </c>
      <c r="C3132">
        <v>385.22</v>
      </c>
      <c r="D3132">
        <v>53.64</v>
      </c>
      <c r="E3132" t="s">
        <v>9</v>
      </c>
      <c r="F3132">
        <v>39.229999999999997</v>
      </c>
      <c r="G3132" t="s">
        <v>10</v>
      </c>
      <c r="H3132" t="s">
        <v>11</v>
      </c>
    </row>
    <row r="3133" spans="1:8" x14ac:dyDescent="0.25">
      <c r="A3133" s="1">
        <v>45668.458333333336</v>
      </c>
      <c r="B3133" t="s">
        <v>25</v>
      </c>
      <c r="C3133">
        <v>487.67</v>
      </c>
      <c r="D3133">
        <v>26.24</v>
      </c>
      <c r="E3133" t="s">
        <v>9</v>
      </c>
      <c r="F3133">
        <v>73.56</v>
      </c>
      <c r="G3133" t="s">
        <v>10</v>
      </c>
      <c r="H3133" t="s">
        <v>12</v>
      </c>
    </row>
    <row r="3134" spans="1:8" x14ac:dyDescent="0.25">
      <c r="A3134" s="1">
        <v>45668.5</v>
      </c>
      <c r="B3134" t="s">
        <v>25</v>
      </c>
      <c r="C3134">
        <v>78.010000000000005</v>
      </c>
      <c r="D3134">
        <v>88.7</v>
      </c>
      <c r="E3134" t="s">
        <v>14</v>
      </c>
      <c r="F3134">
        <v>40.630000000000003</v>
      </c>
      <c r="G3134" t="s">
        <v>10</v>
      </c>
      <c r="H3134" t="s">
        <v>11</v>
      </c>
    </row>
    <row r="3135" spans="1:8" x14ac:dyDescent="0.25">
      <c r="A3135" s="1">
        <v>45668.541666666664</v>
      </c>
      <c r="B3135" t="s">
        <v>25</v>
      </c>
      <c r="C3135">
        <v>209.26</v>
      </c>
      <c r="D3135">
        <v>75.11</v>
      </c>
      <c r="E3135" t="s">
        <v>9</v>
      </c>
      <c r="F3135">
        <v>49.39</v>
      </c>
      <c r="G3135" t="s">
        <v>10</v>
      </c>
      <c r="H3135" t="s">
        <v>11</v>
      </c>
    </row>
    <row r="3136" spans="1:8" x14ac:dyDescent="0.25">
      <c r="A3136" s="1">
        <v>45668.583333333336</v>
      </c>
      <c r="B3136" t="s">
        <v>25</v>
      </c>
      <c r="C3136">
        <v>158.31</v>
      </c>
      <c r="D3136">
        <v>75.540000000000006</v>
      </c>
      <c r="E3136" t="s">
        <v>9</v>
      </c>
      <c r="F3136">
        <v>63.86</v>
      </c>
      <c r="G3136" t="s">
        <v>10</v>
      </c>
      <c r="H3136" t="s">
        <v>13</v>
      </c>
    </row>
    <row r="3137" spans="1:8" x14ac:dyDescent="0.25">
      <c r="A3137" s="1">
        <v>45668.625</v>
      </c>
      <c r="B3137" t="s">
        <v>25</v>
      </c>
      <c r="C3137">
        <v>142.29</v>
      </c>
      <c r="D3137">
        <v>71.55</v>
      </c>
      <c r="E3137" t="s">
        <v>9</v>
      </c>
      <c r="F3137">
        <v>35.479999999999997</v>
      </c>
      <c r="G3137" t="s">
        <v>10</v>
      </c>
      <c r="H3137" t="s">
        <v>13</v>
      </c>
    </row>
    <row r="3138" spans="1:8" x14ac:dyDescent="0.25">
      <c r="A3138" s="1">
        <v>45668.666666666664</v>
      </c>
      <c r="B3138" t="s">
        <v>25</v>
      </c>
      <c r="C3138">
        <v>490.44</v>
      </c>
      <c r="D3138">
        <v>24.55</v>
      </c>
      <c r="E3138" t="s">
        <v>9</v>
      </c>
      <c r="F3138">
        <v>36.24</v>
      </c>
      <c r="G3138" t="s">
        <v>10</v>
      </c>
      <c r="H3138" t="s">
        <v>13</v>
      </c>
    </row>
    <row r="3139" spans="1:8" x14ac:dyDescent="0.25">
      <c r="A3139" s="1">
        <v>45668.708333333336</v>
      </c>
      <c r="B3139" t="s">
        <v>25</v>
      </c>
      <c r="C3139">
        <v>191.48</v>
      </c>
      <c r="D3139">
        <v>45.46</v>
      </c>
      <c r="E3139" t="s">
        <v>9</v>
      </c>
      <c r="F3139">
        <v>56.12</v>
      </c>
      <c r="G3139" t="s">
        <v>10</v>
      </c>
      <c r="H3139" t="s">
        <v>12</v>
      </c>
    </row>
    <row r="3140" spans="1:8" x14ac:dyDescent="0.25">
      <c r="A3140" s="1">
        <v>45668.75</v>
      </c>
      <c r="B3140" t="s">
        <v>25</v>
      </c>
      <c r="C3140">
        <v>130.43</v>
      </c>
      <c r="D3140">
        <v>43.43</v>
      </c>
      <c r="E3140" t="s">
        <v>9</v>
      </c>
      <c r="F3140">
        <v>47.48</v>
      </c>
      <c r="G3140" t="s">
        <v>10</v>
      </c>
      <c r="H3140" t="s">
        <v>13</v>
      </c>
    </row>
    <row r="3141" spans="1:8" x14ac:dyDescent="0.25">
      <c r="A3141" s="1">
        <v>45668.791666666664</v>
      </c>
      <c r="B3141" t="s">
        <v>25</v>
      </c>
      <c r="C3141">
        <v>213.27</v>
      </c>
      <c r="D3141">
        <v>63.66</v>
      </c>
      <c r="E3141" t="s">
        <v>9</v>
      </c>
      <c r="F3141">
        <v>82.69</v>
      </c>
      <c r="G3141" t="s">
        <v>10</v>
      </c>
      <c r="H3141" t="s">
        <v>12</v>
      </c>
    </row>
    <row r="3142" spans="1:8" x14ac:dyDescent="0.25">
      <c r="A3142" s="1">
        <v>45668.833333333336</v>
      </c>
      <c r="B3142" t="s">
        <v>25</v>
      </c>
      <c r="C3142">
        <v>357.57</v>
      </c>
      <c r="D3142">
        <v>20.100000000000001</v>
      </c>
      <c r="E3142" t="s">
        <v>9</v>
      </c>
      <c r="F3142">
        <v>56.94</v>
      </c>
      <c r="G3142" t="s">
        <v>10</v>
      </c>
      <c r="H3142" t="s">
        <v>13</v>
      </c>
    </row>
    <row r="3143" spans="1:8" x14ac:dyDescent="0.25">
      <c r="A3143" s="1">
        <v>45668.875</v>
      </c>
      <c r="B3143" t="s">
        <v>25</v>
      </c>
      <c r="C3143">
        <v>201.18</v>
      </c>
      <c r="D3143">
        <v>25.92</v>
      </c>
      <c r="E3143" t="s">
        <v>9</v>
      </c>
      <c r="F3143">
        <v>38.61</v>
      </c>
      <c r="G3143" t="s">
        <v>10</v>
      </c>
      <c r="H3143" t="s">
        <v>12</v>
      </c>
    </row>
    <row r="3144" spans="1:8" x14ac:dyDescent="0.25">
      <c r="A3144" s="1">
        <v>45668.916666666664</v>
      </c>
      <c r="B3144" t="s">
        <v>25</v>
      </c>
      <c r="C3144">
        <v>84.55</v>
      </c>
      <c r="D3144">
        <v>39.130000000000003</v>
      </c>
      <c r="E3144" t="s">
        <v>9</v>
      </c>
      <c r="F3144">
        <v>60.4</v>
      </c>
      <c r="G3144" t="s">
        <v>10</v>
      </c>
      <c r="H3144" t="s">
        <v>11</v>
      </c>
    </row>
    <row r="3145" spans="1:8" x14ac:dyDescent="0.25">
      <c r="A3145" s="1">
        <v>45668.958333333336</v>
      </c>
      <c r="B3145" t="s">
        <v>25</v>
      </c>
      <c r="C3145">
        <v>364.98</v>
      </c>
      <c r="D3145">
        <v>81.069999999999993</v>
      </c>
      <c r="E3145" t="s">
        <v>9</v>
      </c>
      <c r="F3145">
        <v>77.489999999999995</v>
      </c>
      <c r="G3145" t="s">
        <v>10</v>
      </c>
      <c r="H3145" t="s">
        <v>11</v>
      </c>
    </row>
    <row r="3146" spans="1:8" x14ac:dyDescent="0.25">
      <c r="A3146" s="1">
        <v>45669</v>
      </c>
      <c r="B3146" t="s">
        <v>25</v>
      </c>
      <c r="C3146">
        <v>485.26</v>
      </c>
      <c r="D3146">
        <v>49.57</v>
      </c>
      <c r="E3146" t="s">
        <v>9</v>
      </c>
      <c r="F3146">
        <v>87.02</v>
      </c>
      <c r="G3146" t="s">
        <v>10</v>
      </c>
      <c r="H3146" t="s">
        <v>12</v>
      </c>
    </row>
    <row r="3147" spans="1:8" x14ac:dyDescent="0.25">
      <c r="A3147" s="1">
        <v>45669.041666666664</v>
      </c>
      <c r="B3147" t="s">
        <v>25</v>
      </c>
      <c r="C3147">
        <v>298.31</v>
      </c>
      <c r="D3147">
        <v>90.55</v>
      </c>
      <c r="E3147" t="s">
        <v>14</v>
      </c>
      <c r="F3147">
        <v>61.07</v>
      </c>
      <c r="G3147" t="s">
        <v>10</v>
      </c>
      <c r="H3147" t="s">
        <v>13</v>
      </c>
    </row>
    <row r="3148" spans="1:8" x14ac:dyDescent="0.25">
      <c r="A3148" s="1">
        <v>45669.083333333336</v>
      </c>
      <c r="B3148" t="s">
        <v>25</v>
      </c>
      <c r="C3148">
        <v>457.64</v>
      </c>
      <c r="D3148">
        <v>44.2</v>
      </c>
      <c r="E3148" t="s">
        <v>9</v>
      </c>
      <c r="F3148">
        <v>65.09</v>
      </c>
      <c r="G3148" t="s">
        <v>10</v>
      </c>
      <c r="H3148" t="s">
        <v>11</v>
      </c>
    </row>
    <row r="3149" spans="1:8" x14ac:dyDescent="0.25">
      <c r="A3149" s="1">
        <v>45669.125</v>
      </c>
      <c r="B3149" t="s">
        <v>25</v>
      </c>
      <c r="C3149">
        <v>233.01</v>
      </c>
      <c r="D3149">
        <v>56.98</v>
      </c>
      <c r="E3149" t="s">
        <v>9</v>
      </c>
      <c r="F3149">
        <v>60.44</v>
      </c>
      <c r="G3149" t="s">
        <v>10</v>
      </c>
      <c r="H3149" t="s">
        <v>12</v>
      </c>
    </row>
    <row r="3150" spans="1:8" x14ac:dyDescent="0.25">
      <c r="A3150" s="1">
        <v>45669.166666666664</v>
      </c>
      <c r="B3150" t="s">
        <v>25</v>
      </c>
      <c r="C3150">
        <v>417.85</v>
      </c>
      <c r="D3150">
        <v>30.72</v>
      </c>
      <c r="E3150" t="s">
        <v>9</v>
      </c>
      <c r="F3150">
        <v>61.65</v>
      </c>
      <c r="G3150" t="s">
        <v>10</v>
      </c>
      <c r="H3150" t="s">
        <v>13</v>
      </c>
    </row>
    <row r="3151" spans="1:8" x14ac:dyDescent="0.25">
      <c r="A3151" s="1">
        <v>45669.208333333336</v>
      </c>
      <c r="B3151" t="s">
        <v>25</v>
      </c>
      <c r="C3151">
        <v>477.56</v>
      </c>
      <c r="D3151">
        <v>48.72</v>
      </c>
      <c r="E3151" t="s">
        <v>9</v>
      </c>
      <c r="F3151">
        <v>34.69</v>
      </c>
      <c r="G3151" t="s">
        <v>10</v>
      </c>
      <c r="H3151" t="s">
        <v>13</v>
      </c>
    </row>
    <row r="3152" spans="1:8" x14ac:dyDescent="0.25">
      <c r="A3152" s="1">
        <v>45669.25</v>
      </c>
      <c r="B3152" t="s">
        <v>25</v>
      </c>
      <c r="C3152">
        <v>98.02</v>
      </c>
      <c r="D3152">
        <v>58.55</v>
      </c>
      <c r="E3152" t="s">
        <v>9</v>
      </c>
      <c r="F3152">
        <v>65.48</v>
      </c>
      <c r="G3152" t="s">
        <v>10</v>
      </c>
      <c r="H3152" t="s">
        <v>13</v>
      </c>
    </row>
    <row r="3153" spans="1:8" x14ac:dyDescent="0.25">
      <c r="A3153" s="1">
        <v>45669.291666666664</v>
      </c>
      <c r="B3153" t="s">
        <v>25</v>
      </c>
      <c r="C3153">
        <v>398.08</v>
      </c>
      <c r="D3153">
        <v>84.56</v>
      </c>
      <c r="E3153" t="s">
        <v>9</v>
      </c>
      <c r="F3153">
        <v>42.84</v>
      </c>
      <c r="G3153" t="s">
        <v>10</v>
      </c>
      <c r="H3153" t="s">
        <v>12</v>
      </c>
    </row>
    <row r="3154" spans="1:8" x14ac:dyDescent="0.25">
      <c r="A3154" s="1">
        <v>45669.333333333336</v>
      </c>
      <c r="B3154" t="s">
        <v>25</v>
      </c>
      <c r="C3154">
        <v>316.61</v>
      </c>
      <c r="D3154">
        <v>68.45</v>
      </c>
      <c r="E3154" t="s">
        <v>9</v>
      </c>
      <c r="F3154">
        <v>32.229999999999997</v>
      </c>
      <c r="G3154" t="s">
        <v>10</v>
      </c>
      <c r="H3154" t="s">
        <v>13</v>
      </c>
    </row>
    <row r="3155" spans="1:8" x14ac:dyDescent="0.25">
      <c r="A3155" s="1">
        <v>45669.375</v>
      </c>
      <c r="B3155" t="s">
        <v>25</v>
      </c>
      <c r="C3155">
        <v>383.37</v>
      </c>
      <c r="D3155">
        <v>16</v>
      </c>
      <c r="E3155" t="s">
        <v>9</v>
      </c>
      <c r="F3155">
        <v>84.19</v>
      </c>
      <c r="G3155" t="s">
        <v>10</v>
      </c>
      <c r="H3155" t="s">
        <v>13</v>
      </c>
    </row>
    <row r="3156" spans="1:8" x14ac:dyDescent="0.25">
      <c r="A3156" s="1">
        <v>45669.416666666664</v>
      </c>
      <c r="B3156" t="s">
        <v>25</v>
      </c>
      <c r="C3156">
        <v>385.23</v>
      </c>
      <c r="D3156">
        <v>65.3</v>
      </c>
      <c r="E3156" t="s">
        <v>9</v>
      </c>
      <c r="F3156">
        <v>70.72</v>
      </c>
      <c r="G3156" t="s">
        <v>10</v>
      </c>
      <c r="H3156" t="s">
        <v>13</v>
      </c>
    </row>
    <row r="3157" spans="1:8" x14ac:dyDescent="0.25">
      <c r="A3157" s="1">
        <v>45669.458333333336</v>
      </c>
      <c r="B3157" t="s">
        <v>25</v>
      </c>
      <c r="C3157">
        <v>348.12</v>
      </c>
      <c r="D3157">
        <v>40.549999999999997</v>
      </c>
      <c r="E3157" t="s">
        <v>9</v>
      </c>
      <c r="F3157">
        <v>52.56</v>
      </c>
      <c r="G3157" t="s">
        <v>10</v>
      </c>
      <c r="H3157" t="s">
        <v>12</v>
      </c>
    </row>
    <row r="3158" spans="1:8" x14ac:dyDescent="0.25">
      <c r="A3158" s="1">
        <v>45669.5</v>
      </c>
      <c r="B3158" t="s">
        <v>25</v>
      </c>
      <c r="C3158">
        <v>180.66</v>
      </c>
      <c r="D3158">
        <v>50.79</v>
      </c>
      <c r="E3158" t="s">
        <v>9</v>
      </c>
      <c r="F3158">
        <v>71.650000000000006</v>
      </c>
      <c r="G3158" t="s">
        <v>10</v>
      </c>
      <c r="H3158" t="s">
        <v>11</v>
      </c>
    </row>
    <row r="3159" spans="1:8" x14ac:dyDescent="0.25">
      <c r="A3159" s="1">
        <v>45669.541666666664</v>
      </c>
      <c r="B3159" t="s">
        <v>25</v>
      </c>
      <c r="C3159">
        <v>367.8</v>
      </c>
      <c r="D3159">
        <v>94.51</v>
      </c>
      <c r="E3159" t="s">
        <v>14</v>
      </c>
      <c r="F3159">
        <v>71.25</v>
      </c>
      <c r="G3159" t="s">
        <v>10</v>
      </c>
      <c r="H3159" t="s">
        <v>11</v>
      </c>
    </row>
    <row r="3160" spans="1:8" x14ac:dyDescent="0.25">
      <c r="A3160" s="1">
        <v>45669.583333333336</v>
      </c>
      <c r="B3160" t="s">
        <v>25</v>
      </c>
      <c r="C3160">
        <v>368.91</v>
      </c>
      <c r="D3160">
        <v>42.21</v>
      </c>
      <c r="E3160" t="s">
        <v>9</v>
      </c>
      <c r="F3160">
        <v>36.08</v>
      </c>
      <c r="G3160" t="s">
        <v>10</v>
      </c>
      <c r="H3160" t="s">
        <v>11</v>
      </c>
    </row>
    <row r="3161" spans="1:8" x14ac:dyDescent="0.25">
      <c r="A3161" s="1">
        <v>45669.625</v>
      </c>
      <c r="B3161" t="s">
        <v>25</v>
      </c>
      <c r="C3161">
        <v>190.44</v>
      </c>
      <c r="D3161">
        <v>35.74</v>
      </c>
      <c r="E3161" t="s">
        <v>9</v>
      </c>
      <c r="F3161">
        <v>55.88</v>
      </c>
      <c r="G3161" t="s">
        <v>10</v>
      </c>
      <c r="H3161" t="s">
        <v>12</v>
      </c>
    </row>
    <row r="3162" spans="1:8" x14ac:dyDescent="0.25">
      <c r="A3162" s="1">
        <v>45669.666666666664</v>
      </c>
      <c r="B3162" t="s">
        <v>25</v>
      </c>
      <c r="C3162">
        <v>335</v>
      </c>
      <c r="D3162">
        <v>79.86</v>
      </c>
      <c r="E3162" t="s">
        <v>9</v>
      </c>
      <c r="F3162">
        <v>47.83</v>
      </c>
      <c r="G3162" t="s">
        <v>10</v>
      </c>
      <c r="H3162" t="s">
        <v>12</v>
      </c>
    </row>
    <row r="3163" spans="1:8" x14ac:dyDescent="0.25">
      <c r="A3163" s="1">
        <v>45669.708333333336</v>
      </c>
      <c r="B3163" t="s">
        <v>25</v>
      </c>
      <c r="C3163">
        <v>300.79000000000002</v>
      </c>
      <c r="D3163">
        <v>19.690000000000001</v>
      </c>
      <c r="E3163" t="s">
        <v>9</v>
      </c>
      <c r="F3163">
        <v>46.12</v>
      </c>
      <c r="G3163" t="s">
        <v>10</v>
      </c>
      <c r="H3163" t="s">
        <v>12</v>
      </c>
    </row>
    <row r="3164" spans="1:8" x14ac:dyDescent="0.25">
      <c r="A3164" s="1">
        <v>45669.75</v>
      </c>
      <c r="B3164" t="s">
        <v>25</v>
      </c>
      <c r="C3164">
        <v>413.22</v>
      </c>
      <c r="D3164">
        <v>59.43</v>
      </c>
      <c r="E3164" t="s">
        <v>9</v>
      </c>
      <c r="F3164">
        <v>86.17</v>
      </c>
      <c r="G3164" t="s">
        <v>10</v>
      </c>
      <c r="H3164" t="s">
        <v>11</v>
      </c>
    </row>
    <row r="3165" spans="1:8" x14ac:dyDescent="0.25">
      <c r="A3165" s="1">
        <v>45669.791666666664</v>
      </c>
      <c r="B3165" t="s">
        <v>25</v>
      </c>
      <c r="C3165">
        <v>244.68</v>
      </c>
      <c r="D3165">
        <v>32.409999999999997</v>
      </c>
      <c r="E3165" t="s">
        <v>9</v>
      </c>
      <c r="F3165">
        <v>45.25</v>
      </c>
      <c r="G3165" t="s">
        <v>10</v>
      </c>
      <c r="H3165" t="s">
        <v>12</v>
      </c>
    </row>
    <row r="3166" spans="1:8" x14ac:dyDescent="0.25">
      <c r="A3166" s="1">
        <v>45669.833333333336</v>
      </c>
      <c r="B3166" t="s">
        <v>25</v>
      </c>
      <c r="C3166">
        <v>415.61</v>
      </c>
      <c r="D3166">
        <v>74.25</v>
      </c>
      <c r="E3166" t="s">
        <v>9</v>
      </c>
      <c r="F3166">
        <v>65.459999999999994</v>
      </c>
      <c r="G3166" t="s">
        <v>10</v>
      </c>
      <c r="H3166" t="s">
        <v>12</v>
      </c>
    </row>
    <row r="3167" spans="1:8" x14ac:dyDescent="0.25">
      <c r="A3167" s="1">
        <v>45669.875</v>
      </c>
      <c r="B3167" t="s">
        <v>25</v>
      </c>
      <c r="C3167">
        <v>172.96</v>
      </c>
      <c r="D3167">
        <v>36.97</v>
      </c>
      <c r="E3167" t="s">
        <v>9</v>
      </c>
      <c r="F3167">
        <v>69.260000000000005</v>
      </c>
      <c r="G3167" t="s">
        <v>10</v>
      </c>
      <c r="H3167" t="s">
        <v>13</v>
      </c>
    </row>
    <row r="3168" spans="1:8" x14ac:dyDescent="0.25">
      <c r="A3168" s="1">
        <v>45669.916666666664</v>
      </c>
      <c r="B3168" t="s">
        <v>25</v>
      </c>
      <c r="C3168">
        <v>164.28</v>
      </c>
      <c r="D3168">
        <v>32.630000000000003</v>
      </c>
      <c r="E3168" t="s">
        <v>9</v>
      </c>
      <c r="F3168">
        <v>66.680000000000007</v>
      </c>
      <c r="G3168" t="s">
        <v>10</v>
      </c>
      <c r="H3168" t="s">
        <v>13</v>
      </c>
    </row>
    <row r="3169" spans="1:8" x14ac:dyDescent="0.25">
      <c r="A3169" s="1">
        <v>45669.958333333336</v>
      </c>
      <c r="B3169" t="s">
        <v>25</v>
      </c>
      <c r="C3169">
        <v>330.43</v>
      </c>
      <c r="D3169">
        <v>42.15</v>
      </c>
      <c r="E3169" t="s">
        <v>9</v>
      </c>
      <c r="F3169">
        <v>67.150000000000006</v>
      </c>
      <c r="G3169" t="s">
        <v>10</v>
      </c>
      <c r="H3169" t="s">
        <v>12</v>
      </c>
    </row>
    <row r="3170" spans="1:8" x14ac:dyDescent="0.25">
      <c r="A3170" s="1">
        <v>45670</v>
      </c>
      <c r="B3170" t="s">
        <v>25</v>
      </c>
      <c r="C3170">
        <v>322.94</v>
      </c>
      <c r="D3170">
        <v>64.17</v>
      </c>
      <c r="E3170" t="s">
        <v>9</v>
      </c>
      <c r="F3170">
        <v>80.819999999999993</v>
      </c>
      <c r="G3170" t="s">
        <v>10</v>
      </c>
      <c r="H3170" t="s">
        <v>11</v>
      </c>
    </row>
    <row r="3171" spans="1:8" x14ac:dyDescent="0.25">
      <c r="A3171" s="1">
        <v>45670.041666666664</v>
      </c>
      <c r="B3171" t="s">
        <v>25</v>
      </c>
      <c r="C3171">
        <v>178.49</v>
      </c>
      <c r="D3171">
        <v>26.73</v>
      </c>
      <c r="E3171" t="s">
        <v>9</v>
      </c>
      <c r="F3171">
        <v>56.95</v>
      </c>
      <c r="G3171" t="s">
        <v>10</v>
      </c>
      <c r="H3171" t="s">
        <v>13</v>
      </c>
    </row>
    <row r="3172" spans="1:8" x14ac:dyDescent="0.25">
      <c r="A3172" s="1">
        <v>45670.083333333336</v>
      </c>
      <c r="B3172" t="s">
        <v>25</v>
      </c>
      <c r="C3172">
        <v>490.17</v>
      </c>
      <c r="D3172">
        <v>35.31</v>
      </c>
      <c r="E3172" t="s">
        <v>9</v>
      </c>
      <c r="F3172">
        <v>58.18</v>
      </c>
      <c r="G3172" t="s">
        <v>10</v>
      </c>
      <c r="H3172" t="s">
        <v>12</v>
      </c>
    </row>
    <row r="3173" spans="1:8" x14ac:dyDescent="0.25">
      <c r="A3173" s="1">
        <v>45670.125</v>
      </c>
      <c r="B3173" t="s">
        <v>25</v>
      </c>
      <c r="C3173">
        <v>78</v>
      </c>
      <c r="D3173">
        <v>86.7</v>
      </c>
      <c r="E3173" t="s">
        <v>14</v>
      </c>
      <c r="F3173">
        <v>32.28</v>
      </c>
      <c r="G3173" t="s">
        <v>10</v>
      </c>
      <c r="H3173" t="s">
        <v>12</v>
      </c>
    </row>
    <row r="3174" spans="1:8" x14ac:dyDescent="0.25">
      <c r="A3174" s="1">
        <v>45670.166666666664</v>
      </c>
      <c r="B3174" t="s">
        <v>25</v>
      </c>
      <c r="C3174">
        <v>67.64</v>
      </c>
      <c r="D3174">
        <v>55.72</v>
      </c>
      <c r="E3174" t="s">
        <v>9</v>
      </c>
      <c r="F3174">
        <v>32.94</v>
      </c>
      <c r="G3174" t="s">
        <v>10</v>
      </c>
      <c r="H3174" t="s">
        <v>13</v>
      </c>
    </row>
    <row r="3175" spans="1:8" x14ac:dyDescent="0.25">
      <c r="A3175" s="1">
        <v>45670.208333333336</v>
      </c>
      <c r="B3175" t="s">
        <v>25</v>
      </c>
      <c r="C3175">
        <v>252.78</v>
      </c>
      <c r="D3175">
        <v>40.86</v>
      </c>
      <c r="E3175" t="s">
        <v>9</v>
      </c>
      <c r="F3175">
        <v>87.46</v>
      </c>
      <c r="G3175" t="s">
        <v>10</v>
      </c>
      <c r="H3175" t="s">
        <v>13</v>
      </c>
    </row>
    <row r="3176" spans="1:8" x14ac:dyDescent="0.25">
      <c r="A3176" s="1">
        <v>45670.25</v>
      </c>
      <c r="B3176" t="s">
        <v>25</v>
      </c>
      <c r="C3176">
        <v>329.21</v>
      </c>
      <c r="D3176">
        <v>78.37</v>
      </c>
      <c r="E3176" t="s">
        <v>9</v>
      </c>
      <c r="F3176">
        <v>83.38</v>
      </c>
      <c r="G3176" t="s">
        <v>10</v>
      </c>
      <c r="H3176" t="s">
        <v>13</v>
      </c>
    </row>
    <row r="3177" spans="1:8" x14ac:dyDescent="0.25">
      <c r="A3177" s="1">
        <v>45670.291666666664</v>
      </c>
      <c r="B3177" t="s">
        <v>25</v>
      </c>
      <c r="C3177">
        <v>377.16</v>
      </c>
      <c r="D3177">
        <v>48.43</v>
      </c>
      <c r="E3177" t="s">
        <v>9</v>
      </c>
      <c r="F3177">
        <v>85.49</v>
      </c>
      <c r="G3177" t="s">
        <v>10</v>
      </c>
      <c r="H3177" t="s">
        <v>12</v>
      </c>
    </row>
    <row r="3178" spans="1:8" x14ac:dyDescent="0.25">
      <c r="A3178" s="1">
        <v>45670.333333333336</v>
      </c>
      <c r="B3178" t="s">
        <v>25</v>
      </c>
      <c r="C3178">
        <v>490.56</v>
      </c>
      <c r="D3178">
        <v>33.119999999999997</v>
      </c>
      <c r="E3178" t="s">
        <v>9</v>
      </c>
      <c r="F3178">
        <v>40.11</v>
      </c>
      <c r="G3178" t="s">
        <v>10</v>
      </c>
      <c r="H3178" t="s">
        <v>13</v>
      </c>
    </row>
    <row r="3179" spans="1:8" x14ac:dyDescent="0.25">
      <c r="A3179" s="1">
        <v>45670.375</v>
      </c>
      <c r="B3179" t="s">
        <v>25</v>
      </c>
      <c r="C3179">
        <v>329.79</v>
      </c>
      <c r="D3179">
        <v>39.51</v>
      </c>
      <c r="E3179" t="s">
        <v>9</v>
      </c>
      <c r="F3179">
        <v>39.83</v>
      </c>
      <c r="G3179" t="s">
        <v>10</v>
      </c>
      <c r="H3179" t="s">
        <v>12</v>
      </c>
    </row>
    <row r="3180" spans="1:8" x14ac:dyDescent="0.25">
      <c r="A3180" s="1">
        <v>45670.416666666664</v>
      </c>
      <c r="B3180" t="s">
        <v>25</v>
      </c>
      <c r="C3180">
        <v>264.89</v>
      </c>
      <c r="D3180">
        <v>44.38</v>
      </c>
      <c r="E3180" t="s">
        <v>9</v>
      </c>
      <c r="F3180">
        <v>52.12</v>
      </c>
      <c r="G3180" t="s">
        <v>10</v>
      </c>
      <c r="H3180" t="s">
        <v>13</v>
      </c>
    </row>
    <row r="3181" spans="1:8" x14ac:dyDescent="0.25">
      <c r="A3181" s="1">
        <v>45670.458333333336</v>
      </c>
      <c r="B3181" t="s">
        <v>25</v>
      </c>
      <c r="C3181">
        <v>166.54</v>
      </c>
      <c r="D3181">
        <v>84.92</v>
      </c>
      <c r="E3181" t="s">
        <v>9</v>
      </c>
      <c r="F3181">
        <v>60.91</v>
      </c>
      <c r="G3181" t="s">
        <v>10</v>
      </c>
      <c r="H3181" t="s">
        <v>12</v>
      </c>
    </row>
    <row r="3182" spans="1:8" x14ac:dyDescent="0.25">
      <c r="A3182" s="1">
        <v>45670.5</v>
      </c>
      <c r="B3182" t="s">
        <v>25</v>
      </c>
      <c r="C3182">
        <v>487.77</v>
      </c>
      <c r="D3182">
        <v>49.91</v>
      </c>
      <c r="E3182" t="s">
        <v>9</v>
      </c>
      <c r="F3182">
        <v>86.88</v>
      </c>
      <c r="G3182" t="s">
        <v>10</v>
      </c>
      <c r="H3182" t="s">
        <v>13</v>
      </c>
    </row>
    <row r="3183" spans="1:8" x14ac:dyDescent="0.25">
      <c r="A3183" s="1">
        <v>45670.541666666664</v>
      </c>
      <c r="B3183" t="s">
        <v>25</v>
      </c>
      <c r="C3183">
        <v>133.88999999999999</v>
      </c>
      <c r="D3183">
        <v>23.74</v>
      </c>
      <c r="E3183" t="s">
        <v>9</v>
      </c>
      <c r="F3183">
        <v>82.22</v>
      </c>
      <c r="G3183" t="s">
        <v>10</v>
      </c>
      <c r="H3183" t="s">
        <v>13</v>
      </c>
    </row>
    <row r="3184" spans="1:8" x14ac:dyDescent="0.25">
      <c r="A3184" s="1">
        <v>45670.583333333336</v>
      </c>
      <c r="B3184" t="s">
        <v>25</v>
      </c>
      <c r="C3184">
        <v>85.46</v>
      </c>
      <c r="D3184">
        <v>42.28</v>
      </c>
      <c r="E3184" t="s">
        <v>9</v>
      </c>
      <c r="F3184">
        <v>87.5</v>
      </c>
      <c r="G3184" t="s">
        <v>10</v>
      </c>
      <c r="H3184" t="s">
        <v>12</v>
      </c>
    </row>
    <row r="3185" spans="1:8" x14ac:dyDescent="0.25">
      <c r="A3185" s="1">
        <v>45670.625</v>
      </c>
      <c r="B3185" t="s">
        <v>25</v>
      </c>
      <c r="C3185">
        <v>444.91</v>
      </c>
      <c r="D3185">
        <v>71.89</v>
      </c>
      <c r="E3185" t="s">
        <v>9</v>
      </c>
      <c r="F3185">
        <v>61.45</v>
      </c>
      <c r="G3185" t="s">
        <v>10</v>
      </c>
      <c r="H3185" t="s">
        <v>12</v>
      </c>
    </row>
    <row r="3186" spans="1:8" x14ac:dyDescent="0.25">
      <c r="A3186" s="1">
        <v>45670.666666666664</v>
      </c>
      <c r="B3186" t="s">
        <v>25</v>
      </c>
      <c r="C3186">
        <v>262.05</v>
      </c>
      <c r="D3186">
        <v>27.18</v>
      </c>
      <c r="E3186" t="s">
        <v>9</v>
      </c>
      <c r="F3186">
        <v>42.13</v>
      </c>
      <c r="G3186" t="s">
        <v>10</v>
      </c>
      <c r="H3186" t="s">
        <v>13</v>
      </c>
    </row>
    <row r="3187" spans="1:8" x14ac:dyDescent="0.25">
      <c r="A3187" s="1">
        <v>45670.708333333336</v>
      </c>
      <c r="B3187" t="s">
        <v>25</v>
      </c>
      <c r="C3187">
        <v>85.65</v>
      </c>
      <c r="D3187">
        <v>54.28</v>
      </c>
      <c r="E3187" t="s">
        <v>9</v>
      </c>
      <c r="F3187">
        <v>71.89</v>
      </c>
      <c r="G3187" t="s">
        <v>10</v>
      </c>
      <c r="H3187" t="s">
        <v>12</v>
      </c>
    </row>
    <row r="3188" spans="1:8" x14ac:dyDescent="0.25">
      <c r="A3188" s="1">
        <v>45670.75</v>
      </c>
      <c r="B3188" t="s">
        <v>25</v>
      </c>
      <c r="C3188">
        <v>382.97</v>
      </c>
      <c r="D3188">
        <v>67.599999999999994</v>
      </c>
      <c r="E3188" t="s">
        <v>9</v>
      </c>
      <c r="F3188">
        <v>79.64</v>
      </c>
      <c r="G3188" t="s">
        <v>10</v>
      </c>
      <c r="H3188" t="s">
        <v>13</v>
      </c>
    </row>
    <row r="3189" spans="1:8" x14ac:dyDescent="0.25">
      <c r="A3189" s="1">
        <v>45670.791666666664</v>
      </c>
      <c r="B3189" t="s">
        <v>25</v>
      </c>
      <c r="C3189">
        <v>329.78</v>
      </c>
      <c r="D3189">
        <v>61.77</v>
      </c>
      <c r="E3189" t="s">
        <v>9</v>
      </c>
      <c r="F3189">
        <v>88.23</v>
      </c>
      <c r="G3189" t="s">
        <v>10</v>
      </c>
      <c r="H3189" t="s">
        <v>12</v>
      </c>
    </row>
    <row r="3190" spans="1:8" x14ac:dyDescent="0.25">
      <c r="A3190" s="1">
        <v>45670.833333333336</v>
      </c>
      <c r="B3190" t="s">
        <v>25</v>
      </c>
      <c r="C3190">
        <v>410.88</v>
      </c>
      <c r="D3190">
        <v>70.430000000000007</v>
      </c>
      <c r="E3190" t="s">
        <v>9</v>
      </c>
      <c r="F3190">
        <v>86.24</v>
      </c>
      <c r="G3190" t="s">
        <v>10</v>
      </c>
      <c r="H3190" t="s">
        <v>12</v>
      </c>
    </row>
    <row r="3191" spans="1:8" x14ac:dyDescent="0.25">
      <c r="A3191" s="1">
        <v>45670.875</v>
      </c>
      <c r="B3191" t="s">
        <v>25</v>
      </c>
      <c r="C3191">
        <v>67.97</v>
      </c>
      <c r="D3191">
        <v>80.89</v>
      </c>
      <c r="E3191" t="s">
        <v>9</v>
      </c>
      <c r="F3191">
        <v>59.68</v>
      </c>
      <c r="G3191" t="s">
        <v>10</v>
      </c>
      <c r="H3191" t="s">
        <v>13</v>
      </c>
    </row>
    <row r="3192" spans="1:8" x14ac:dyDescent="0.25">
      <c r="A3192" s="1">
        <v>45670.916666666664</v>
      </c>
      <c r="B3192" t="s">
        <v>25</v>
      </c>
      <c r="C3192">
        <v>94.77</v>
      </c>
      <c r="D3192">
        <v>67.150000000000006</v>
      </c>
      <c r="E3192" t="s">
        <v>9</v>
      </c>
      <c r="F3192">
        <v>77.47</v>
      </c>
      <c r="G3192" t="s">
        <v>10</v>
      </c>
      <c r="H3192" t="s">
        <v>13</v>
      </c>
    </row>
    <row r="3193" spans="1:8" x14ac:dyDescent="0.25">
      <c r="A3193" s="1">
        <v>45670.958333333336</v>
      </c>
      <c r="B3193" t="s">
        <v>25</v>
      </c>
      <c r="C3193">
        <v>145.93</v>
      </c>
      <c r="D3193">
        <v>64.63</v>
      </c>
      <c r="E3193" t="s">
        <v>9</v>
      </c>
      <c r="F3193">
        <v>78.66</v>
      </c>
      <c r="G3193" t="s">
        <v>10</v>
      </c>
      <c r="H3193" t="s">
        <v>13</v>
      </c>
    </row>
    <row r="3194" spans="1:8" x14ac:dyDescent="0.25">
      <c r="A3194" s="1">
        <v>45671</v>
      </c>
      <c r="B3194" t="s">
        <v>25</v>
      </c>
      <c r="C3194">
        <v>183.5</v>
      </c>
      <c r="D3194">
        <v>36.79</v>
      </c>
      <c r="E3194" t="s">
        <v>9</v>
      </c>
      <c r="F3194">
        <v>83.4</v>
      </c>
      <c r="G3194" t="s">
        <v>10</v>
      </c>
      <c r="H3194" t="s">
        <v>11</v>
      </c>
    </row>
    <row r="3195" spans="1:8" x14ac:dyDescent="0.25">
      <c r="A3195" s="1">
        <v>45671.041666666664</v>
      </c>
      <c r="B3195" t="s">
        <v>25</v>
      </c>
      <c r="C3195">
        <v>160.72</v>
      </c>
      <c r="D3195">
        <v>85.06</v>
      </c>
      <c r="E3195" t="s">
        <v>14</v>
      </c>
      <c r="F3195">
        <v>36.229999999999997</v>
      </c>
      <c r="G3195" t="s">
        <v>10</v>
      </c>
      <c r="H3195" t="s">
        <v>12</v>
      </c>
    </row>
    <row r="3196" spans="1:8" x14ac:dyDescent="0.25">
      <c r="A3196" s="1">
        <v>45671.083333333336</v>
      </c>
      <c r="B3196" t="s">
        <v>25</v>
      </c>
      <c r="C3196">
        <v>91.81</v>
      </c>
      <c r="D3196">
        <v>44.58</v>
      </c>
      <c r="E3196" t="s">
        <v>9</v>
      </c>
      <c r="F3196">
        <v>49.02</v>
      </c>
      <c r="G3196" t="s">
        <v>10</v>
      </c>
      <c r="H3196" t="s">
        <v>13</v>
      </c>
    </row>
    <row r="3197" spans="1:8" x14ac:dyDescent="0.25">
      <c r="A3197" s="1">
        <v>45671.125</v>
      </c>
      <c r="B3197" t="s">
        <v>25</v>
      </c>
      <c r="C3197">
        <v>347.54</v>
      </c>
      <c r="D3197">
        <v>70.989999999999995</v>
      </c>
      <c r="E3197" t="s">
        <v>9</v>
      </c>
      <c r="F3197">
        <v>38.21</v>
      </c>
      <c r="G3197" t="s">
        <v>10</v>
      </c>
      <c r="H3197" t="s">
        <v>12</v>
      </c>
    </row>
    <row r="3198" spans="1:8" x14ac:dyDescent="0.25">
      <c r="A3198" s="1">
        <v>45671.166666666664</v>
      </c>
      <c r="B3198" t="s">
        <v>25</v>
      </c>
      <c r="C3198">
        <v>292.02</v>
      </c>
      <c r="D3198">
        <v>61.88</v>
      </c>
      <c r="E3198" t="s">
        <v>9</v>
      </c>
      <c r="F3198">
        <v>50.85</v>
      </c>
      <c r="G3198" t="s">
        <v>10</v>
      </c>
      <c r="H3198" t="s">
        <v>12</v>
      </c>
    </row>
    <row r="3199" spans="1:8" x14ac:dyDescent="0.25">
      <c r="A3199" s="1">
        <v>45671.208333333336</v>
      </c>
      <c r="B3199" t="s">
        <v>25</v>
      </c>
      <c r="C3199">
        <v>452.25</v>
      </c>
      <c r="D3199">
        <v>84.13</v>
      </c>
      <c r="E3199" t="s">
        <v>9</v>
      </c>
      <c r="F3199">
        <v>56.3</v>
      </c>
      <c r="G3199" t="s">
        <v>10</v>
      </c>
      <c r="H3199" t="s">
        <v>11</v>
      </c>
    </row>
    <row r="3200" spans="1:8" x14ac:dyDescent="0.25">
      <c r="A3200" s="1">
        <v>45671.25</v>
      </c>
      <c r="B3200" t="s">
        <v>25</v>
      </c>
      <c r="C3200">
        <v>419.46</v>
      </c>
      <c r="D3200">
        <v>38.340000000000003</v>
      </c>
      <c r="E3200" t="s">
        <v>9</v>
      </c>
      <c r="F3200">
        <v>78.930000000000007</v>
      </c>
      <c r="G3200" t="s">
        <v>10</v>
      </c>
      <c r="H3200" t="s">
        <v>13</v>
      </c>
    </row>
    <row r="3201" spans="1:8" x14ac:dyDescent="0.25">
      <c r="A3201" s="1">
        <v>45671.291666666664</v>
      </c>
      <c r="B3201" t="s">
        <v>25</v>
      </c>
      <c r="C3201">
        <v>408.64</v>
      </c>
      <c r="D3201">
        <v>63.36</v>
      </c>
      <c r="E3201" t="s">
        <v>9</v>
      </c>
      <c r="F3201">
        <v>36.950000000000003</v>
      </c>
      <c r="G3201" t="s">
        <v>10</v>
      </c>
      <c r="H3201" t="s">
        <v>13</v>
      </c>
    </row>
    <row r="3202" spans="1:8" x14ac:dyDescent="0.25">
      <c r="A3202" s="1">
        <v>45671.333333333336</v>
      </c>
      <c r="B3202" t="s">
        <v>25</v>
      </c>
      <c r="C3202">
        <v>485.98</v>
      </c>
      <c r="D3202">
        <v>39.869999999999997</v>
      </c>
      <c r="E3202" t="s">
        <v>9</v>
      </c>
      <c r="F3202">
        <v>35.6</v>
      </c>
      <c r="G3202" t="s">
        <v>10</v>
      </c>
      <c r="H3202" t="s">
        <v>12</v>
      </c>
    </row>
    <row r="3203" spans="1:8" x14ac:dyDescent="0.25">
      <c r="A3203" s="1">
        <v>45671.375</v>
      </c>
      <c r="B3203" t="s">
        <v>25</v>
      </c>
      <c r="C3203">
        <v>380.3</v>
      </c>
      <c r="D3203">
        <v>37.130000000000003</v>
      </c>
      <c r="E3203" t="s">
        <v>9</v>
      </c>
      <c r="F3203">
        <v>47.86</v>
      </c>
      <c r="G3203" t="s">
        <v>10</v>
      </c>
      <c r="H3203" t="s">
        <v>13</v>
      </c>
    </row>
    <row r="3204" spans="1:8" x14ac:dyDescent="0.25">
      <c r="A3204" s="1">
        <v>45671.416666666664</v>
      </c>
      <c r="B3204" t="s">
        <v>25</v>
      </c>
      <c r="C3204">
        <v>135.56</v>
      </c>
      <c r="D3204">
        <v>40.950000000000003</v>
      </c>
      <c r="E3204" t="s">
        <v>9</v>
      </c>
      <c r="F3204">
        <v>36.53</v>
      </c>
      <c r="G3204" t="s">
        <v>10</v>
      </c>
      <c r="H3204" t="s">
        <v>13</v>
      </c>
    </row>
    <row r="3205" spans="1:8" x14ac:dyDescent="0.25">
      <c r="A3205" s="1">
        <v>45671.458333333336</v>
      </c>
      <c r="B3205" t="s">
        <v>25</v>
      </c>
      <c r="C3205">
        <v>434.19</v>
      </c>
      <c r="D3205">
        <v>79.02</v>
      </c>
      <c r="E3205" t="s">
        <v>9</v>
      </c>
      <c r="F3205">
        <v>69.680000000000007</v>
      </c>
      <c r="G3205" t="s">
        <v>10</v>
      </c>
      <c r="H3205" t="s">
        <v>13</v>
      </c>
    </row>
    <row r="3206" spans="1:8" x14ac:dyDescent="0.25">
      <c r="A3206" s="1">
        <v>45671.5</v>
      </c>
      <c r="B3206" t="s">
        <v>25</v>
      </c>
      <c r="C3206">
        <v>295.87</v>
      </c>
      <c r="D3206">
        <v>81.63</v>
      </c>
      <c r="E3206" t="s">
        <v>9</v>
      </c>
      <c r="F3206">
        <v>48.16</v>
      </c>
      <c r="G3206" t="s">
        <v>10</v>
      </c>
      <c r="H3206" t="s">
        <v>12</v>
      </c>
    </row>
    <row r="3207" spans="1:8" x14ac:dyDescent="0.25">
      <c r="A3207" s="1">
        <v>45671.541666666664</v>
      </c>
      <c r="B3207" t="s">
        <v>25</v>
      </c>
      <c r="C3207">
        <v>403.08</v>
      </c>
      <c r="D3207">
        <v>15.76</v>
      </c>
      <c r="E3207" t="s">
        <v>9</v>
      </c>
      <c r="F3207">
        <v>44.37</v>
      </c>
      <c r="G3207" t="s">
        <v>10</v>
      </c>
      <c r="H3207" t="s">
        <v>12</v>
      </c>
    </row>
    <row r="3208" spans="1:8" x14ac:dyDescent="0.25">
      <c r="A3208" s="1">
        <v>45671.583333333336</v>
      </c>
      <c r="B3208" t="s">
        <v>25</v>
      </c>
      <c r="C3208">
        <v>113.46</v>
      </c>
      <c r="D3208">
        <v>93.16</v>
      </c>
      <c r="E3208" t="s">
        <v>14</v>
      </c>
      <c r="F3208">
        <v>65.27</v>
      </c>
      <c r="G3208" t="s">
        <v>10</v>
      </c>
      <c r="H3208" t="s">
        <v>13</v>
      </c>
    </row>
    <row r="3209" spans="1:8" x14ac:dyDescent="0.25">
      <c r="A3209" s="1">
        <v>45671.625</v>
      </c>
      <c r="B3209" t="s">
        <v>25</v>
      </c>
      <c r="C3209">
        <v>221.15</v>
      </c>
      <c r="D3209">
        <v>28.96</v>
      </c>
      <c r="E3209" t="s">
        <v>9</v>
      </c>
      <c r="F3209">
        <v>75.599999999999994</v>
      </c>
      <c r="G3209" t="s">
        <v>10</v>
      </c>
      <c r="H3209" t="s">
        <v>13</v>
      </c>
    </row>
    <row r="3210" spans="1:8" x14ac:dyDescent="0.25">
      <c r="A3210" s="1">
        <v>45671.666666666664</v>
      </c>
      <c r="B3210" t="s">
        <v>25</v>
      </c>
      <c r="C3210">
        <v>88.15</v>
      </c>
      <c r="D3210">
        <v>60.44</v>
      </c>
      <c r="E3210" t="s">
        <v>9</v>
      </c>
      <c r="F3210">
        <v>64.25</v>
      </c>
      <c r="G3210" t="s">
        <v>10</v>
      </c>
      <c r="H3210" t="s">
        <v>13</v>
      </c>
    </row>
    <row r="3211" spans="1:8" x14ac:dyDescent="0.25">
      <c r="A3211" s="1">
        <v>45671.708333333336</v>
      </c>
      <c r="B3211" t="s">
        <v>25</v>
      </c>
      <c r="C3211">
        <v>163</v>
      </c>
      <c r="D3211">
        <v>37.08</v>
      </c>
      <c r="E3211" t="s">
        <v>9</v>
      </c>
      <c r="F3211">
        <v>68.83</v>
      </c>
      <c r="G3211" t="s">
        <v>10</v>
      </c>
      <c r="H3211" t="s">
        <v>13</v>
      </c>
    </row>
    <row r="3212" spans="1:8" x14ac:dyDescent="0.25">
      <c r="A3212" s="1">
        <v>45671.75</v>
      </c>
      <c r="B3212" t="s">
        <v>25</v>
      </c>
      <c r="C3212">
        <v>141.71</v>
      </c>
      <c r="D3212">
        <v>16.52</v>
      </c>
      <c r="E3212" t="s">
        <v>9</v>
      </c>
      <c r="F3212">
        <v>60.8</v>
      </c>
      <c r="G3212" t="s">
        <v>10</v>
      </c>
      <c r="H3212" t="s">
        <v>13</v>
      </c>
    </row>
    <row r="3213" spans="1:8" x14ac:dyDescent="0.25">
      <c r="A3213" s="1">
        <v>45671.791666666664</v>
      </c>
      <c r="B3213" t="s">
        <v>25</v>
      </c>
      <c r="C3213">
        <v>304.97000000000003</v>
      </c>
      <c r="D3213">
        <v>15.82</v>
      </c>
      <c r="E3213" t="s">
        <v>9</v>
      </c>
      <c r="F3213">
        <v>89.41</v>
      </c>
      <c r="G3213" t="s">
        <v>10</v>
      </c>
      <c r="H3213" t="s">
        <v>12</v>
      </c>
    </row>
    <row r="3214" spans="1:8" x14ac:dyDescent="0.25">
      <c r="A3214" s="1">
        <v>45671.833333333336</v>
      </c>
      <c r="B3214" t="s">
        <v>25</v>
      </c>
      <c r="C3214">
        <v>84.84</v>
      </c>
      <c r="D3214">
        <v>32.159999999999997</v>
      </c>
      <c r="E3214" t="s">
        <v>9</v>
      </c>
      <c r="F3214">
        <v>70.42</v>
      </c>
      <c r="G3214" t="s">
        <v>10</v>
      </c>
      <c r="H3214" t="s">
        <v>11</v>
      </c>
    </row>
    <row r="3215" spans="1:8" x14ac:dyDescent="0.25">
      <c r="A3215" s="1">
        <v>45671.875</v>
      </c>
      <c r="B3215" t="s">
        <v>25</v>
      </c>
      <c r="C3215">
        <v>60.82</v>
      </c>
      <c r="D3215">
        <v>88.88</v>
      </c>
      <c r="E3215" t="s">
        <v>14</v>
      </c>
      <c r="F3215">
        <v>30.63</v>
      </c>
      <c r="G3215" t="s">
        <v>10</v>
      </c>
      <c r="H3215" t="s">
        <v>12</v>
      </c>
    </row>
    <row r="3216" spans="1:8" x14ac:dyDescent="0.25">
      <c r="A3216" s="1">
        <v>45671.916666666664</v>
      </c>
      <c r="B3216" t="s">
        <v>25</v>
      </c>
      <c r="C3216">
        <v>482.81</v>
      </c>
      <c r="D3216">
        <v>33.24</v>
      </c>
      <c r="E3216" t="s">
        <v>9</v>
      </c>
      <c r="F3216">
        <v>45.25</v>
      </c>
      <c r="G3216" t="s">
        <v>10</v>
      </c>
      <c r="H3216" t="s">
        <v>11</v>
      </c>
    </row>
    <row r="3217" spans="1:8" x14ac:dyDescent="0.25">
      <c r="A3217" s="1">
        <v>45671.958333333336</v>
      </c>
      <c r="B3217" t="s">
        <v>25</v>
      </c>
      <c r="C3217">
        <v>209.3</v>
      </c>
      <c r="D3217">
        <v>58.91</v>
      </c>
      <c r="E3217" t="s">
        <v>9</v>
      </c>
      <c r="F3217">
        <v>66.92</v>
      </c>
      <c r="G3217" t="s">
        <v>10</v>
      </c>
      <c r="H3217" t="s">
        <v>11</v>
      </c>
    </row>
    <row r="3218" spans="1:8" x14ac:dyDescent="0.25">
      <c r="A3218" s="1">
        <v>45672</v>
      </c>
      <c r="B3218" t="s">
        <v>25</v>
      </c>
      <c r="C3218">
        <v>426.53</v>
      </c>
      <c r="D3218">
        <v>72.86</v>
      </c>
      <c r="E3218" t="s">
        <v>9</v>
      </c>
      <c r="F3218">
        <v>51.16</v>
      </c>
      <c r="G3218" t="s">
        <v>10</v>
      </c>
      <c r="H3218" t="s">
        <v>11</v>
      </c>
    </row>
    <row r="3219" spans="1:8" x14ac:dyDescent="0.25">
      <c r="A3219" s="1">
        <v>45672.041666666664</v>
      </c>
      <c r="B3219" t="s">
        <v>25</v>
      </c>
      <c r="C3219">
        <v>292.89999999999998</v>
      </c>
      <c r="D3219">
        <v>38.64</v>
      </c>
      <c r="E3219" t="s">
        <v>9</v>
      </c>
      <c r="F3219">
        <v>56.24</v>
      </c>
      <c r="G3219" t="s">
        <v>10</v>
      </c>
      <c r="H3219" t="s">
        <v>13</v>
      </c>
    </row>
    <row r="3220" spans="1:8" x14ac:dyDescent="0.25">
      <c r="A3220" s="1">
        <v>45672.083333333336</v>
      </c>
      <c r="B3220" t="s">
        <v>25</v>
      </c>
      <c r="C3220">
        <v>339.27</v>
      </c>
      <c r="D3220">
        <v>22.35</v>
      </c>
      <c r="E3220" t="s">
        <v>9</v>
      </c>
      <c r="F3220">
        <v>84.27</v>
      </c>
      <c r="G3220" t="s">
        <v>10</v>
      </c>
      <c r="H3220" t="s">
        <v>13</v>
      </c>
    </row>
    <row r="3221" spans="1:8" x14ac:dyDescent="0.25">
      <c r="A3221" s="1">
        <v>45672.125</v>
      </c>
      <c r="B3221" t="s">
        <v>25</v>
      </c>
      <c r="C3221">
        <v>354.46</v>
      </c>
      <c r="D3221">
        <v>68.09</v>
      </c>
      <c r="E3221" t="s">
        <v>9</v>
      </c>
      <c r="F3221">
        <v>31.04</v>
      </c>
      <c r="G3221" t="s">
        <v>10</v>
      </c>
      <c r="H3221" t="s">
        <v>11</v>
      </c>
    </row>
    <row r="3222" spans="1:8" x14ac:dyDescent="0.25">
      <c r="A3222" s="1">
        <v>45672.166666666664</v>
      </c>
      <c r="B3222" t="s">
        <v>25</v>
      </c>
      <c r="C3222">
        <v>288.13</v>
      </c>
      <c r="D3222">
        <v>91.8</v>
      </c>
      <c r="E3222" t="s">
        <v>14</v>
      </c>
      <c r="F3222">
        <v>35.380000000000003</v>
      </c>
      <c r="G3222" t="s">
        <v>10</v>
      </c>
      <c r="H3222" t="s">
        <v>12</v>
      </c>
    </row>
    <row r="3223" spans="1:8" x14ac:dyDescent="0.25">
      <c r="A3223" s="1">
        <v>45672.208333333336</v>
      </c>
      <c r="B3223" t="s">
        <v>25</v>
      </c>
      <c r="C3223">
        <v>483.02</v>
      </c>
      <c r="D3223">
        <v>38.35</v>
      </c>
      <c r="E3223" t="s">
        <v>9</v>
      </c>
      <c r="F3223">
        <v>81.69</v>
      </c>
      <c r="G3223" t="s">
        <v>10</v>
      </c>
      <c r="H3223" t="s">
        <v>12</v>
      </c>
    </row>
    <row r="3224" spans="1:8" x14ac:dyDescent="0.25">
      <c r="A3224" s="1">
        <v>45672.25</v>
      </c>
      <c r="B3224" t="s">
        <v>25</v>
      </c>
      <c r="C3224">
        <v>263.64</v>
      </c>
      <c r="D3224">
        <v>66.25</v>
      </c>
      <c r="E3224" t="s">
        <v>9</v>
      </c>
      <c r="F3224">
        <v>59.99</v>
      </c>
      <c r="G3224" t="s">
        <v>10</v>
      </c>
      <c r="H3224" t="s">
        <v>11</v>
      </c>
    </row>
    <row r="3225" spans="1:8" x14ac:dyDescent="0.25">
      <c r="A3225" s="1">
        <v>45672.291666666664</v>
      </c>
      <c r="B3225" t="s">
        <v>25</v>
      </c>
      <c r="C3225">
        <v>66.11</v>
      </c>
      <c r="D3225">
        <v>81.36</v>
      </c>
      <c r="E3225" t="s">
        <v>9</v>
      </c>
      <c r="F3225">
        <v>80.98</v>
      </c>
      <c r="G3225" t="s">
        <v>10</v>
      </c>
      <c r="H3225" t="s">
        <v>12</v>
      </c>
    </row>
    <row r="3226" spans="1:8" x14ac:dyDescent="0.25">
      <c r="A3226" s="1">
        <v>45672.333333333336</v>
      </c>
      <c r="B3226" t="s">
        <v>25</v>
      </c>
      <c r="C3226">
        <v>178.63</v>
      </c>
      <c r="D3226">
        <v>34.520000000000003</v>
      </c>
      <c r="E3226" t="s">
        <v>9</v>
      </c>
      <c r="F3226">
        <v>66.91</v>
      </c>
      <c r="G3226" t="s">
        <v>10</v>
      </c>
      <c r="H3226" t="s">
        <v>13</v>
      </c>
    </row>
    <row r="3227" spans="1:8" x14ac:dyDescent="0.25">
      <c r="A3227" s="1">
        <v>45672.375</v>
      </c>
      <c r="B3227" t="s">
        <v>25</v>
      </c>
      <c r="C3227">
        <v>376.94</v>
      </c>
      <c r="D3227">
        <v>87.93</v>
      </c>
      <c r="E3227" t="s">
        <v>14</v>
      </c>
      <c r="F3227">
        <v>73.83</v>
      </c>
      <c r="G3227" t="s">
        <v>10</v>
      </c>
      <c r="H3227" t="s">
        <v>13</v>
      </c>
    </row>
    <row r="3228" spans="1:8" x14ac:dyDescent="0.25">
      <c r="A3228" s="1">
        <v>45672.416666666664</v>
      </c>
      <c r="B3228" t="s">
        <v>25</v>
      </c>
      <c r="C3228">
        <v>208.89</v>
      </c>
      <c r="D3228">
        <v>14.5</v>
      </c>
      <c r="E3228" t="s">
        <v>9</v>
      </c>
      <c r="F3228">
        <v>59.64</v>
      </c>
      <c r="G3228" t="s">
        <v>10</v>
      </c>
      <c r="H3228" t="s">
        <v>13</v>
      </c>
    </row>
    <row r="3229" spans="1:8" x14ac:dyDescent="0.25">
      <c r="A3229" s="1">
        <v>45672.458333333336</v>
      </c>
      <c r="B3229" t="s">
        <v>25</v>
      </c>
      <c r="C3229">
        <v>455.95</v>
      </c>
      <c r="D3229">
        <v>66.72</v>
      </c>
      <c r="E3229" t="s">
        <v>9</v>
      </c>
      <c r="F3229">
        <v>53.9</v>
      </c>
      <c r="G3229" t="s">
        <v>10</v>
      </c>
      <c r="H3229" t="s">
        <v>13</v>
      </c>
    </row>
    <row r="3230" spans="1:8" x14ac:dyDescent="0.25">
      <c r="A3230" s="1">
        <v>45672.5</v>
      </c>
      <c r="B3230" t="s">
        <v>25</v>
      </c>
      <c r="C3230">
        <v>120.69</v>
      </c>
      <c r="D3230">
        <v>36.520000000000003</v>
      </c>
      <c r="E3230" t="s">
        <v>9</v>
      </c>
      <c r="F3230">
        <v>30.11</v>
      </c>
      <c r="G3230" t="s">
        <v>10</v>
      </c>
      <c r="H3230" t="s">
        <v>12</v>
      </c>
    </row>
    <row r="3231" spans="1:8" x14ac:dyDescent="0.25">
      <c r="A3231" s="1">
        <v>45672.541666666664</v>
      </c>
      <c r="B3231" t="s">
        <v>25</v>
      </c>
      <c r="C3231">
        <v>149.56</v>
      </c>
      <c r="D3231">
        <v>56.71</v>
      </c>
      <c r="E3231" t="s">
        <v>9</v>
      </c>
      <c r="F3231">
        <v>40.19</v>
      </c>
      <c r="G3231" t="s">
        <v>10</v>
      </c>
      <c r="H3231" t="s">
        <v>11</v>
      </c>
    </row>
    <row r="3232" spans="1:8" x14ac:dyDescent="0.25">
      <c r="A3232" s="1">
        <v>45672.583333333336</v>
      </c>
      <c r="B3232" t="s">
        <v>25</v>
      </c>
      <c r="C3232">
        <v>125.52</v>
      </c>
      <c r="D3232">
        <v>77.88</v>
      </c>
      <c r="E3232" t="s">
        <v>9</v>
      </c>
      <c r="F3232">
        <v>72.3</v>
      </c>
      <c r="G3232" t="s">
        <v>10</v>
      </c>
      <c r="H3232" t="s">
        <v>12</v>
      </c>
    </row>
    <row r="3233" spans="1:8" x14ac:dyDescent="0.25">
      <c r="A3233" s="1">
        <v>45672.625</v>
      </c>
      <c r="B3233" t="s">
        <v>25</v>
      </c>
      <c r="C3233">
        <v>196.06</v>
      </c>
      <c r="D3233">
        <v>47.21</v>
      </c>
      <c r="E3233" t="s">
        <v>9</v>
      </c>
      <c r="F3233">
        <v>78.489999999999995</v>
      </c>
      <c r="G3233" t="s">
        <v>10</v>
      </c>
      <c r="H3233" t="s">
        <v>12</v>
      </c>
    </row>
    <row r="3234" spans="1:8" x14ac:dyDescent="0.25">
      <c r="A3234" s="1">
        <v>45672.666666666664</v>
      </c>
      <c r="B3234" t="s">
        <v>25</v>
      </c>
      <c r="C3234">
        <v>223.78</v>
      </c>
      <c r="D3234">
        <v>18.95</v>
      </c>
      <c r="E3234" t="s">
        <v>9</v>
      </c>
      <c r="F3234">
        <v>52.47</v>
      </c>
      <c r="G3234" t="s">
        <v>10</v>
      </c>
      <c r="H3234" t="s">
        <v>12</v>
      </c>
    </row>
    <row r="3235" spans="1:8" x14ac:dyDescent="0.25">
      <c r="A3235" s="1">
        <v>45672.708333333336</v>
      </c>
      <c r="B3235" t="s">
        <v>25</v>
      </c>
      <c r="C3235">
        <v>472.64</v>
      </c>
      <c r="D3235">
        <v>70.48</v>
      </c>
      <c r="E3235" t="s">
        <v>9</v>
      </c>
      <c r="F3235">
        <v>33.049999999999997</v>
      </c>
      <c r="G3235" t="s">
        <v>10</v>
      </c>
      <c r="H3235" t="s">
        <v>13</v>
      </c>
    </row>
    <row r="3236" spans="1:8" x14ac:dyDescent="0.25">
      <c r="A3236" s="1">
        <v>45672.75</v>
      </c>
      <c r="B3236" t="s">
        <v>25</v>
      </c>
      <c r="C3236">
        <v>410.64</v>
      </c>
      <c r="D3236">
        <v>72.39</v>
      </c>
      <c r="E3236" t="s">
        <v>9</v>
      </c>
      <c r="F3236">
        <v>71.989999999999995</v>
      </c>
      <c r="G3236" t="s">
        <v>10</v>
      </c>
      <c r="H3236" t="s">
        <v>12</v>
      </c>
    </row>
    <row r="3237" spans="1:8" x14ac:dyDescent="0.25">
      <c r="A3237" s="1">
        <v>45672.791666666664</v>
      </c>
      <c r="B3237" t="s">
        <v>25</v>
      </c>
      <c r="C3237">
        <v>100.53</v>
      </c>
      <c r="D3237">
        <v>49.66</v>
      </c>
      <c r="E3237" t="s">
        <v>9</v>
      </c>
      <c r="F3237">
        <v>85.91</v>
      </c>
      <c r="G3237" t="s">
        <v>10</v>
      </c>
      <c r="H3237" t="s">
        <v>12</v>
      </c>
    </row>
    <row r="3238" spans="1:8" x14ac:dyDescent="0.25">
      <c r="A3238" s="1">
        <v>45672.833333333336</v>
      </c>
      <c r="B3238" t="s">
        <v>25</v>
      </c>
      <c r="C3238">
        <v>379.82</v>
      </c>
      <c r="D3238">
        <v>32.97</v>
      </c>
      <c r="E3238" t="s">
        <v>9</v>
      </c>
      <c r="F3238">
        <v>52.28</v>
      </c>
      <c r="G3238" t="s">
        <v>10</v>
      </c>
      <c r="H3238" t="s">
        <v>13</v>
      </c>
    </row>
    <row r="3239" spans="1:8" x14ac:dyDescent="0.25">
      <c r="A3239" s="1">
        <v>45672.875</v>
      </c>
      <c r="B3239" t="s">
        <v>25</v>
      </c>
      <c r="C3239">
        <v>478.76</v>
      </c>
      <c r="D3239">
        <v>60.26</v>
      </c>
      <c r="E3239" t="s">
        <v>9</v>
      </c>
      <c r="F3239">
        <v>48.4</v>
      </c>
      <c r="G3239" t="s">
        <v>10</v>
      </c>
      <c r="H3239" t="s">
        <v>12</v>
      </c>
    </row>
    <row r="3240" spans="1:8" x14ac:dyDescent="0.25">
      <c r="A3240" s="1">
        <v>45672.916666666664</v>
      </c>
      <c r="B3240" t="s">
        <v>25</v>
      </c>
      <c r="C3240">
        <v>325.04000000000002</v>
      </c>
      <c r="D3240">
        <v>77.7</v>
      </c>
      <c r="E3240" t="s">
        <v>9</v>
      </c>
      <c r="F3240">
        <v>50.04</v>
      </c>
      <c r="G3240" t="s">
        <v>10</v>
      </c>
      <c r="H3240" t="s">
        <v>13</v>
      </c>
    </row>
    <row r="3241" spans="1:8" x14ac:dyDescent="0.25">
      <c r="A3241" s="1">
        <v>45672.958333333336</v>
      </c>
      <c r="B3241" t="s">
        <v>25</v>
      </c>
      <c r="C3241">
        <v>95.83</v>
      </c>
      <c r="D3241">
        <v>73.040000000000006</v>
      </c>
      <c r="E3241" t="s">
        <v>9</v>
      </c>
      <c r="F3241">
        <v>40.83</v>
      </c>
      <c r="G3241" t="s">
        <v>10</v>
      </c>
      <c r="H3241" t="s">
        <v>11</v>
      </c>
    </row>
    <row r="3242" spans="1:8" x14ac:dyDescent="0.25">
      <c r="A3242" s="1">
        <v>45658</v>
      </c>
      <c r="B3242" t="s">
        <v>26</v>
      </c>
      <c r="C3242">
        <v>242.13</v>
      </c>
      <c r="D3242">
        <v>17.2</v>
      </c>
      <c r="E3242" t="s">
        <v>9</v>
      </c>
      <c r="F3242">
        <v>87.9</v>
      </c>
      <c r="G3242" t="s">
        <v>20</v>
      </c>
      <c r="H3242" t="s">
        <v>13</v>
      </c>
    </row>
    <row r="3243" spans="1:8" x14ac:dyDescent="0.25">
      <c r="A3243" s="1">
        <v>45658.041666666664</v>
      </c>
      <c r="B3243" t="s">
        <v>26</v>
      </c>
      <c r="C3243">
        <v>454.22</v>
      </c>
      <c r="D3243">
        <v>92.64</v>
      </c>
      <c r="E3243" t="s">
        <v>14</v>
      </c>
      <c r="F3243">
        <v>70.05</v>
      </c>
      <c r="G3243" t="s">
        <v>20</v>
      </c>
      <c r="H3243" t="s">
        <v>12</v>
      </c>
    </row>
    <row r="3244" spans="1:8" x14ac:dyDescent="0.25">
      <c r="A3244" s="1">
        <v>45658.083333333336</v>
      </c>
      <c r="B3244" t="s">
        <v>26</v>
      </c>
      <c r="C3244">
        <v>424.62</v>
      </c>
      <c r="D3244">
        <v>35.94</v>
      </c>
      <c r="E3244" t="s">
        <v>9</v>
      </c>
      <c r="F3244">
        <v>55.65</v>
      </c>
      <c r="G3244" t="s">
        <v>20</v>
      </c>
      <c r="H3244" t="s">
        <v>11</v>
      </c>
    </row>
    <row r="3245" spans="1:8" x14ac:dyDescent="0.25">
      <c r="A3245" s="1">
        <v>45658.125</v>
      </c>
      <c r="B3245" t="s">
        <v>26</v>
      </c>
      <c r="C3245">
        <v>483.34</v>
      </c>
      <c r="D3245">
        <v>45.64</v>
      </c>
      <c r="E3245" t="s">
        <v>9</v>
      </c>
      <c r="F3245">
        <v>54.04</v>
      </c>
      <c r="G3245" t="s">
        <v>20</v>
      </c>
      <c r="H3245" t="s">
        <v>11</v>
      </c>
    </row>
    <row r="3246" spans="1:8" x14ac:dyDescent="0.25">
      <c r="A3246" s="1">
        <v>45658.166666666664</v>
      </c>
      <c r="B3246" t="s">
        <v>26</v>
      </c>
      <c r="C3246">
        <v>414.27</v>
      </c>
      <c r="D3246">
        <v>64.72</v>
      </c>
      <c r="E3246" t="s">
        <v>9</v>
      </c>
      <c r="F3246">
        <v>71.92</v>
      </c>
      <c r="G3246" t="s">
        <v>20</v>
      </c>
      <c r="H3246" t="s">
        <v>11</v>
      </c>
    </row>
    <row r="3247" spans="1:8" x14ac:dyDescent="0.25">
      <c r="A3247" s="1">
        <v>45658.208333333336</v>
      </c>
      <c r="B3247" t="s">
        <v>26</v>
      </c>
      <c r="C3247">
        <v>424.62</v>
      </c>
      <c r="D3247">
        <v>93</v>
      </c>
      <c r="E3247" t="s">
        <v>14</v>
      </c>
      <c r="F3247">
        <v>68.52</v>
      </c>
      <c r="G3247" t="s">
        <v>20</v>
      </c>
      <c r="H3247" t="s">
        <v>12</v>
      </c>
    </row>
    <row r="3248" spans="1:8" x14ac:dyDescent="0.25">
      <c r="A3248" s="1">
        <v>45658.25</v>
      </c>
      <c r="B3248" t="s">
        <v>26</v>
      </c>
      <c r="C3248">
        <v>187.37</v>
      </c>
      <c r="D3248">
        <v>32</v>
      </c>
      <c r="E3248" t="s">
        <v>9</v>
      </c>
      <c r="F3248">
        <v>42.78</v>
      </c>
      <c r="G3248" t="s">
        <v>20</v>
      </c>
      <c r="H3248" t="s">
        <v>11</v>
      </c>
    </row>
    <row r="3249" spans="1:8" x14ac:dyDescent="0.25">
      <c r="A3249" s="1">
        <v>45658.291666666664</v>
      </c>
      <c r="B3249" t="s">
        <v>26</v>
      </c>
      <c r="C3249">
        <v>496.3</v>
      </c>
      <c r="D3249">
        <v>14.07</v>
      </c>
      <c r="E3249" t="s">
        <v>9</v>
      </c>
      <c r="F3249">
        <v>41.83</v>
      </c>
      <c r="G3249" t="s">
        <v>20</v>
      </c>
      <c r="H3249" t="s">
        <v>11</v>
      </c>
    </row>
    <row r="3250" spans="1:8" x14ac:dyDescent="0.25">
      <c r="A3250" s="1">
        <v>45658.333333333336</v>
      </c>
      <c r="B3250" t="s">
        <v>26</v>
      </c>
      <c r="C3250">
        <v>73.7</v>
      </c>
      <c r="D3250">
        <v>37.72</v>
      </c>
      <c r="E3250" t="s">
        <v>9</v>
      </c>
      <c r="F3250">
        <v>47.75</v>
      </c>
      <c r="G3250" t="s">
        <v>20</v>
      </c>
      <c r="H3250" t="s">
        <v>12</v>
      </c>
    </row>
    <row r="3251" spans="1:8" x14ac:dyDescent="0.25">
      <c r="A3251" s="1">
        <v>45658.375</v>
      </c>
      <c r="B3251" t="s">
        <v>26</v>
      </c>
      <c r="C3251">
        <v>232.25</v>
      </c>
      <c r="D3251">
        <v>22.35</v>
      </c>
      <c r="E3251" t="s">
        <v>9</v>
      </c>
      <c r="F3251">
        <v>61.98</v>
      </c>
      <c r="G3251" t="s">
        <v>20</v>
      </c>
      <c r="H3251" t="s">
        <v>13</v>
      </c>
    </row>
    <row r="3252" spans="1:8" x14ac:dyDescent="0.25">
      <c r="A3252" s="1">
        <v>45658.416666666664</v>
      </c>
      <c r="B3252" t="s">
        <v>26</v>
      </c>
      <c r="C3252">
        <v>448.57</v>
      </c>
      <c r="D3252">
        <v>85.77</v>
      </c>
      <c r="E3252" t="s">
        <v>14</v>
      </c>
      <c r="F3252">
        <v>42.55</v>
      </c>
      <c r="G3252" t="s">
        <v>20</v>
      </c>
      <c r="H3252" t="s">
        <v>13</v>
      </c>
    </row>
    <row r="3253" spans="1:8" x14ac:dyDescent="0.25">
      <c r="A3253" s="1">
        <v>45658.458333333336</v>
      </c>
      <c r="B3253" t="s">
        <v>26</v>
      </c>
      <c r="C3253">
        <v>238.33</v>
      </c>
      <c r="D3253">
        <v>44.91</v>
      </c>
      <c r="E3253" t="s">
        <v>9</v>
      </c>
      <c r="F3253">
        <v>35.89</v>
      </c>
      <c r="G3253" t="s">
        <v>20</v>
      </c>
      <c r="H3253" t="s">
        <v>12</v>
      </c>
    </row>
    <row r="3254" spans="1:8" x14ac:dyDescent="0.25">
      <c r="A3254" s="1">
        <v>45658.5</v>
      </c>
      <c r="B3254" t="s">
        <v>26</v>
      </c>
      <c r="C3254">
        <v>219.81</v>
      </c>
      <c r="D3254">
        <v>64.08</v>
      </c>
      <c r="E3254" t="s">
        <v>9</v>
      </c>
      <c r="F3254">
        <v>82.69</v>
      </c>
      <c r="G3254" t="s">
        <v>20</v>
      </c>
      <c r="H3254" t="s">
        <v>13</v>
      </c>
    </row>
    <row r="3255" spans="1:8" x14ac:dyDescent="0.25">
      <c r="A3255" s="1">
        <v>45658.541666666664</v>
      </c>
      <c r="B3255" t="s">
        <v>26</v>
      </c>
      <c r="C3255">
        <v>105.06</v>
      </c>
      <c r="D3255">
        <v>44.58</v>
      </c>
      <c r="E3255" t="s">
        <v>9</v>
      </c>
      <c r="F3255">
        <v>38.19</v>
      </c>
      <c r="G3255" t="s">
        <v>20</v>
      </c>
      <c r="H3255" t="s">
        <v>12</v>
      </c>
    </row>
    <row r="3256" spans="1:8" x14ac:dyDescent="0.25">
      <c r="A3256" s="1">
        <v>45658.583333333336</v>
      </c>
      <c r="B3256" t="s">
        <v>26</v>
      </c>
      <c r="C3256">
        <v>86.15</v>
      </c>
      <c r="D3256">
        <v>70.27</v>
      </c>
      <c r="E3256" t="s">
        <v>9</v>
      </c>
      <c r="F3256">
        <v>52.91</v>
      </c>
      <c r="G3256" t="s">
        <v>20</v>
      </c>
      <c r="H3256" t="s">
        <v>13</v>
      </c>
    </row>
    <row r="3257" spans="1:8" x14ac:dyDescent="0.25">
      <c r="A3257" s="1">
        <v>45658.625</v>
      </c>
      <c r="B3257" t="s">
        <v>26</v>
      </c>
      <c r="C3257">
        <v>442.59</v>
      </c>
      <c r="D3257">
        <v>49.95</v>
      </c>
      <c r="E3257" t="s">
        <v>9</v>
      </c>
      <c r="F3257">
        <v>44.33</v>
      </c>
      <c r="G3257" t="s">
        <v>20</v>
      </c>
      <c r="H3257" t="s">
        <v>12</v>
      </c>
    </row>
    <row r="3258" spans="1:8" x14ac:dyDescent="0.25">
      <c r="A3258" s="1">
        <v>45658.666666666664</v>
      </c>
      <c r="B3258" t="s">
        <v>26</v>
      </c>
      <c r="C3258">
        <v>63.83</v>
      </c>
      <c r="D3258">
        <v>57.52</v>
      </c>
      <c r="E3258" t="s">
        <v>9</v>
      </c>
      <c r="F3258">
        <v>85.39</v>
      </c>
      <c r="G3258" t="s">
        <v>20</v>
      </c>
      <c r="H3258" t="s">
        <v>13</v>
      </c>
    </row>
    <row r="3259" spans="1:8" x14ac:dyDescent="0.25">
      <c r="A3259" s="1">
        <v>45658.708333333336</v>
      </c>
      <c r="B3259" t="s">
        <v>26</v>
      </c>
      <c r="C3259">
        <v>126.65</v>
      </c>
      <c r="D3259">
        <v>59.5</v>
      </c>
      <c r="E3259" t="s">
        <v>9</v>
      </c>
      <c r="F3259">
        <v>34.64</v>
      </c>
      <c r="G3259" t="s">
        <v>20</v>
      </c>
      <c r="H3259" t="s">
        <v>13</v>
      </c>
    </row>
    <row r="3260" spans="1:8" x14ac:dyDescent="0.25">
      <c r="A3260" s="1">
        <v>45658.75</v>
      </c>
      <c r="B3260" t="s">
        <v>26</v>
      </c>
      <c r="C3260">
        <v>409.16</v>
      </c>
      <c r="D3260">
        <v>56.57</v>
      </c>
      <c r="E3260" t="s">
        <v>9</v>
      </c>
      <c r="F3260">
        <v>35.46</v>
      </c>
      <c r="G3260" t="s">
        <v>20</v>
      </c>
      <c r="H3260" t="s">
        <v>11</v>
      </c>
    </row>
    <row r="3261" spans="1:8" x14ac:dyDescent="0.25">
      <c r="A3261" s="1">
        <v>45658.791666666664</v>
      </c>
      <c r="B3261" t="s">
        <v>26</v>
      </c>
      <c r="C3261">
        <v>377.92</v>
      </c>
      <c r="D3261">
        <v>75.650000000000006</v>
      </c>
      <c r="E3261" t="s">
        <v>9</v>
      </c>
      <c r="F3261">
        <v>76.25</v>
      </c>
      <c r="G3261" t="s">
        <v>20</v>
      </c>
      <c r="H3261" t="s">
        <v>12</v>
      </c>
    </row>
    <row r="3262" spans="1:8" x14ac:dyDescent="0.25">
      <c r="A3262" s="1">
        <v>45658.833333333336</v>
      </c>
      <c r="B3262" t="s">
        <v>26</v>
      </c>
      <c r="C3262">
        <v>125.85</v>
      </c>
      <c r="D3262">
        <v>23.56</v>
      </c>
      <c r="E3262" t="s">
        <v>9</v>
      </c>
      <c r="F3262">
        <v>73.510000000000005</v>
      </c>
      <c r="G3262" t="s">
        <v>20</v>
      </c>
      <c r="H3262" t="s">
        <v>13</v>
      </c>
    </row>
    <row r="3263" spans="1:8" x14ac:dyDescent="0.25">
      <c r="A3263" s="1">
        <v>45658.875</v>
      </c>
      <c r="B3263" t="s">
        <v>26</v>
      </c>
      <c r="C3263">
        <v>479.04</v>
      </c>
      <c r="D3263">
        <v>20.39</v>
      </c>
      <c r="E3263" t="s">
        <v>9</v>
      </c>
      <c r="F3263">
        <v>62.13</v>
      </c>
      <c r="G3263" t="s">
        <v>20</v>
      </c>
      <c r="H3263" t="s">
        <v>11</v>
      </c>
    </row>
    <row r="3264" spans="1:8" x14ac:dyDescent="0.25">
      <c r="A3264" s="1">
        <v>45658.916666666664</v>
      </c>
      <c r="B3264" t="s">
        <v>26</v>
      </c>
      <c r="C3264">
        <v>142.94999999999999</v>
      </c>
      <c r="D3264">
        <v>46.42</v>
      </c>
      <c r="E3264" t="s">
        <v>9</v>
      </c>
      <c r="F3264">
        <v>74.41</v>
      </c>
      <c r="G3264" t="s">
        <v>20</v>
      </c>
      <c r="H3264" t="s">
        <v>13</v>
      </c>
    </row>
    <row r="3265" spans="1:8" x14ac:dyDescent="0.25">
      <c r="A3265" s="1">
        <v>45658.958333333336</v>
      </c>
      <c r="B3265" t="s">
        <v>26</v>
      </c>
      <c r="C3265">
        <v>54.4</v>
      </c>
      <c r="D3265">
        <v>77.2</v>
      </c>
      <c r="E3265" t="s">
        <v>9</v>
      </c>
      <c r="F3265">
        <v>79.19</v>
      </c>
      <c r="G3265" t="s">
        <v>20</v>
      </c>
      <c r="H3265" t="s">
        <v>13</v>
      </c>
    </row>
    <row r="3266" spans="1:8" x14ac:dyDescent="0.25">
      <c r="A3266" s="1">
        <v>45659</v>
      </c>
      <c r="B3266" t="s">
        <v>26</v>
      </c>
      <c r="C3266">
        <v>154.81</v>
      </c>
      <c r="D3266">
        <v>50.52</v>
      </c>
      <c r="E3266" t="s">
        <v>9</v>
      </c>
      <c r="F3266">
        <v>35.799999999999997</v>
      </c>
      <c r="G3266" t="s">
        <v>20</v>
      </c>
      <c r="H3266" t="s">
        <v>12</v>
      </c>
    </row>
    <row r="3267" spans="1:8" x14ac:dyDescent="0.25">
      <c r="A3267" s="1">
        <v>45659.041666666664</v>
      </c>
      <c r="B3267" t="s">
        <v>26</v>
      </c>
      <c r="C3267">
        <v>278.10000000000002</v>
      </c>
      <c r="D3267">
        <v>73.349999999999994</v>
      </c>
      <c r="E3267" t="s">
        <v>9</v>
      </c>
      <c r="F3267">
        <v>41.88</v>
      </c>
      <c r="G3267" t="s">
        <v>20</v>
      </c>
      <c r="H3267" t="s">
        <v>11</v>
      </c>
    </row>
    <row r="3268" spans="1:8" x14ac:dyDescent="0.25">
      <c r="A3268" s="1">
        <v>45659.083333333336</v>
      </c>
      <c r="B3268" t="s">
        <v>26</v>
      </c>
      <c r="C3268">
        <v>486.23</v>
      </c>
      <c r="D3268">
        <v>79.59</v>
      </c>
      <c r="E3268" t="s">
        <v>9</v>
      </c>
      <c r="F3268">
        <v>75.069999999999993</v>
      </c>
      <c r="G3268" t="s">
        <v>20</v>
      </c>
      <c r="H3268" t="s">
        <v>11</v>
      </c>
    </row>
    <row r="3269" spans="1:8" x14ac:dyDescent="0.25">
      <c r="A3269" s="1">
        <v>45659.125</v>
      </c>
      <c r="B3269" t="s">
        <v>26</v>
      </c>
      <c r="C3269">
        <v>426.26</v>
      </c>
      <c r="D3269">
        <v>54.43</v>
      </c>
      <c r="E3269" t="s">
        <v>9</v>
      </c>
      <c r="F3269">
        <v>69.150000000000006</v>
      </c>
      <c r="G3269" t="s">
        <v>20</v>
      </c>
      <c r="H3269" t="s">
        <v>13</v>
      </c>
    </row>
    <row r="3270" spans="1:8" x14ac:dyDescent="0.25">
      <c r="A3270" s="1">
        <v>45659.166666666664</v>
      </c>
      <c r="B3270" t="s">
        <v>26</v>
      </c>
      <c r="C3270">
        <v>454.42</v>
      </c>
      <c r="D3270">
        <v>28.36</v>
      </c>
      <c r="E3270" t="s">
        <v>9</v>
      </c>
      <c r="F3270">
        <v>47.54</v>
      </c>
      <c r="G3270" t="s">
        <v>20</v>
      </c>
      <c r="H3270" t="s">
        <v>11</v>
      </c>
    </row>
    <row r="3271" spans="1:8" x14ac:dyDescent="0.25">
      <c r="A3271" s="1">
        <v>45659.208333333336</v>
      </c>
      <c r="B3271" t="s">
        <v>26</v>
      </c>
      <c r="C3271">
        <v>203.98</v>
      </c>
      <c r="D3271">
        <v>94.14</v>
      </c>
      <c r="E3271" t="s">
        <v>14</v>
      </c>
      <c r="F3271">
        <v>41.79</v>
      </c>
      <c r="G3271" t="s">
        <v>20</v>
      </c>
      <c r="H3271" t="s">
        <v>12</v>
      </c>
    </row>
    <row r="3272" spans="1:8" x14ac:dyDescent="0.25">
      <c r="A3272" s="1">
        <v>45659.25</v>
      </c>
      <c r="B3272" t="s">
        <v>26</v>
      </c>
      <c r="C3272">
        <v>429.32</v>
      </c>
      <c r="D3272">
        <v>61.52</v>
      </c>
      <c r="E3272" t="s">
        <v>9</v>
      </c>
      <c r="F3272">
        <v>52.34</v>
      </c>
      <c r="G3272" t="s">
        <v>20</v>
      </c>
      <c r="H3272" t="s">
        <v>12</v>
      </c>
    </row>
    <row r="3273" spans="1:8" x14ac:dyDescent="0.25">
      <c r="A3273" s="1">
        <v>45659.291666666664</v>
      </c>
      <c r="B3273" t="s">
        <v>26</v>
      </c>
      <c r="C3273">
        <v>233.9</v>
      </c>
      <c r="D3273">
        <v>55.78</v>
      </c>
      <c r="E3273" t="s">
        <v>9</v>
      </c>
      <c r="F3273">
        <v>74.77</v>
      </c>
      <c r="G3273" t="s">
        <v>20</v>
      </c>
      <c r="H3273" t="s">
        <v>11</v>
      </c>
    </row>
    <row r="3274" spans="1:8" x14ac:dyDescent="0.25">
      <c r="A3274" s="1">
        <v>45659.333333333336</v>
      </c>
      <c r="B3274" t="s">
        <v>26</v>
      </c>
      <c r="C3274">
        <v>371.76</v>
      </c>
      <c r="D3274">
        <v>74.7</v>
      </c>
      <c r="E3274" t="s">
        <v>9</v>
      </c>
      <c r="F3274">
        <v>56.16</v>
      </c>
      <c r="G3274" t="s">
        <v>20</v>
      </c>
      <c r="H3274" t="s">
        <v>11</v>
      </c>
    </row>
    <row r="3275" spans="1:8" x14ac:dyDescent="0.25">
      <c r="A3275" s="1">
        <v>45659.375</v>
      </c>
      <c r="B3275" t="s">
        <v>26</v>
      </c>
      <c r="C3275">
        <v>226.29</v>
      </c>
      <c r="D3275">
        <v>78.28</v>
      </c>
      <c r="E3275" t="s">
        <v>9</v>
      </c>
      <c r="F3275">
        <v>49.45</v>
      </c>
      <c r="G3275" t="s">
        <v>20</v>
      </c>
      <c r="H3275" t="s">
        <v>13</v>
      </c>
    </row>
    <row r="3276" spans="1:8" x14ac:dyDescent="0.25">
      <c r="A3276" s="1">
        <v>45659.416666666664</v>
      </c>
      <c r="B3276" t="s">
        <v>26</v>
      </c>
      <c r="C3276">
        <v>257.44</v>
      </c>
      <c r="D3276">
        <v>49.1</v>
      </c>
      <c r="E3276" t="s">
        <v>9</v>
      </c>
      <c r="F3276">
        <v>59.76</v>
      </c>
      <c r="G3276" t="s">
        <v>20</v>
      </c>
      <c r="H3276" t="s">
        <v>13</v>
      </c>
    </row>
    <row r="3277" spans="1:8" x14ac:dyDescent="0.25">
      <c r="A3277" s="1">
        <v>45659.458333333336</v>
      </c>
      <c r="B3277" t="s">
        <v>26</v>
      </c>
      <c r="C3277">
        <v>184.26</v>
      </c>
      <c r="D3277">
        <v>63.84</v>
      </c>
      <c r="E3277" t="s">
        <v>9</v>
      </c>
      <c r="F3277">
        <v>44.37</v>
      </c>
      <c r="G3277" t="s">
        <v>20</v>
      </c>
      <c r="H3277" t="s">
        <v>13</v>
      </c>
    </row>
    <row r="3278" spans="1:8" x14ac:dyDescent="0.25">
      <c r="A3278" s="1">
        <v>45659.5</v>
      </c>
      <c r="B3278" t="s">
        <v>26</v>
      </c>
      <c r="C3278">
        <v>447.43</v>
      </c>
      <c r="D3278">
        <v>59.45</v>
      </c>
      <c r="E3278" t="s">
        <v>9</v>
      </c>
      <c r="F3278">
        <v>66.55</v>
      </c>
      <c r="G3278" t="s">
        <v>20</v>
      </c>
      <c r="H3278" t="s">
        <v>12</v>
      </c>
    </row>
    <row r="3279" spans="1:8" x14ac:dyDescent="0.25">
      <c r="A3279" s="1">
        <v>45659.541666666664</v>
      </c>
      <c r="B3279" t="s">
        <v>26</v>
      </c>
      <c r="C3279">
        <v>417.91</v>
      </c>
      <c r="D3279">
        <v>62.73</v>
      </c>
      <c r="E3279" t="s">
        <v>9</v>
      </c>
      <c r="F3279">
        <v>75.19</v>
      </c>
      <c r="G3279" t="s">
        <v>20</v>
      </c>
      <c r="H3279" t="s">
        <v>13</v>
      </c>
    </row>
    <row r="3280" spans="1:8" x14ac:dyDescent="0.25">
      <c r="A3280" s="1">
        <v>45659.583333333336</v>
      </c>
      <c r="B3280" t="s">
        <v>26</v>
      </c>
      <c r="C3280">
        <v>264.73</v>
      </c>
      <c r="D3280">
        <v>49.03</v>
      </c>
      <c r="E3280" t="s">
        <v>9</v>
      </c>
      <c r="F3280">
        <v>73.540000000000006</v>
      </c>
      <c r="G3280" t="s">
        <v>20</v>
      </c>
      <c r="H3280" t="s">
        <v>13</v>
      </c>
    </row>
    <row r="3281" spans="1:8" x14ac:dyDescent="0.25">
      <c r="A3281" s="1">
        <v>45659.625</v>
      </c>
      <c r="B3281" t="s">
        <v>26</v>
      </c>
      <c r="C3281">
        <v>182.92</v>
      </c>
      <c r="D3281">
        <v>18.190000000000001</v>
      </c>
      <c r="E3281" t="s">
        <v>9</v>
      </c>
      <c r="F3281">
        <v>76.06</v>
      </c>
      <c r="G3281" t="s">
        <v>20</v>
      </c>
      <c r="H3281" t="s">
        <v>13</v>
      </c>
    </row>
    <row r="3282" spans="1:8" x14ac:dyDescent="0.25">
      <c r="A3282" s="1">
        <v>45659.666666666664</v>
      </c>
      <c r="B3282" t="s">
        <v>26</v>
      </c>
      <c r="C3282">
        <v>50.52</v>
      </c>
      <c r="D3282">
        <v>36.880000000000003</v>
      </c>
      <c r="E3282" t="s">
        <v>9</v>
      </c>
      <c r="F3282">
        <v>65.040000000000006</v>
      </c>
      <c r="G3282" t="s">
        <v>20</v>
      </c>
      <c r="H3282" t="s">
        <v>12</v>
      </c>
    </row>
    <row r="3283" spans="1:8" x14ac:dyDescent="0.25">
      <c r="A3283" s="1">
        <v>45659.708333333336</v>
      </c>
      <c r="B3283" t="s">
        <v>26</v>
      </c>
      <c r="C3283">
        <v>472.8</v>
      </c>
      <c r="D3283">
        <v>66.739999999999995</v>
      </c>
      <c r="E3283" t="s">
        <v>9</v>
      </c>
      <c r="F3283">
        <v>54.81</v>
      </c>
      <c r="G3283" t="s">
        <v>20</v>
      </c>
      <c r="H3283" t="s">
        <v>11</v>
      </c>
    </row>
    <row r="3284" spans="1:8" x14ac:dyDescent="0.25">
      <c r="A3284" s="1">
        <v>45659.75</v>
      </c>
      <c r="B3284" t="s">
        <v>26</v>
      </c>
      <c r="C3284">
        <v>376.39</v>
      </c>
      <c r="D3284">
        <v>54.39</v>
      </c>
      <c r="E3284" t="s">
        <v>9</v>
      </c>
      <c r="F3284">
        <v>66.510000000000005</v>
      </c>
      <c r="G3284" t="s">
        <v>20</v>
      </c>
      <c r="H3284" t="s">
        <v>12</v>
      </c>
    </row>
    <row r="3285" spans="1:8" x14ac:dyDescent="0.25">
      <c r="A3285" s="1">
        <v>45659.791666666664</v>
      </c>
      <c r="B3285" t="s">
        <v>26</v>
      </c>
      <c r="C3285">
        <v>364.33</v>
      </c>
      <c r="D3285">
        <v>25.75</v>
      </c>
      <c r="E3285" t="s">
        <v>9</v>
      </c>
      <c r="F3285">
        <v>30.88</v>
      </c>
      <c r="G3285" t="s">
        <v>20</v>
      </c>
      <c r="H3285" t="s">
        <v>12</v>
      </c>
    </row>
    <row r="3286" spans="1:8" x14ac:dyDescent="0.25">
      <c r="A3286" s="1">
        <v>45659.833333333336</v>
      </c>
      <c r="B3286" t="s">
        <v>26</v>
      </c>
      <c r="C3286">
        <v>326.04000000000002</v>
      </c>
      <c r="D3286">
        <v>16.41</v>
      </c>
      <c r="E3286" t="s">
        <v>9</v>
      </c>
      <c r="F3286">
        <v>60.25</v>
      </c>
      <c r="G3286" t="s">
        <v>20</v>
      </c>
      <c r="H3286" t="s">
        <v>12</v>
      </c>
    </row>
    <row r="3287" spans="1:8" x14ac:dyDescent="0.25">
      <c r="A3287" s="1">
        <v>45659.875</v>
      </c>
      <c r="B3287" t="s">
        <v>26</v>
      </c>
      <c r="C3287">
        <v>297.45999999999998</v>
      </c>
      <c r="D3287">
        <v>35.83</v>
      </c>
      <c r="E3287" t="s">
        <v>9</v>
      </c>
      <c r="F3287">
        <v>77.17</v>
      </c>
      <c r="G3287" t="s">
        <v>20</v>
      </c>
      <c r="H3287" t="s">
        <v>13</v>
      </c>
    </row>
    <row r="3288" spans="1:8" x14ac:dyDescent="0.25">
      <c r="A3288" s="1">
        <v>45659.916666666664</v>
      </c>
      <c r="B3288" t="s">
        <v>26</v>
      </c>
      <c r="C3288">
        <v>270.92</v>
      </c>
      <c r="D3288">
        <v>29.43</v>
      </c>
      <c r="E3288" t="s">
        <v>9</v>
      </c>
      <c r="F3288">
        <v>50.91</v>
      </c>
      <c r="G3288" t="s">
        <v>20</v>
      </c>
      <c r="H3288" t="s">
        <v>11</v>
      </c>
    </row>
    <row r="3289" spans="1:8" x14ac:dyDescent="0.25">
      <c r="A3289" s="1">
        <v>45659.958333333336</v>
      </c>
      <c r="B3289" t="s">
        <v>26</v>
      </c>
      <c r="C3289">
        <v>457.31</v>
      </c>
      <c r="D3289">
        <v>30.25</v>
      </c>
      <c r="E3289" t="s">
        <v>9</v>
      </c>
      <c r="F3289">
        <v>89.38</v>
      </c>
      <c r="G3289" t="s">
        <v>20</v>
      </c>
      <c r="H3289" t="s">
        <v>12</v>
      </c>
    </row>
    <row r="3290" spans="1:8" x14ac:dyDescent="0.25">
      <c r="A3290" s="1">
        <v>45660</v>
      </c>
      <c r="B3290" t="s">
        <v>26</v>
      </c>
      <c r="C3290">
        <v>130.03</v>
      </c>
      <c r="D3290">
        <v>33.909999999999997</v>
      </c>
      <c r="E3290" t="s">
        <v>9</v>
      </c>
      <c r="F3290">
        <v>31.05</v>
      </c>
      <c r="G3290" t="s">
        <v>20</v>
      </c>
      <c r="H3290" t="s">
        <v>13</v>
      </c>
    </row>
    <row r="3291" spans="1:8" x14ac:dyDescent="0.25">
      <c r="A3291" s="1">
        <v>45660.041666666664</v>
      </c>
      <c r="B3291" t="s">
        <v>26</v>
      </c>
      <c r="C3291">
        <v>379.57</v>
      </c>
      <c r="D3291">
        <v>70.16</v>
      </c>
      <c r="E3291" t="s">
        <v>9</v>
      </c>
      <c r="F3291">
        <v>77.540000000000006</v>
      </c>
      <c r="G3291" t="s">
        <v>20</v>
      </c>
      <c r="H3291" t="s">
        <v>11</v>
      </c>
    </row>
    <row r="3292" spans="1:8" x14ac:dyDescent="0.25">
      <c r="A3292" s="1">
        <v>45660.083333333336</v>
      </c>
      <c r="B3292" t="s">
        <v>26</v>
      </c>
      <c r="C3292">
        <v>359.32</v>
      </c>
      <c r="D3292">
        <v>62.31</v>
      </c>
      <c r="E3292" t="s">
        <v>9</v>
      </c>
      <c r="F3292">
        <v>51.97</v>
      </c>
      <c r="G3292" t="s">
        <v>20</v>
      </c>
      <c r="H3292" t="s">
        <v>11</v>
      </c>
    </row>
    <row r="3293" spans="1:8" x14ac:dyDescent="0.25">
      <c r="A3293" s="1">
        <v>45660.125</v>
      </c>
      <c r="B3293" t="s">
        <v>26</v>
      </c>
      <c r="C3293">
        <v>305.56</v>
      </c>
      <c r="D3293">
        <v>53.96</v>
      </c>
      <c r="E3293" t="s">
        <v>9</v>
      </c>
      <c r="F3293">
        <v>68.510000000000005</v>
      </c>
      <c r="G3293" t="s">
        <v>20</v>
      </c>
      <c r="H3293" t="s">
        <v>12</v>
      </c>
    </row>
    <row r="3294" spans="1:8" x14ac:dyDescent="0.25">
      <c r="A3294" s="1">
        <v>45660.166666666664</v>
      </c>
      <c r="B3294" t="s">
        <v>26</v>
      </c>
      <c r="C3294">
        <v>374.3</v>
      </c>
      <c r="D3294">
        <v>67.12</v>
      </c>
      <c r="E3294" t="s">
        <v>9</v>
      </c>
      <c r="F3294">
        <v>39.31</v>
      </c>
      <c r="G3294" t="s">
        <v>20</v>
      </c>
      <c r="H3294" t="s">
        <v>11</v>
      </c>
    </row>
    <row r="3295" spans="1:8" x14ac:dyDescent="0.25">
      <c r="A3295" s="1">
        <v>45660.208333333336</v>
      </c>
      <c r="B3295" t="s">
        <v>26</v>
      </c>
      <c r="C3295">
        <v>261.22000000000003</v>
      </c>
      <c r="D3295">
        <v>85.41</v>
      </c>
      <c r="E3295" t="s">
        <v>14</v>
      </c>
      <c r="F3295">
        <v>79.12</v>
      </c>
      <c r="G3295" t="s">
        <v>20</v>
      </c>
      <c r="H3295" t="s">
        <v>12</v>
      </c>
    </row>
    <row r="3296" spans="1:8" x14ac:dyDescent="0.25">
      <c r="A3296" s="1">
        <v>45660.25</v>
      </c>
      <c r="B3296" t="s">
        <v>26</v>
      </c>
      <c r="C3296">
        <v>337.2</v>
      </c>
      <c r="D3296">
        <v>59.81</v>
      </c>
      <c r="E3296" t="s">
        <v>9</v>
      </c>
      <c r="F3296">
        <v>43.56</v>
      </c>
      <c r="G3296" t="s">
        <v>20</v>
      </c>
      <c r="H3296" t="s">
        <v>13</v>
      </c>
    </row>
    <row r="3297" spans="1:8" x14ac:dyDescent="0.25">
      <c r="A3297" s="1">
        <v>45660.291666666664</v>
      </c>
      <c r="B3297" t="s">
        <v>26</v>
      </c>
      <c r="C3297">
        <v>192.99</v>
      </c>
      <c r="D3297">
        <v>25.32</v>
      </c>
      <c r="E3297" t="s">
        <v>9</v>
      </c>
      <c r="F3297">
        <v>34.51</v>
      </c>
      <c r="G3297" t="s">
        <v>20</v>
      </c>
      <c r="H3297" t="s">
        <v>11</v>
      </c>
    </row>
    <row r="3298" spans="1:8" x14ac:dyDescent="0.25">
      <c r="A3298" s="1">
        <v>45660.333333333336</v>
      </c>
      <c r="B3298" t="s">
        <v>26</v>
      </c>
      <c r="C3298">
        <v>377.19</v>
      </c>
      <c r="D3298">
        <v>94.42</v>
      </c>
      <c r="E3298" t="s">
        <v>14</v>
      </c>
      <c r="F3298">
        <v>69.06</v>
      </c>
      <c r="G3298" t="s">
        <v>20</v>
      </c>
      <c r="H3298" t="s">
        <v>13</v>
      </c>
    </row>
    <row r="3299" spans="1:8" x14ac:dyDescent="0.25">
      <c r="A3299" s="1">
        <v>45660.375</v>
      </c>
      <c r="B3299" t="s">
        <v>26</v>
      </c>
      <c r="C3299">
        <v>161.88</v>
      </c>
      <c r="D3299">
        <v>43.86</v>
      </c>
      <c r="E3299" t="s">
        <v>9</v>
      </c>
      <c r="F3299">
        <v>79.36</v>
      </c>
      <c r="G3299" t="s">
        <v>20</v>
      </c>
      <c r="H3299" t="s">
        <v>12</v>
      </c>
    </row>
    <row r="3300" spans="1:8" x14ac:dyDescent="0.25">
      <c r="A3300" s="1">
        <v>45660.416666666664</v>
      </c>
      <c r="B3300" t="s">
        <v>26</v>
      </c>
      <c r="C3300">
        <v>426.02</v>
      </c>
      <c r="D3300">
        <v>65.8</v>
      </c>
      <c r="E3300" t="s">
        <v>9</v>
      </c>
      <c r="F3300">
        <v>50.52</v>
      </c>
      <c r="G3300" t="s">
        <v>20</v>
      </c>
      <c r="H3300" t="s">
        <v>13</v>
      </c>
    </row>
    <row r="3301" spans="1:8" x14ac:dyDescent="0.25">
      <c r="A3301" s="1">
        <v>45660.458333333336</v>
      </c>
      <c r="B3301" t="s">
        <v>26</v>
      </c>
      <c r="C3301">
        <v>265.98</v>
      </c>
      <c r="D3301">
        <v>92.23</v>
      </c>
      <c r="E3301" t="s">
        <v>14</v>
      </c>
      <c r="F3301">
        <v>44.53</v>
      </c>
      <c r="G3301" t="s">
        <v>20</v>
      </c>
      <c r="H3301" t="s">
        <v>12</v>
      </c>
    </row>
    <row r="3302" spans="1:8" x14ac:dyDescent="0.25">
      <c r="A3302" s="1">
        <v>45660.5</v>
      </c>
      <c r="B3302" t="s">
        <v>26</v>
      </c>
      <c r="C3302">
        <v>389.8</v>
      </c>
      <c r="D3302">
        <v>31.89</v>
      </c>
      <c r="E3302" t="s">
        <v>9</v>
      </c>
      <c r="F3302">
        <v>60.06</v>
      </c>
      <c r="G3302" t="s">
        <v>20</v>
      </c>
      <c r="H3302" t="s">
        <v>12</v>
      </c>
    </row>
    <row r="3303" spans="1:8" x14ac:dyDescent="0.25">
      <c r="A3303" s="1">
        <v>45660.541666666664</v>
      </c>
      <c r="B3303" t="s">
        <v>26</v>
      </c>
      <c r="C3303">
        <v>390.53</v>
      </c>
      <c r="D3303">
        <v>31.68</v>
      </c>
      <c r="E3303" t="s">
        <v>9</v>
      </c>
      <c r="F3303">
        <v>77.88</v>
      </c>
      <c r="G3303" t="s">
        <v>20</v>
      </c>
      <c r="H3303" t="s">
        <v>12</v>
      </c>
    </row>
    <row r="3304" spans="1:8" x14ac:dyDescent="0.25">
      <c r="A3304" s="1">
        <v>45660.583333333336</v>
      </c>
      <c r="B3304" t="s">
        <v>26</v>
      </c>
      <c r="C3304">
        <v>400.71</v>
      </c>
      <c r="D3304">
        <v>33.04</v>
      </c>
      <c r="E3304" t="s">
        <v>9</v>
      </c>
      <c r="F3304">
        <v>75.22</v>
      </c>
      <c r="G3304" t="s">
        <v>20</v>
      </c>
      <c r="H3304" t="s">
        <v>13</v>
      </c>
    </row>
    <row r="3305" spans="1:8" x14ac:dyDescent="0.25">
      <c r="A3305" s="1">
        <v>45660.625</v>
      </c>
      <c r="B3305" t="s">
        <v>26</v>
      </c>
      <c r="C3305">
        <v>67.400000000000006</v>
      </c>
      <c r="D3305">
        <v>54.12</v>
      </c>
      <c r="E3305" t="s">
        <v>9</v>
      </c>
      <c r="F3305">
        <v>38.92</v>
      </c>
      <c r="G3305" t="s">
        <v>20</v>
      </c>
      <c r="H3305" t="s">
        <v>13</v>
      </c>
    </row>
    <row r="3306" spans="1:8" x14ac:dyDescent="0.25">
      <c r="A3306" s="1">
        <v>45660.666666666664</v>
      </c>
      <c r="B3306" t="s">
        <v>26</v>
      </c>
      <c r="C3306">
        <v>113.61</v>
      </c>
      <c r="D3306">
        <v>49.41</v>
      </c>
      <c r="E3306" t="s">
        <v>9</v>
      </c>
      <c r="F3306">
        <v>36.64</v>
      </c>
      <c r="G3306" t="s">
        <v>20</v>
      </c>
      <c r="H3306" t="s">
        <v>13</v>
      </c>
    </row>
    <row r="3307" spans="1:8" x14ac:dyDescent="0.25">
      <c r="A3307" s="1">
        <v>45660.708333333336</v>
      </c>
      <c r="B3307" t="s">
        <v>26</v>
      </c>
      <c r="C3307">
        <v>317.79000000000002</v>
      </c>
      <c r="D3307">
        <v>93.11</v>
      </c>
      <c r="E3307" t="s">
        <v>14</v>
      </c>
      <c r="F3307">
        <v>56.95</v>
      </c>
      <c r="G3307" t="s">
        <v>20</v>
      </c>
      <c r="H3307" t="s">
        <v>13</v>
      </c>
    </row>
    <row r="3308" spans="1:8" x14ac:dyDescent="0.25">
      <c r="A3308" s="1">
        <v>45660.75</v>
      </c>
      <c r="B3308" t="s">
        <v>26</v>
      </c>
      <c r="C3308">
        <v>393.54</v>
      </c>
      <c r="D3308">
        <v>76.75</v>
      </c>
      <c r="E3308" t="s">
        <v>9</v>
      </c>
      <c r="F3308">
        <v>70.31</v>
      </c>
      <c r="G3308" t="s">
        <v>20</v>
      </c>
      <c r="H3308" t="s">
        <v>11</v>
      </c>
    </row>
    <row r="3309" spans="1:8" x14ac:dyDescent="0.25">
      <c r="A3309" s="1">
        <v>45660.791666666664</v>
      </c>
      <c r="B3309" t="s">
        <v>26</v>
      </c>
      <c r="C3309">
        <v>114.93</v>
      </c>
      <c r="D3309">
        <v>85.53</v>
      </c>
      <c r="E3309" t="s">
        <v>14</v>
      </c>
      <c r="F3309">
        <v>54.61</v>
      </c>
      <c r="G3309" t="s">
        <v>20</v>
      </c>
      <c r="H3309" t="s">
        <v>11</v>
      </c>
    </row>
    <row r="3310" spans="1:8" x14ac:dyDescent="0.25">
      <c r="A3310" s="1">
        <v>45660.833333333336</v>
      </c>
      <c r="B3310" t="s">
        <v>26</v>
      </c>
      <c r="C3310">
        <v>220.5</v>
      </c>
      <c r="D3310">
        <v>45.41</v>
      </c>
      <c r="E3310" t="s">
        <v>9</v>
      </c>
      <c r="F3310">
        <v>63.33</v>
      </c>
      <c r="G3310" t="s">
        <v>20</v>
      </c>
      <c r="H3310" t="s">
        <v>13</v>
      </c>
    </row>
    <row r="3311" spans="1:8" x14ac:dyDescent="0.25">
      <c r="A3311" s="1">
        <v>45660.875</v>
      </c>
      <c r="B3311" t="s">
        <v>26</v>
      </c>
      <c r="C3311">
        <v>224.27</v>
      </c>
      <c r="D3311">
        <v>50.2</v>
      </c>
      <c r="E3311" t="s">
        <v>9</v>
      </c>
      <c r="F3311">
        <v>89.11</v>
      </c>
      <c r="G3311" t="s">
        <v>20</v>
      </c>
      <c r="H3311" t="s">
        <v>13</v>
      </c>
    </row>
    <row r="3312" spans="1:8" x14ac:dyDescent="0.25">
      <c r="A3312" s="1">
        <v>45660.916666666664</v>
      </c>
      <c r="B3312" t="s">
        <v>26</v>
      </c>
      <c r="C3312">
        <v>340.06</v>
      </c>
      <c r="D3312">
        <v>25.12</v>
      </c>
      <c r="E3312" t="s">
        <v>9</v>
      </c>
      <c r="F3312">
        <v>33.93</v>
      </c>
      <c r="G3312" t="s">
        <v>20</v>
      </c>
      <c r="H3312" t="s">
        <v>12</v>
      </c>
    </row>
    <row r="3313" spans="1:8" x14ac:dyDescent="0.25">
      <c r="A3313" s="1">
        <v>45660.958333333336</v>
      </c>
      <c r="B3313" t="s">
        <v>26</v>
      </c>
      <c r="C3313">
        <v>378.83</v>
      </c>
      <c r="D3313">
        <v>39.72</v>
      </c>
      <c r="E3313" t="s">
        <v>9</v>
      </c>
      <c r="F3313">
        <v>60.27</v>
      </c>
      <c r="G3313" t="s">
        <v>20</v>
      </c>
      <c r="H3313" t="s">
        <v>13</v>
      </c>
    </row>
    <row r="3314" spans="1:8" x14ac:dyDescent="0.25">
      <c r="A3314" s="1">
        <v>45661</v>
      </c>
      <c r="B3314" t="s">
        <v>26</v>
      </c>
      <c r="C3314">
        <v>61.85</v>
      </c>
      <c r="D3314">
        <v>94.19</v>
      </c>
      <c r="E3314" t="s">
        <v>14</v>
      </c>
      <c r="F3314">
        <v>46.73</v>
      </c>
      <c r="G3314" t="s">
        <v>20</v>
      </c>
      <c r="H3314" t="s">
        <v>12</v>
      </c>
    </row>
    <row r="3315" spans="1:8" x14ac:dyDescent="0.25">
      <c r="A3315" s="1">
        <v>45661.041666666664</v>
      </c>
      <c r="B3315" t="s">
        <v>26</v>
      </c>
      <c r="C3315">
        <v>296.08</v>
      </c>
      <c r="D3315">
        <v>36.590000000000003</v>
      </c>
      <c r="E3315" t="s">
        <v>9</v>
      </c>
      <c r="F3315">
        <v>81.75</v>
      </c>
      <c r="G3315" t="s">
        <v>20</v>
      </c>
      <c r="H3315" t="s">
        <v>12</v>
      </c>
    </row>
    <row r="3316" spans="1:8" x14ac:dyDescent="0.25">
      <c r="A3316" s="1">
        <v>45661.083333333336</v>
      </c>
      <c r="B3316" t="s">
        <v>26</v>
      </c>
      <c r="C3316">
        <v>86.72</v>
      </c>
      <c r="D3316">
        <v>53.01</v>
      </c>
      <c r="E3316" t="s">
        <v>9</v>
      </c>
      <c r="F3316">
        <v>54.37</v>
      </c>
      <c r="G3316" t="s">
        <v>20</v>
      </c>
      <c r="H3316" t="s">
        <v>12</v>
      </c>
    </row>
    <row r="3317" spans="1:8" x14ac:dyDescent="0.25">
      <c r="A3317" s="1">
        <v>45661.125</v>
      </c>
      <c r="B3317" t="s">
        <v>26</v>
      </c>
      <c r="C3317">
        <v>386.24</v>
      </c>
      <c r="D3317">
        <v>91.54</v>
      </c>
      <c r="E3317" t="s">
        <v>14</v>
      </c>
      <c r="F3317">
        <v>59.2</v>
      </c>
      <c r="G3317" t="s">
        <v>20</v>
      </c>
      <c r="H3317" t="s">
        <v>11</v>
      </c>
    </row>
    <row r="3318" spans="1:8" x14ac:dyDescent="0.25">
      <c r="A3318" s="1">
        <v>45661.166666666664</v>
      </c>
      <c r="B3318" t="s">
        <v>26</v>
      </c>
      <c r="C3318">
        <v>362.18</v>
      </c>
      <c r="D3318">
        <v>86.61</v>
      </c>
      <c r="E3318" t="s">
        <v>14</v>
      </c>
      <c r="F3318">
        <v>38.81</v>
      </c>
      <c r="G3318" t="s">
        <v>20</v>
      </c>
      <c r="H3318" t="s">
        <v>13</v>
      </c>
    </row>
    <row r="3319" spans="1:8" x14ac:dyDescent="0.25">
      <c r="A3319" s="1">
        <v>45661.208333333336</v>
      </c>
      <c r="B3319" t="s">
        <v>26</v>
      </c>
      <c r="C3319">
        <v>401.37</v>
      </c>
      <c r="D3319">
        <v>69.58</v>
      </c>
      <c r="E3319" t="s">
        <v>9</v>
      </c>
      <c r="F3319">
        <v>57.07</v>
      </c>
      <c r="G3319" t="s">
        <v>20</v>
      </c>
      <c r="H3319" t="s">
        <v>12</v>
      </c>
    </row>
    <row r="3320" spans="1:8" x14ac:dyDescent="0.25">
      <c r="A3320" s="1">
        <v>45661.25</v>
      </c>
      <c r="B3320" t="s">
        <v>26</v>
      </c>
      <c r="C3320">
        <v>240.43</v>
      </c>
      <c r="D3320">
        <v>93.58</v>
      </c>
      <c r="E3320" t="s">
        <v>14</v>
      </c>
      <c r="F3320">
        <v>39.4</v>
      </c>
      <c r="G3320" t="s">
        <v>20</v>
      </c>
      <c r="H3320" t="s">
        <v>11</v>
      </c>
    </row>
    <row r="3321" spans="1:8" x14ac:dyDescent="0.25">
      <c r="A3321" s="1">
        <v>45661.291666666664</v>
      </c>
      <c r="B3321" t="s">
        <v>26</v>
      </c>
      <c r="C3321">
        <v>237.87</v>
      </c>
      <c r="D3321">
        <v>78.48</v>
      </c>
      <c r="E3321" t="s">
        <v>9</v>
      </c>
      <c r="F3321">
        <v>62.56</v>
      </c>
      <c r="G3321" t="s">
        <v>20</v>
      </c>
      <c r="H3321" t="s">
        <v>11</v>
      </c>
    </row>
    <row r="3322" spans="1:8" x14ac:dyDescent="0.25">
      <c r="A3322" s="1">
        <v>45661.333333333336</v>
      </c>
      <c r="B3322" t="s">
        <v>26</v>
      </c>
      <c r="C3322">
        <v>475.98</v>
      </c>
      <c r="D3322">
        <v>45.7</v>
      </c>
      <c r="E3322" t="s">
        <v>9</v>
      </c>
      <c r="F3322">
        <v>33.89</v>
      </c>
      <c r="G3322" t="s">
        <v>20</v>
      </c>
      <c r="H3322" t="s">
        <v>13</v>
      </c>
    </row>
    <row r="3323" spans="1:8" x14ac:dyDescent="0.25">
      <c r="A3323" s="1">
        <v>45661.375</v>
      </c>
      <c r="B3323" t="s">
        <v>26</v>
      </c>
      <c r="C3323">
        <v>339.09</v>
      </c>
      <c r="D3323">
        <v>54.64</v>
      </c>
      <c r="E3323" t="s">
        <v>9</v>
      </c>
      <c r="F3323">
        <v>51.57</v>
      </c>
      <c r="G3323" t="s">
        <v>20</v>
      </c>
      <c r="H3323" t="s">
        <v>11</v>
      </c>
    </row>
    <row r="3324" spans="1:8" x14ac:dyDescent="0.25">
      <c r="A3324" s="1">
        <v>45661.416666666664</v>
      </c>
      <c r="B3324" t="s">
        <v>26</v>
      </c>
      <c r="C3324">
        <v>80.34</v>
      </c>
      <c r="D3324">
        <v>51.64</v>
      </c>
      <c r="E3324" t="s">
        <v>9</v>
      </c>
      <c r="F3324">
        <v>66.569999999999993</v>
      </c>
      <c r="G3324" t="s">
        <v>20</v>
      </c>
      <c r="H3324" t="s">
        <v>12</v>
      </c>
    </row>
    <row r="3325" spans="1:8" x14ac:dyDescent="0.25">
      <c r="A3325" s="1">
        <v>45661.458333333336</v>
      </c>
      <c r="B3325" t="s">
        <v>26</v>
      </c>
      <c r="C3325">
        <v>482.58</v>
      </c>
      <c r="D3325">
        <v>40.369999999999997</v>
      </c>
      <c r="E3325" t="s">
        <v>9</v>
      </c>
      <c r="F3325">
        <v>89.01</v>
      </c>
      <c r="G3325" t="s">
        <v>20</v>
      </c>
      <c r="H3325" t="s">
        <v>13</v>
      </c>
    </row>
    <row r="3326" spans="1:8" x14ac:dyDescent="0.25">
      <c r="A3326" s="1">
        <v>45661.5</v>
      </c>
      <c r="B3326" t="s">
        <v>26</v>
      </c>
      <c r="C3326">
        <v>400.36</v>
      </c>
      <c r="D3326">
        <v>40.369999999999997</v>
      </c>
      <c r="E3326" t="s">
        <v>9</v>
      </c>
      <c r="F3326">
        <v>58.5</v>
      </c>
      <c r="G3326" t="s">
        <v>20</v>
      </c>
      <c r="H3326" t="s">
        <v>11</v>
      </c>
    </row>
    <row r="3327" spans="1:8" x14ac:dyDescent="0.25">
      <c r="A3327" s="1">
        <v>45661.541666666664</v>
      </c>
      <c r="B3327" t="s">
        <v>26</v>
      </c>
      <c r="C3327">
        <v>284.83</v>
      </c>
      <c r="D3327">
        <v>24.98</v>
      </c>
      <c r="E3327" t="s">
        <v>9</v>
      </c>
      <c r="F3327">
        <v>42.15</v>
      </c>
      <c r="G3327" t="s">
        <v>20</v>
      </c>
      <c r="H3327" t="s">
        <v>13</v>
      </c>
    </row>
    <row r="3328" spans="1:8" x14ac:dyDescent="0.25">
      <c r="A3328" s="1">
        <v>45661.583333333336</v>
      </c>
      <c r="B3328" t="s">
        <v>26</v>
      </c>
      <c r="C3328">
        <v>450.27</v>
      </c>
      <c r="D3328">
        <v>69.930000000000007</v>
      </c>
      <c r="E3328" t="s">
        <v>9</v>
      </c>
      <c r="F3328">
        <v>38.729999999999997</v>
      </c>
      <c r="G3328" t="s">
        <v>20</v>
      </c>
      <c r="H3328" t="s">
        <v>12</v>
      </c>
    </row>
    <row r="3329" spans="1:8" x14ac:dyDescent="0.25">
      <c r="A3329" s="1">
        <v>45661.625</v>
      </c>
      <c r="B3329" t="s">
        <v>26</v>
      </c>
      <c r="C3329">
        <v>327.33</v>
      </c>
      <c r="D3329">
        <v>84.78</v>
      </c>
      <c r="E3329" t="s">
        <v>9</v>
      </c>
      <c r="F3329">
        <v>60.06</v>
      </c>
      <c r="G3329" t="s">
        <v>20</v>
      </c>
      <c r="H3329" t="s">
        <v>13</v>
      </c>
    </row>
    <row r="3330" spans="1:8" x14ac:dyDescent="0.25">
      <c r="A3330" s="1">
        <v>45661.666666666664</v>
      </c>
      <c r="B3330" t="s">
        <v>26</v>
      </c>
      <c r="C3330">
        <v>440.52</v>
      </c>
      <c r="D3330">
        <v>38.43</v>
      </c>
      <c r="E3330" t="s">
        <v>9</v>
      </c>
      <c r="F3330">
        <v>57.24</v>
      </c>
      <c r="G3330" t="s">
        <v>20</v>
      </c>
      <c r="H3330" t="s">
        <v>13</v>
      </c>
    </row>
    <row r="3331" spans="1:8" x14ac:dyDescent="0.25">
      <c r="A3331" s="1">
        <v>45661.708333333336</v>
      </c>
      <c r="B3331" t="s">
        <v>26</v>
      </c>
      <c r="C3331">
        <v>414.11</v>
      </c>
      <c r="D3331">
        <v>21.18</v>
      </c>
      <c r="E3331" t="s">
        <v>9</v>
      </c>
      <c r="F3331">
        <v>53.19</v>
      </c>
      <c r="G3331" t="s">
        <v>20</v>
      </c>
      <c r="H3331" t="s">
        <v>13</v>
      </c>
    </row>
    <row r="3332" spans="1:8" x14ac:dyDescent="0.25">
      <c r="A3332" s="1">
        <v>45661.75</v>
      </c>
      <c r="B3332" t="s">
        <v>26</v>
      </c>
      <c r="C3332">
        <v>53.58</v>
      </c>
      <c r="D3332">
        <v>88.66</v>
      </c>
      <c r="E3332" t="s">
        <v>14</v>
      </c>
      <c r="F3332">
        <v>33.26</v>
      </c>
      <c r="G3332" t="s">
        <v>20</v>
      </c>
      <c r="H3332" t="s">
        <v>12</v>
      </c>
    </row>
    <row r="3333" spans="1:8" x14ac:dyDescent="0.25">
      <c r="A3333" s="1">
        <v>45661.791666666664</v>
      </c>
      <c r="B3333" t="s">
        <v>26</v>
      </c>
      <c r="C3333">
        <v>221.13</v>
      </c>
      <c r="D3333">
        <v>79.540000000000006</v>
      </c>
      <c r="E3333" t="s">
        <v>9</v>
      </c>
      <c r="F3333">
        <v>65.22</v>
      </c>
      <c r="G3333" t="s">
        <v>20</v>
      </c>
      <c r="H3333" t="s">
        <v>12</v>
      </c>
    </row>
    <row r="3334" spans="1:8" x14ac:dyDescent="0.25">
      <c r="A3334" s="1">
        <v>45661.833333333336</v>
      </c>
      <c r="B3334" t="s">
        <v>26</v>
      </c>
      <c r="C3334">
        <v>265.75</v>
      </c>
      <c r="D3334">
        <v>89.69</v>
      </c>
      <c r="E3334" t="s">
        <v>14</v>
      </c>
      <c r="F3334">
        <v>44.43</v>
      </c>
      <c r="G3334" t="s">
        <v>20</v>
      </c>
      <c r="H3334" t="s">
        <v>13</v>
      </c>
    </row>
    <row r="3335" spans="1:8" x14ac:dyDescent="0.25">
      <c r="A3335" s="1">
        <v>45661.875</v>
      </c>
      <c r="B3335" t="s">
        <v>26</v>
      </c>
      <c r="C3335">
        <v>432.38</v>
      </c>
      <c r="D3335">
        <v>79.790000000000006</v>
      </c>
      <c r="E3335" t="s">
        <v>9</v>
      </c>
      <c r="F3335">
        <v>40.96</v>
      </c>
      <c r="G3335" t="s">
        <v>20</v>
      </c>
      <c r="H3335" t="s">
        <v>12</v>
      </c>
    </row>
    <row r="3336" spans="1:8" x14ac:dyDescent="0.25">
      <c r="A3336" s="1">
        <v>45661.916666666664</v>
      </c>
      <c r="B3336" t="s">
        <v>26</v>
      </c>
      <c r="C3336">
        <v>356.78</v>
      </c>
      <c r="D3336">
        <v>54.95</v>
      </c>
      <c r="E3336" t="s">
        <v>9</v>
      </c>
      <c r="F3336">
        <v>71.650000000000006</v>
      </c>
      <c r="G3336" t="s">
        <v>20</v>
      </c>
      <c r="H3336" t="s">
        <v>11</v>
      </c>
    </row>
    <row r="3337" spans="1:8" x14ac:dyDescent="0.25">
      <c r="A3337" s="1">
        <v>45661.958333333336</v>
      </c>
      <c r="B3337" t="s">
        <v>26</v>
      </c>
      <c r="C3337">
        <v>95.97</v>
      </c>
      <c r="D3337">
        <v>87.08</v>
      </c>
      <c r="E3337" t="s">
        <v>14</v>
      </c>
      <c r="F3337">
        <v>67.81</v>
      </c>
      <c r="G3337" t="s">
        <v>20</v>
      </c>
      <c r="H3337" t="s">
        <v>11</v>
      </c>
    </row>
    <row r="3338" spans="1:8" x14ac:dyDescent="0.25">
      <c r="A3338" s="1">
        <v>45662</v>
      </c>
      <c r="B3338" t="s">
        <v>26</v>
      </c>
      <c r="C3338">
        <v>295.33999999999997</v>
      </c>
      <c r="D3338">
        <v>68.25</v>
      </c>
      <c r="E3338" t="s">
        <v>9</v>
      </c>
      <c r="F3338">
        <v>86.47</v>
      </c>
      <c r="G3338" t="s">
        <v>20</v>
      </c>
      <c r="H3338" t="s">
        <v>11</v>
      </c>
    </row>
    <row r="3339" spans="1:8" x14ac:dyDescent="0.25">
      <c r="A3339" s="1">
        <v>45662.041666666664</v>
      </c>
      <c r="B3339" t="s">
        <v>26</v>
      </c>
      <c r="C3339">
        <v>248.6</v>
      </c>
      <c r="D3339">
        <v>18.91</v>
      </c>
      <c r="E3339" t="s">
        <v>9</v>
      </c>
      <c r="F3339">
        <v>38.32</v>
      </c>
      <c r="G3339" t="s">
        <v>20</v>
      </c>
      <c r="H3339" t="s">
        <v>13</v>
      </c>
    </row>
    <row r="3340" spans="1:8" x14ac:dyDescent="0.25">
      <c r="A3340" s="1">
        <v>45662.083333333336</v>
      </c>
      <c r="B3340" t="s">
        <v>26</v>
      </c>
      <c r="C3340">
        <v>302.54000000000002</v>
      </c>
      <c r="D3340">
        <v>62.28</v>
      </c>
      <c r="E3340" t="s">
        <v>9</v>
      </c>
      <c r="F3340">
        <v>54.6</v>
      </c>
      <c r="G3340" t="s">
        <v>20</v>
      </c>
      <c r="H3340" t="s">
        <v>13</v>
      </c>
    </row>
    <row r="3341" spans="1:8" x14ac:dyDescent="0.25">
      <c r="A3341" s="1">
        <v>45662.125</v>
      </c>
      <c r="B3341" t="s">
        <v>26</v>
      </c>
      <c r="C3341">
        <v>362.78</v>
      </c>
      <c r="D3341">
        <v>78.150000000000006</v>
      </c>
      <c r="E3341" t="s">
        <v>9</v>
      </c>
      <c r="F3341">
        <v>41.41</v>
      </c>
      <c r="G3341" t="s">
        <v>20</v>
      </c>
      <c r="H3341" t="s">
        <v>12</v>
      </c>
    </row>
    <row r="3342" spans="1:8" x14ac:dyDescent="0.25">
      <c r="A3342" s="1">
        <v>45662.166666666664</v>
      </c>
      <c r="B3342" t="s">
        <v>26</v>
      </c>
      <c r="C3342">
        <v>456.79</v>
      </c>
      <c r="D3342">
        <v>85.6</v>
      </c>
      <c r="E3342" t="s">
        <v>14</v>
      </c>
      <c r="F3342">
        <v>60.52</v>
      </c>
      <c r="G3342" t="s">
        <v>20</v>
      </c>
      <c r="H3342" t="s">
        <v>11</v>
      </c>
    </row>
    <row r="3343" spans="1:8" x14ac:dyDescent="0.25">
      <c r="A3343" s="1">
        <v>45662.208333333336</v>
      </c>
      <c r="B3343" t="s">
        <v>26</v>
      </c>
      <c r="C3343">
        <v>227.41</v>
      </c>
      <c r="D3343">
        <v>51.93</v>
      </c>
      <c r="E3343" t="s">
        <v>9</v>
      </c>
      <c r="F3343">
        <v>84.38</v>
      </c>
      <c r="G3343" t="s">
        <v>20</v>
      </c>
      <c r="H3343" t="s">
        <v>11</v>
      </c>
    </row>
    <row r="3344" spans="1:8" x14ac:dyDescent="0.25">
      <c r="A3344" s="1">
        <v>45662.25</v>
      </c>
      <c r="B3344" t="s">
        <v>26</v>
      </c>
      <c r="C3344">
        <v>271.86</v>
      </c>
      <c r="D3344">
        <v>70.209999999999994</v>
      </c>
      <c r="E3344" t="s">
        <v>9</v>
      </c>
      <c r="F3344">
        <v>87.13</v>
      </c>
      <c r="G3344" t="s">
        <v>20</v>
      </c>
      <c r="H3344" t="s">
        <v>12</v>
      </c>
    </row>
    <row r="3345" spans="1:8" x14ac:dyDescent="0.25">
      <c r="A3345" s="1">
        <v>45662.291666666664</v>
      </c>
      <c r="B3345" t="s">
        <v>26</v>
      </c>
      <c r="C3345">
        <v>212.56</v>
      </c>
      <c r="D3345">
        <v>56.01</v>
      </c>
      <c r="E3345" t="s">
        <v>9</v>
      </c>
      <c r="F3345">
        <v>76.75</v>
      </c>
      <c r="G3345" t="s">
        <v>20</v>
      </c>
      <c r="H3345" t="s">
        <v>13</v>
      </c>
    </row>
    <row r="3346" spans="1:8" x14ac:dyDescent="0.25">
      <c r="A3346" s="1">
        <v>45662.333333333336</v>
      </c>
      <c r="B3346" t="s">
        <v>26</v>
      </c>
      <c r="C3346">
        <v>497.07</v>
      </c>
      <c r="D3346">
        <v>50.92</v>
      </c>
      <c r="E3346" t="s">
        <v>9</v>
      </c>
      <c r="F3346">
        <v>72.84</v>
      </c>
      <c r="G3346" t="s">
        <v>20</v>
      </c>
      <c r="H3346" t="s">
        <v>11</v>
      </c>
    </row>
    <row r="3347" spans="1:8" x14ac:dyDescent="0.25">
      <c r="A3347" s="1">
        <v>45662.375</v>
      </c>
      <c r="B3347" t="s">
        <v>26</v>
      </c>
      <c r="C3347">
        <v>81.55</v>
      </c>
      <c r="D3347">
        <v>30.76</v>
      </c>
      <c r="E3347" t="s">
        <v>9</v>
      </c>
      <c r="F3347">
        <v>50.12</v>
      </c>
      <c r="G3347" t="s">
        <v>20</v>
      </c>
      <c r="H3347" t="s">
        <v>11</v>
      </c>
    </row>
    <row r="3348" spans="1:8" x14ac:dyDescent="0.25">
      <c r="A3348" s="1">
        <v>45662.416666666664</v>
      </c>
      <c r="B3348" t="s">
        <v>26</v>
      </c>
      <c r="C3348">
        <v>235.24</v>
      </c>
      <c r="D3348">
        <v>22.73</v>
      </c>
      <c r="E3348" t="s">
        <v>9</v>
      </c>
      <c r="F3348">
        <v>53.6</v>
      </c>
      <c r="G3348" t="s">
        <v>20</v>
      </c>
      <c r="H3348" t="s">
        <v>12</v>
      </c>
    </row>
    <row r="3349" spans="1:8" x14ac:dyDescent="0.25">
      <c r="A3349" s="1">
        <v>45662.458333333336</v>
      </c>
      <c r="B3349" t="s">
        <v>26</v>
      </c>
      <c r="C3349">
        <v>252.8</v>
      </c>
      <c r="D3349">
        <v>15.04</v>
      </c>
      <c r="E3349" t="s">
        <v>9</v>
      </c>
      <c r="F3349">
        <v>76.23</v>
      </c>
      <c r="G3349" t="s">
        <v>20</v>
      </c>
      <c r="H3349" t="s">
        <v>11</v>
      </c>
    </row>
    <row r="3350" spans="1:8" x14ac:dyDescent="0.25">
      <c r="A3350" s="1">
        <v>45662.5</v>
      </c>
      <c r="B3350" t="s">
        <v>26</v>
      </c>
      <c r="C3350">
        <v>119.28</v>
      </c>
      <c r="D3350">
        <v>69.94</v>
      </c>
      <c r="E3350" t="s">
        <v>9</v>
      </c>
      <c r="F3350">
        <v>87.61</v>
      </c>
      <c r="G3350" t="s">
        <v>20</v>
      </c>
      <c r="H3350" t="s">
        <v>11</v>
      </c>
    </row>
    <row r="3351" spans="1:8" x14ac:dyDescent="0.25">
      <c r="A3351" s="1">
        <v>45662.541666666664</v>
      </c>
      <c r="B3351" t="s">
        <v>26</v>
      </c>
      <c r="C3351">
        <v>367.06</v>
      </c>
      <c r="D3351">
        <v>83.62</v>
      </c>
      <c r="E3351" t="s">
        <v>9</v>
      </c>
      <c r="F3351">
        <v>86.56</v>
      </c>
      <c r="G3351" t="s">
        <v>20</v>
      </c>
      <c r="H3351" t="s">
        <v>12</v>
      </c>
    </row>
    <row r="3352" spans="1:8" x14ac:dyDescent="0.25">
      <c r="A3352" s="1">
        <v>45662.583333333336</v>
      </c>
      <c r="B3352" t="s">
        <v>26</v>
      </c>
      <c r="C3352">
        <v>378.28</v>
      </c>
      <c r="D3352">
        <v>62.76</v>
      </c>
      <c r="E3352" t="s">
        <v>9</v>
      </c>
      <c r="F3352">
        <v>69.69</v>
      </c>
      <c r="G3352" t="s">
        <v>20</v>
      </c>
      <c r="H3352" t="s">
        <v>11</v>
      </c>
    </row>
    <row r="3353" spans="1:8" x14ac:dyDescent="0.25">
      <c r="A3353" s="1">
        <v>45662.625</v>
      </c>
      <c r="B3353" t="s">
        <v>26</v>
      </c>
      <c r="C3353">
        <v>413.3</v>
      </c>
      <c r="D3353">
        <v>69.12</v>
      </c>
      <c r="E3353" t="s">
        <v>9</v>
      </c>
      <c r="F3353">
        <v>84.28</v>
      </c>
      <c r="G3353" t="s">
        <v>20</v>
      </c>
      <c r="H3353" t="s">
        <v>11</v>
      </c>
    </row>
    <row r="3354" spans="1:8" x14ac:dyDescent="0.25">
      <c r="A3354" s="1">
        <v>45662.666666666664</v>
      </c>
      <c r="B3354" t="s">
        <v>26</v>
      </c>
      <c r="C3354">
        <v>311.58</v>
      </c>
      <c r="D3354">
        <v>22.82</v>
      </c>
      <c r="E3354" t="s">
        <v>9</v>
      </c>
      <c r="F3354">
        <v>57.55</v>
      </c>
      <c r="G3354" t="s">
        <v>20</v>
      </c>
      <c r="H3354" t="s">
        <v>13</v>
      </c>
    </row>
    <row r="3355" spans="1:8" x14ac:dyDescent="0.25">
      <c r="A3355" s="1">
        <v>45662.708333333336</v>
      </c>
      <c r="B3355" t="s">
        <v>26</v>
      </c>
      <c r="C3355">
        <v>62.48</v>
      </c>
      <c r="D3355">
        <v>18.61</v>
      </c>
      <c r="E3355" t="s">
        <v>9</v>
      </c>
      <c r="F3355">
        <v>34.03</v>
      </c>
      <c r="G3355" t="s">
        <v>20</v>
      </c>
      <c r="H3355" t="s">
        <v>13</v>
      </c>
    </row>
    <row r="3356" spans="1:8" x14ac:dyDescent="0.25">
      <c r="A3356" s="1">
        <v>45662.75</v>
      </c>
      <c r="B3356" t="s">
        <v>26</v>
      </c>
      <c r="C3356">
        <v>306.31</v>
      </c>
      <c r="D3356">
        <v>33.04</v>
      </c>
      <c r="E3356" t="s">
        <v>9</v>
      </c>
      <c r="F3356">
        <v>80.59</v>
      </c>
      <c r="G3356" t="s">
        <v>20</v>
      </c>
      <c r="H3356" t="s">
        <v>11</v>
      </c>
    </row>
    <row r="3357" spans="1:8" x14ac:dyDescent="0.25">
      <c r="A3357" s="1">
        <v>45662.791666666664</v>
      </c>
      <c r="B3357" t="s">
        <v>26</v>
      </c>
      <c r="C3357">
        <v>379.75</v>
      </c>
      <c r="D3357">
        <v>63.82</v>
      </c>
      <c r="E3357" t="s">
        <v>9</v>
      </c>
      <c r="F3357">
        <v>82.07</v>
      </c>
      <c r="G3357" t="s">
        <v>20</v>
      </c>
      <c r="H3357" t="s">
        <v>12</v>
      </c>
    </row>
    <row r="3358" spans="1:8" x14ac:dyDescent="0.25">
      <c r="A3358" s="1">
        <v>45662.833333333336</v>
      </c>
      <c r="B3358" t="s">
        <v>26</v>
      </c>
      <c r="C3358">
        <v>301.55</v>
      </c>
      <c r="D3358">
        <v>43.36</v>
      </c>
      <c r="E3358" t="s">
        <v>9</v>
      </c>
      <c r="F3358">
        <v>68.489999999999995</v>
      </c>
      <c r="G3358" t="s">
        <v>20</v>
      </c>
      <c r="H3358" t="s">
        <v>11</v>
      </c>
    </row>
    <row r="3359" spans="1:8" x14ac:dyDescent="0.25">
      <c r="A3359" s="1">
        <v>45662.875</v>
      </c>
      <c r="B3359" t="s">
        <v>26</v>
      </c>
      <c r="C3359">
        <v>162.80000000000001</v>
      </c>
      <c r="D3359">
        <v>83.52</v>
      </c>
      <c r="E3359" t="s">
        <v>9</v>
      </c>
      <c r="F3359">
        <v>59.86</v>
      </c>
      <c r="G3359" t="s">
        <v>20</v>
      </c>
      <c r="H3359" t="s">
        <v>11</v>
      </c>
    </row>
    <row r="3360" spans="1:8" x14ac:dyDescent="0.25">
      <c r="A3360" s="1">
        <v>45662.916666666664</v>
      </c>
      <c r="B3360" t="s">
        <v>26</v>
      </c>
      <c r="C3360">
        <v>402.1</v>
      </c>
      <c r="D3360">
        <v>71.349999999999994</v>
      </c>
      <c r="E3360" t="s">
        <v>9</v>
      </c>
      <c r="F3360">
        <v>40.96</v>
      </c>
      <c r="G3360" t="s">
        <v>20</v>
      </c>
      <c r="H3360" t="s">
        <v>11</v>
      </c>
    </row>
    <row r="3361" spans="1:8" x14ac:dyDescent="0.25">
      <c r="A3361" s="1">
        <v>45662.958333333336</v>
      </c>
      <c r="B3361" t="s">
        <v>26</v>
      </c>
      <c r="C3361">
        <v>427.28</v>
      </c>
      <c r="D3361">
        <v>76.91</v>
      </c>
      <c r="E3361" t="s">
        <v>9</v>
      </c>
      <c r="F3361">
        <v>49.64</v>
      </c>
      <c r="G3361" t="s">
        <v>20</v>
      </c>
      <c r="H3361" t="s">
        <v>11</v>
      </c>
    </row>
    <row r="3362" spans="1:8" x14ac:dyDescent="0.25">
      <c r="A3362" s="1">
        <v>45663</v>
      </c>
      <c r="B3362" t="s">
        <v>26</v>
      </c>
      <c r="C3362">
        <v>367.65</v>
      </c>
      <c r="D3362">
        <v>25.86</v>
      </c>
      <c r="E3362" t="s">
        <v>9</v>
      </c>
      <c r="F3362">
        <v>77.11</v>
      </c>
      <c r="G3362" t="s">
        <v>20</v>
      </c>
      <c r="H3362" t="s">
        <v>11</v>
      </c>
    </row>
    <row r="3363" spans="1:8" x14ac:dyDescent="0.25">
      <c r="A3363" s="1">
        <v>45663.041666666664</v>
      </c>
      <c r="B3363" t="s">
        <v>26</v>
      </c>
      <c r="C3363">
        <v>226.22</v>
      </c>
      <c r="D3363">
        <v>20.07</v>
      </c>
      <c r="E3363" t="s">
        <v>9</v>
      </c>
      <c r="F3363">
        <v>58.51</v>
      </c>
      <c r="G3363" t="s">
        <v>20</v>
      </c>
      <c r="H3363" t="s">
        <v>12</v>
      </c>
    </row>
    <row r="3364" spans="1:8" x14ac:dyDescent="0.25">
      <c r="A3364" s="1">
        <v>45663.083333333336</v>
      </c>
      <c r="B3364" t="s">
        <v>26</v>
      </c>
      <c r="C3364">
        <v>249.97</v>
      </c>
      <c r="D3364">
        <v>17.670000000000002</v>
      </c>
      <c r="E3364" t="s">
        <v>9</v>
      </c>
      <c r="F3364">
        <v>51.7</v>
      </c>
      <c r="G3364" t="s">
        <v>20</v>
      </c>
      <c r="H3364" t="s">
        <v>11</v>
      </c>
    </row>
    <row r="3365" spans="1:8" x14ac:dyDescent="0.25">
      <c r="A3365" s="1">
        <v>45663.125</v>
      </c>
      <c r="B3365" t="s">
        <v>26</v>
      </c>
      <c r="C3365">
        <v>272.7</v>
      </c>
      <c r="D3365">
        <v>15.46</v>
      </c>
      <c r="E3365" t="s">
        <v>9</v>
      </c>
      <c r="F3365">
        <v>66.510000000000005</v>
      </c>
      <c r="G3365" t="s">
        <v>20</v>
      </c>
      <c r="H3365" t="s">
        <v>11</v>
      </c>
    </row>
    <row r="3366" spans="1:8" x14ac:dyDescent="0.25">
      <c r="A3366" s="1">
        <v>45663.166666666664</v>
      </c>
      <c r="B3366" t="s">
        <v>26</v>
      </c>
      <c r="C3366">
        <v>240.46</v>
      </c>
      <c r="D3366">
        <v>59.68</v>
      </c>
      <c r="E3366" t="s">
        <v>9</v>
      </c>
      <c r="F3366">
        <v>87.04</v>
      </c>
      <c r="G3366" t="s">
        <v>20</v>
      </c>
      <c r="H3366" t="s">
        <v>13</v>
      </c>
    </row>
    <row r="3367" spans="1:8" x14ac:dyDescent="0.25">
      <c r="A3367" s="1">
        <v>45663.208333333336</v>
      </c>
      <c r="B3367" t="s">
        <v>26</v>
      </c>
      <c r="C3367">
        <v>64.81</v>
      </c>
      <c r="D3367">
        <v>63.25</v>
      </c>
      <c r="E3367" t="s">
        <v>9</v>
      </c>
      <c r="F3367">
        <v>86.95</v>
      </c>
      <c r="G3367" t="s">
        <v>20</v>
      </c>
      <c r="H3367" t="s">
        <v>11</v>
      </c>
    </row>
    <row r="3368" spans="1:8" x14ac:dyDescent="0.25">
      <c r="A3368" s="1">
        <v>45663.25</v>
      </c>
      <c r="B3368" t="s">
        <v>26</v>
      </c>
      <c r="C3368">
        <v>140.24</v>
      </c>
      <c r="D3368">
        <v>35.369999999999997</v>
      </c>
      <c r="E3368" t="s">
        <v>9</v>
      </c>
      <c r="F3368">
        <v>72.040000000000006</v>
      </c>
      <c r="G3368" t="s">
        <v>20</v>
      </c>
      <c r="H3368" t="s">
        <v>13</v>
      </c>
    </row>
    <row r="3369" spans="1:8" x14ac:dyDescent="0.25">
      <c r="A3369" s="1">
        <v>45663.291666666664</v>
      </c>
      <c r="B3369" t="s">
        <v>26</v>
      </c>
      <c r="C3369">
        <v>369.45</v>
      </c>
      <c r="D3369">
        <v>50.04</v>
      </c>
      <c r="E3369" t="s">
        <v>9</v>
      </c>
      <c r="F3369">
        <v>40.14</v>
      </c>
      <c r="G3369" t="s">
        <v>20</v>
      </c>
      <c r="H3369" t="s">
        <v>11</v>
      </c>
    </row>
    <row r="3370" spans="1:8" x14ac:dyDescent="0.25">
      <c r="A3370" s="1">
        <v>45663.333333333336</v>
      </c>
      <c r="B3370" t="s">
        <v>26</v>
      </c>
      <c r="C3370">
        <v>273.58999999999997</v>
      </c>
      <c r="D3370">
        <v>51.4</v>
      </c>
      <c r="E3370" t="s">
        <v>9</v>
      </c>
      <c r="F3370">
        <v>68.38</v>
      </c>
      <c r="G3370" t="s">
        <v>20</v>
      </c>
      <c r="H3370" t="s">
        <v>12</v>
      </c>
    </row>
    <row r="3371" spans="1:8" x14ac:dyDescent="0.25">
      <c r="A3371" s="1">
        <v>45663.375</v>
      </c>
      <c r="B3371" t="s">
        <v>26</v>
      </c>
      <c r="C3371">
        <v>108.6</v>
      </c>
      <c r="D3371">
        <v>50.63</v>
      </c>
      <c r="E3371" t="s">
        <v>9</v>
      </c>
      <c r="F3371">
        <v>35.450000000000003</v>
      </c>
      <c r="G3371" t="s">
        <v>20</v>
      </c>
      <c r="H3371" t="s">
        <v>13</v>
      </c>
    </row>
    <row r="3372" spans="1:8" x14ac:dyDescent="0.25">
      <c r="A3372" s="1">
        <v>45663.416666666664</v>
      </c>
      <c r="B3372" t="s">
        <v>26</v>
      </c>
      <c r="C3372">
        <v>269.83</v>
      </c>
      <c r="D3372">
        <v>80.64</v>
      </c>
      <c r="E3372" t="s">
        <v>9</v>
      </c>
      <c r="F3372">
        <v>46.72</v>
      </c>
      <c r="G3372" t="s">
        <v>20</v>
      </c>
      <c r="H3372" t="s">
        <v>12</v>
      </c>
    </row>
    <row r="3373" spans="1:8" x14ac:dyDescent="0.25">
      <c r="A3373" s="1">
        <v>45663.458333333336</v>
      </c>
      <c r="B3373" t="s">
        <v>26</v>
      </c>
      <c r="C3373">
        <v>117.04</v>
      </c>
      <c r="D3373">
        <v>35.26</v>
      </c>
      <c r="E3373" t="s">
        <v>9</v>
      </c>
      <c r="F3373">
        <v>51.68</v>
      </c>
      <c r="G3373" t="s">
        <v>20</v>
      </c>
      <c r="H3373" t="s">
        <v>13</v>
      </c>
    </row>
    <row r="3374" spans="1:8" x14ac:dyDescent="0.25">
      <c r="A3374" s="1">
        <v>45663.5</v>
      </c>
      <c r="B3374" t="s">
        <v>26</v>
      </c>
      <c r="C3374">
        <v>434.6</v>
      </c>
      <c r="D3374">
        <v>20.350000000000001</v>
      </c>
      <c r="E3374" t="s">
        <v>9</v>
      </c>
      <c r="F3374">
        <v>73.19</v>
      </c>
      <c r="G3374" t="s">
        <v>20</v>
      </c>
      <c r="H3374" t="s">
        <v>13</v>
      </c>
    </row>
    <row r="3375" spans="1:8" x14ac:dyDescent="0.25">
      <c r="A3375" s="1">
        <v>45663.541666666664</v>
      </c>
      <c r="B3375" t="s">
        <v>26</v>
      </c>
      <c r="C3375">
        <v>497.68</v>
      </c>
      <c r="D3375">
        <v>38.5</v>
      </c>
      <c r="E3375" t="s">
        <v>9</v>
      </c>
      <c r="F3375">
        <v>44.32</v>
      </c>
      <c r="G3375" t="s">
        <v>20</v>
      </c>
      <c r="H3375" t="s">
        <v>13</v>
      </c>
    </row>
    <row r="3376" spans="1:8" x14ac:dyDescent="0.25">
      <c r="A3376" s="1">
        <v>45663.583333333336</v>
      </c>
      <c r="B3376" t="s">
        <v>26</v>
      </c>
      <c r="C3376">
        <v>425.81</v>
      </c>
      <c r="D3376">
        <v>29.59</v>
      </c>
      <c r="E3376" t="s">
        <v>9</v>
      </c>
      <c r="F3376">
        <v>72.56</v>
      </c>
      <c r="G3376" t="s">
        <v>20</v>
      </c>
      <c r="H3376" t="s">
        <v>13</v>
      </c>
    </row>
    <row r="3377" spans="1:8" x14ac:dyDescent="0.25">
      <c r="A3377" s="1">
        <v>45663.625</v>
      </c>
      <c r="B3377" t="s">
        <v>26</v>
      </c>
      <c r="C3377">
        <v>83.05</v>
      </c>
      <c r="D3377">
        <v>46.44</v>
      </c>
      <c r="E3377" t="s">
        <v>9</v>
      </c>
      <c r="F3377">
        <v>32.58</v>
      </c>
      <c r="G3377" t="s">
        <v>20</v>
      </c>
      <c r="H3377" t="s">
        <v>13</v>
      </c>
    </row>
    <row r="3378" spans="1:8" x14ac:dyDescent="0.25">
      <c r="A3378" s="1">
        <v>45663.666666666664</v>
      </c>
      <c r="B3378" t="s">
        <v>26</v>
      </c>
      <c r="C3378">
        <v>270.86</v>
      </c>
      <c r="D3378">
        <v>50.29</v>
      </c>
      <c r="E3378" t="s">
        <v>9</v>
      </c>
      <c r="F3378">
        <v>88.4</v>
      </c>
      <c r="G3378" t="s">
        <v>20</v>
      </c>
      <c r="H3378" t="s">
        <v>11</v>
      </c>
    </row>
    <row r="3379" spans="1:8" x14ac:dyDescent="0.25">
      <c r="A3379" s="1">
        <v>45663.708333333336</v>
      </c>
      <c r="B3379" t="s">
        <v>26</v>
      </c>
      <c r="C3379">
        <v>130.01</v>
      </c>
      <c r="D3379">
        <v>83.8</v>
      </c>
      <c r="E3379" t="s">
        <v>9</v>
      </c>
      <c r="F3379">
        <v>62.28</v>
      </c>
      <c r="G3379" t="s">
        <v>20</v>
      </c>
      <c r="H3379" t="s">
        <v>11</v>
      </c>
    </row>
    <row r="3380" spans="1:8" x14ac:dyDescent="0.25">
      <c r="A3380" s="1">
        <v>45663.75</v>
      </c>
      <c r="B3380" t="s">
        <v>26</v>
      </c>
      <c r="C3380">
        <v>288.12</v>
      </c>
      <c r="D3380">
        <v>55.67</v>
      </c>
      <c r="E3380" t="s">
        <v>9</v>
      </c>
      <c r="F3380">
        <v>64.17</v>
      </c>
      <c r="G3380" t="s">
        <v>20</v>
      </c>
      <c r="H3380" t="s">
        <v>11</v>
      </c>
    </row>
    <row r="3381" spans="1:8" x14ac:dyDescent="0.25">
      <c r="A3381" s="1">
        <v>45663.791666666664</v>
      </c>
      <c r="B3381" t="s">
        <v>26</v>
      </c>
      <c r="C3381">
        <v>294.32</v>
      </c>
      <c r="D3381">
        <v>79.66</v>
      </c>
      <c r="E3381" t="s">
        <v>9</v>
      </c>
      <c r="F3381">
        <v>68.900000000000006</v>
      </c>
      <c r="G3381" t="s">
        <v>20</v>
      </c>
      <c r="H3381" t="s">
        <v>11</v>
      </c>
    </row>
    <row r="3382" spans="1:8" x14ac:dyDescent="0.25">
      <c r="A3382" s="1">
        <v>45663.833333333336</v>
      </c>
      <c r="B3382" t="s">
        <v>26</v>
      </c>
      <c r="C3382">
        <v>357.1</v>
      </c>
      <c r="D3382">
        <v>20.91</v>
      </c>
      <c r="E3382" t="s">
        <v>9</v>
      </c>
      <c r="F3382">
        <v>67.59</v>
      </c>
      <c r="G3382" t="s">
        <v>20</v>
      </c>
      <c r="H3382" t="s">
        <v>11</v>
      </c>
    </row>
    <row r="3383" spans="1:8" x14ac:dyDescent="0.25">
      <c r="A3383" s="1">
        <v>45663.875</v>
      </c>
      <c r="B3383" t="s">
        <v>26</v>
      </c>
      <c r="C3383">
        <v>482.33</v>
      </c>
      <c r="D3383">
        <v>52.36</v>
      </c>
      <c r="E3383" t="s">
        <v>9</v>
      </c>
      <c r="F3383">
        <v>45.17</v>
      </c>
      <c r="G3383" t="s">
        <v>20</v>
      </c>
      <c r="H3383" t="s">
        <v>13</v>
      </c>
    </row>
    <row r="3384" spans="1:8" x14ac:dyDescent="0.25">
      <c r="A3384" s="1">
        <v>45663.916666666664</v>
      </c>
      <c r="B3384" t="s">
        <v>26</v>
      </c>
      <c r="C3384">
        <v>103.51</v>
      </c>
      <c r="D3384">
        <v>61.88</v>
      </c>
      <c r="E3384" t="s">
        <v>9</v>
      </c>
      <c r="F3384">
        <v>88.15</v>
      </c>
      <c r="G3384" t="s">
        <v>20</v>
      </c>
      <c r="H3384" t="s">
        <v>12</v>
      </c>
    </row>
    <row r="3385" spans="1:8" x14ac:dyDescent="0.25">
      <c r="A3385" s="1">
        <v>45663.958333333336</v>
      </c>
      <c r="B3385" t="s">
        <v>26</v>
      </c>
      <c r="C3385">
        <v>279.32</v>
      </c>
      <c r="D3385">
        <v>28.8</v>
      </c>
      <c r="E3385" t="s">
        <v>9</v>
      </c>
      <c r="F3385">
        <v>37.39</v>
      </c>
      <c r="G3385" t="s">
        <v>20</v>
      </c>
      <c r="H3385" t="s">
        <v>11</v>
      </c>
    </row>
    <row r="3386" spans="1:8" x14ac:dyDescent="0.25">
      <c r="A3386" s="1">
        <v>45664</v>
      </c>
      <c r="B3386" t="s">
        <v>26</v>
      </c>
      <c r="C3386">
        <v>57.97</v>
      </c>
      <c r="D3386">
        <v>85.14</v>
      </c>
      <c r="E3386" t="s">
        <v>14</v>
      </c>
      <c r="F3386">
        <v>78.55</v>
      </c>
      <c r="G3386" t="s">
        <v>20</v>
      </c>
      <c r="H3386" t="s">
        <v>13</v>
      </c>
    </row>
    <row r="3387" spans="1:8" x14ac:dyDescent="0.25">
      <c r="A3387" s="1">
        <v>45664.041666666664</v>
      </c>
      <c r="B3387" t="s">
        <v>26</v>
      </c>
      <c r="C3387">
        <v>320.27</v>
      </c>
      <c r="D3387">
        <v>24.12</v>
      </c>
      <c r="E3387" t="s">
        <v>9</v>
      </c>
      <c r="F3387">
        <v>77.8</v>
      </c>
      <c r="G3387" t="s">
        <v>20</v>
      </c>
      <c r="H3387" t="s">
        <v>11</v>
      </c>
    </row>
    <row r="3388" spans="1:8" x14ac:dyDescent="0.25">
      <c r="A3388" s="1">
        <v>45664.083333333336</v>
      </c>
      <c r="B3388" t="s">
        <v>26</v>
      </c>
      <c r="C3388">
        <v>259.06</v>
      </c>
      <c r="D3388">
        <v>26.33</v>
      </c>
      <c r="E3388" t="s">
        <v>9</v>
      </c>
      <c r="F3388">
        <v>60.94</v>
      </c>
      <c r="G3388" t="s">
        <v>20</v>
      </c>
      <c r="H3388" t="s">
        <v>13</v>
      </c>
    </row>
    <row r="3389" spans="1:8" x14ac:dyDescent="0.25">
      <c r="A3389" s="1">
        <v>45664.125</v>
      </c>
      <c r="B3389" t="s">
        <v>26</v>
      </c>
      <c r="C3389">
        <v>229.3</v>
      </c>
      <c r="D3389">
        <v>90.36</v>
      </c>
      <c r="E3389" t="s">
        <v>14</v>
      </c>
      <c r="F3389">
        <v>50.52</v>
      </c>
      <c r="G3389" t="s">
        <v>20</v>
      </c>
      <c r="H3389" t="s">
        <v>12</v>
      </c>
    </row>
    <row r="3390" spans="1:8" x14ac:dyDescent="0.25">
      <c r="A3390" s="1">
        <v>45664.166666666664</v>
      </c>
      <c r="B3390" t="s">
        <v>26</v>
      </c>
      <c r="C3390">
        <v>381.08</v>
      </c>
      <c r="D3390">
        <v>15.26</v>
      </c>
      <c r="E3390" t="s">
        <v>9</v>
      </c>
      <c r="F3390">
        <v>82.8</v>
      </c>
      <c r="G3390" t="s">
        <v>20</v>
      </c>
      <c r="H3390" t="s">
        <v>13</v>
      </c>
    </row>
    <row r="3391" spans="1:8" x14ac:dyDescent="0.25">
      <c r="A3391" s="1">
        <v>45664.208333333336</v>
      </c>
      <c r="B3391" t="s">
        <v>26</v>
      </c>
      <c r="C3391">
        <v>138.46</v>
      </c>
      <c r="D3391">
        <v>94.15</v>
      </c>
      <c r="E3391" t="s">
        <v>14</v>
      </c>
      <c r="F3391">
        <v>44.6</v>
      </c>
      <c r="G3391" t="s">
        <v>20</v>
      </c>
      <c r="H3391" t="s">
        <v>12</v>
      </c>
    </row>
    <row r="3392" spans="1:8" x14ac:dyDescent="0.25">
      <c r="A3392" s="1">
        <v>45664.25</v>
      </c>
      <c r="B3392" t="s">
        <v>26</v>
      </c>
      <c r="C3392">
        <v>291.36</v>
      </c>
      <c r="D3392">
        <v>37.42</v>
      </c>
      <c r="E3392" t="s">
        <v>9</v>
      </c>
      <c r="F3392">
        <v>51.08</v>
      </c>
      <c r="G3392" t="s">
        <v>20</v>
      </c>
      <c r="H3392" t="s">
        <v>12</v>
      </c>
    </row>
    <row r="3393" spans="1:8" x14ac:dyDescent="0.25">
      <c r="A3393" s="1">
        <v>45664.291666666664</v>
      </c>
      <c r="B3393" t="s">
        <v>26</v>
      </c>
      <c r="C3393">
        <v>398.22</v>
      </c>
      <c r="D3393">
        <v>85.33</v>
      </c>
      <c r="E3393" t="s">
        <v>14</v>
      </c>
      <c r="F3393">
        <v>45.67</v>
      </c>
      <c r="G3393" t="s">
        <v>20</v>
      </c>
      <c r="H3393" t="s">
        <v>13</v>
      </c>
    </row>
    <row r="3394" spans="1:8" x14ac:dyDescent="0.25">
      <c r="A3394" s="1">
        <v>45664.333333333336</v>
      </c>
      <c r="B3394" t="s">
        <v>26</v>
      </c>
      <c r="C3394">
        <v>455.18</v>
      </c>
      <c r="D3394">
        <v>38.880000000000003</v>
      </c>
      <c r="E3394" t="s">
        <v>9</v>
      </c>
      <c r="F3394">
        <v>41.2</v>
      </c>
      <c r="G3394" t="s">
        <v>20</v>
      </c>
      <c r="H3394" t="s">
        <v>12</v>
      </c>
    </row>
    <row r="3395" spans="1:8" x14ac:dyDescent="0.25">
      <c r="A3395" s="1">
        <v>45664.375</v>
      </c>
      <c r="B3395" t="s">
        <v>26</v>
      </c>
      <c r="C3395">
        <v>109.36</v>
      </c>
      <c r="D3395">
        <v>41.56</v>
      </c>
      <c r="E3395" t="s">
        <v>9</v>
      </c>
      <c r="F3395">
        <v>60.85</v>
      </c>
      <c r="G3395" t="s">
        <v>20</v>
      </c>
      <c r="H3395" t="s">
        <v>13</v>
      </c>
    </row>
    <row r="3396" spans="1:8" x14ac:dyDescent="0.25">
      <c r="A3396" s="1">
        <v>45664.416666666664</v>
      </c>
      <c r="B3396" t="s">
        <v>26</v>
      </c>
      <c r="C3396">
        <v>114.91</v>
      </c>
      <c r="D3396">
        <v>57.85</v>
      </c>
      <c r="E3396" t="s">
        <v>9</v>
      </c>
      <c r="F3396">
        <v>66.87</v>
      </c>
      <c r="G3396" t="s">
        <v>20</v>
      </c>
      <c r="H3396" t="s">
        <v>11</v>
      </c>
    </row>
    <row r="3397" spans="1:8" x14ac:dyDescent="0.25">
      <c r="A3397" s="1">
        <v>45664.458333333336</v>
      </c>
      <c r="B3397" t="s">
        <v>26</v>
      </c>
      <c r="C3397">
        <v>235.55</v>
      </c>
      <c r="D3397">
        <v>20.079999999999998</v>
      </c>
      <c r="E3397" t="s">
        <v>9</v>
      </c>
      <c r="F3397">
        <v>75.33</v>
      </c>
      <c r="G3397" t="s">
        <v>20</v>
      </c>
      <c r="H3397" t="s">
        <v>11</v>
      </c>
    </row>
    <row r="3398" spans="1:8" x14ac:dyDescent="0.25">
      <c r="A3398" s="1">
        <v>45664.5</v>
      </c>
      <c r="B3398" t="s">
        <v>26</v>
      </c>
      <c r="C3398">
        <v>346.14</v>
      </c>
      <c r="D3398">
        <v>49.05</v>
      </c>
      <c r="E3398" t="s">
        <v>9</v>
      </c>
      <c r="F3398">
        <v>70.77</v>
      </c>
      <c r="G3398" t="s">
        <v>20</v>
      </c>
      <c r="H3398" t="s">
        <v>13</v>
      </c>
    </row>
    <row r="3399" spans="1:8" x14ac:dyDescent="0.25">
      <c r="A3399" s="1">
        <v>45664.541666666664</v>
      </c>
      <c r="B3399" t="s">
        <v>26</v>
      </c>
      <c r="C3399">
        <v>200.12</v>
      </c>
      <c r="D3399">
        <v>38.590000000000003</v>
      </c>
      <c r="E3399" t="s">
        <v>9</v>
      </c>
      <c r="F3399">
        <v>54.65</v>
      </c>
      <c r="G3399" t="s">
        <v>20</v>
      </c>
      <c r="H3399" t="s">
        <v>13</v>
      </c>
    </row>
    <row r="3400" spans="1:8" x14ac:dyDescent="0.25">
      <c r="A3400" s="1">
        <v>45664.583333333336</v>
      </c>
      <c r="B3400" t="s">
        <v>26</v>
      </c>
      <c r="C3400">
        <v>350.84</v>
      </c>
      <c r="D3400">
        <v>82.45</v>
      </c>
      <c r="E3400" t="s">
        <v>9</v>
      </c>
      <c r="F3400">
        <v>51.28</v>
      </c>
      <c r="G3400" t="s">
        <v>20</v>
      </c>
      <c r="H3400" t="s">
        <v>13</v>
      </c>
    </row>
    <row r="3401" spans="1:8" x14ac:dyDescent="0.25">
      <c r="A3401" s="1">
        <v>45664.625</v>
      </c>
      <c r="B3401" t="s">
        <v>26</v>
      </c>
      <c r="C3401">
        <v>494.05</v>
      </c>
      <c r="D3401">
        <v>35.369999999999997</v>
      </c>
      <c r="E3401" t="s">
        <v>9</v>
      </c>
      <c r="F3401">
        <v>37.6</v>
      </c>
      <c r="G3401" t="s">
        <v>20</v>
      </c>
      <c r="H3401" t="s">
        <v>11</v>
      </c>
    </row>
    <row r="3402" spans="1:8" x14ac:dyDescent="0.25">
      <c r="A3402" s="1">
        <v>45664.666666666664</v>
      </c>
      <c r="B3402" t="s">
        <v>26</v>
      </c>
      <c r="C3402">
        <v>308.62</v>
      </c>
      <c r="D3402">
        <v>47.66</v>
      </c>
      <c r="E3402" t="s">
        <v>9</v>
      </c>
      <c r="F3402">
        <v>37.07</v>
      </c>
      <c r="G3402" t="s">
        <v>20</v>
      </c>
      <c r="H3402" t="s">
        <v>11</v>
      </c>
    </row>
    <row r="3403" spans="1:8" x14ac:dyDescent="0.25">
      <c r="A3403" s="1">
        <v>45664.708333333336</v>
      </c>
      <c r="B3403" t="s">
        <v>26</v>
      </c>
      <c r="C3403">
        <v>232.07</v>
      </c>
      <c r="D3403">
        <v>44.06</v>
      </c>
      <c r="E3403" t="s">
        <v>9</v>
      </c>
      <c r="F3403">
        <v>67.62</v>
      </c>
      <c r="G3403" t="s">
        <v>20</v>
      </c>
      <c r="H3403" t="s">
        <v>12</v>
      </c>
    </row>
    <row r="3404" spans="1:8" x14ac:dyDescent="0.25">
      <c r="A3404" s="1">
        <v>45664.75</v>
      </c>
      <c r="B3404" t="s">
        <v>26</v>
      </c>
      <c r="C3404">
        <v>123.5</v>
      </c>
      <c r="D3404">
        <v>65.89</v>
      </c>
      <c r="E3404" t="s">
        <v>9</v>
      </c>
      <c r="F3404">
        <v>78.8</v>
      </c>
      <c r="G3404" t="s">
        <v>20</v>
      </c>
      <c r="H3404" t="s">
        <v>13</v>
      </c>
    </row>
    <row r="3405" spans="1:8" x14ac:dyDescent="0.25">
      <c r="A3405" s="1">
        <v>45664.791666666664</v>
      </c>
      <c r="B3405" t="s">
        <v>26</v>
      </c>
      <c r="C3405">
        <v>304.88</v>
      </c>
      <c r="D3405">
        <v>77.180000000000007</v>
      </c>
      <c r="E3405" t="s">
        <v>9</v>
      </c>
      <c r="F3405">
        <v>59.54</v>
      </c>
      <c r="G3405" t="s">
        <v>20</v>
      </c>
      <c r="H3405" t="s">
        <v>13</v>
      </c>
    </row>
    <row r="3406" spans="1:8" x14ac:dyDescent="0.25">
      <c r="A3406" s="1">
        <v>45664.833333333336</v>
      </c>
      <c r="B3406" t="s">
        <v>26</v>
      </c>
      <c r="C3406">
        <v>135.81</v>
      </c>
      <c r="D3406">
        <v>88.16</v>
      </c>
      <c r="E3406" t="s">
        <v>14</v>
      </c>
      <c r="F3406">
        <v>45.51</v>
      </c>
      <c r="G3406" t="s">
        <v>20</v>
      </c>
      <c r="H3406" t="s">
        <v>11</v>
      </c>
    </row>
    <row r="3407" spans="1:8" x14ac:dyDescent="0.25">
      <c r="A3407" s="1">
        <v>45664.875</v>
      </c>
      <c r="B3407" t="s">
        <v>26</v>
      </c>
      <c r="C3407">
        <v>422.93</v>
      </c>
      <c r="D3407">
        <v>37.130000000000003</v>
      </c>
      <c r="E3407" t="s">
        <v>9</v>
      </c>
      <c r="F3407">
        <v>41.11</v>
      </c>
      <c r="G3407" t="s">
        <v>20</v>
      </c>
      <c r="H3407" t="s">
        <v>11</v>
      </c>
    </row>
    <row r="3408" spans="1:8" x14ac:dyDescent="0.25">
      <c r="A3408" s="1">
        <v>45664.916666666664</v>
      </c>
      <c r="B3408" t="s">
        <v>26</v>
      </c>
      <c r="C3408">
        <v>300.11</v>
      </c>
      <c r="D3408">
        <v>79.45</v>
      </c>
      <c r="E3408" t="s">
        <v>9</v>
      </c>
      <c r="F3408">
        <v>45.43</v>
      </c>
      <c r="G3408" t="s">
        <v>20</v>
      </c>
      <c r="H3408" t="s">
        <v>12</v>
      </c>
    </row>
    <row r="3409" spans="1:8" x14ac:dyDescent="0.25">
      <c r="A3409" s="1">
        <v>45664.958333333336</v>
      </c>
      <c r="B3409" t="s">
        <v>26</v>
      </c>
      <c r="C3409">
        <v>209.51</v>
      </c>
      <c r="D3409">
        <v>74.17</v>
      </c>
      <c r="E3409" t="s">
        <v>9</v>
      </c>
      <c r="F3409">
        <v>34.68</v>
      </c>
      <c r="G3409" t="s">
        <v>20</v>
      </c>
      <c r="H3409" t="s">
        <v>11</v>
      </c>
    </row>
    <row r="3410" spans="1:8" x14ac:dyDescent="0.25">
      <c r="A3410" s="1">
        <v>45665</v>
      </c>
      <c r="B3410" t="s">
        <v>26</v>
      </c>
      <c r="C3410">
        <v>207.69</v>
      </c>
      <c r="D3410">
        <v>94.55</v>
      </c>
      <c r="E3410" t="s">
        <v>14</v>
      </c>
      <c r="F3410">
        <v>63.83</v>
      </c>
      <c r="G3410" t="s">
        <v>20</v>
      </c>
      <c r="H3410" t="s">
        <v>13</v>
      </c>
    </row>
    <row r="3411" spans="1:8" x14ac:dyDescent="0.25">
      <c r="A3411" s="1">
        <v>45665.041666666664</v>
      </c>
      <c r="B3411" t="s">
        <v>26</v>
      </c>
      <c r="C3411">
        <v>376.31</v>
      </c>
      <c r="D3411">
        <v>83.08</v>
      </c>
      <c r="E3411" t="s">
        <v>9</v>
      </c>
      <c r="F3411">
        <v>40.43</v>
      </c>
      <c r="G3411" t="s">
        <v>20</v>
      </c>
      <c r="H3411" t="s">
        <v>11</v>
      </c>
    </row>
    <row r="3412" spans="1:8" x14ac:dyDescent="0.25">
      <c r="A3412" s="1">
        <v>45665.083333333336</v>
      </c>
      <c r="B3412" t="s">
        <v>26</v>
      </c>
      <c r="C3412">
        <v>174.93</v>
      </c>
      <c r="D3412">
        <v>86.76</v>
      </c>
      <c r="E3412" t="s">
        <v>14</v>
      </c>
      <c r="F3412">
        <v>58.03</v>
      </c>
      <c r="G3412" t="s">
        <v>20</v>
      </c>
      <c r="H3412" t="s">
        <v>11</v>
      </c>
    </row>
    <row r="3413" spans="1:8" x14ac:dyDescent="0.25">
      <c r="A3413" s="1">
        <v>45665.125</v>
      </c>
      <c r="B3413" t="s">
        <v>26</v>
      </c>
      <c r="C3413">
        <v>486.98</v>
      </c>
      <c r="D3413">
        <v>24.33</v>
      </c>
      <c r="E3413" t="s">
        <v>9</v>
      </c>
      <c r="F3413">
        <v>40.5</v>
      </c>
      <c r="G3413" t="s">
        <v>20</v>
      </c>
      <c r="H3413" t="s">
        <v>12</v>
      </c>
    </row>
    <row r="3414" spans="1:8" x14ac:dyDescent="0.25">
      <c r="A3414" s="1">
        <v>45665.166666666664</v>
      </c>
      <c r="B3414" t="s">
        <v>26</v>
      </c>
      <c r="C3414">
        <v>251.71</v>
      </c>
      <c r="D3414">
        <v>63.48</v>
      </c>
      <c r="E3414" t="s">
        <v>9</v>
      </c>
      <c r="F3414">
        <v>49.11</v>
      </c>
      <c r="G3414" t="s">
        <v>20</v>
      </c>
      <c r="H3414" t="s">
        <v>13</v>
      </c>
    </row>
    <row r="3415" spans="1:8" x14ac:dyDescent="0.25">
      <c r="A3415" s="1">
        <v>45665.208333333336</v>
      </c>
      <c r="B3415" t="s">
        <v>26</v>
      </c>
      <c r="C3415">
        <v>487.16</v>
      </c>
      <c r="D3415">
        <v>90.41</v>
      </c>
      <c r="E3415" t="s">
        <v>14</v>
      </c>
      <c r="F3415">
        <v>45.96</v>
      </c>
      <c r="G3415" t="s">
        <v>20</v>
      </c>
      <c r="H3415" t="s">
        <v>13</v>
      </c>
    </row>
    <row r="3416" spans="1:8" x14ac:dyDescent="0.25">
      <c r="A3416" s="1">
        <v>45665.25</v>
      </c>
      <c r="B3416" t="s">
        <v>26</v>
      </c>
      <c r="C3416">
        <v>271.08999999999997</v>
      </c>
      <c r="D3416">
        <v>67.06</v>
      </c>
      <c r="E3416" t="s">
        <v>9</v>
      </c>
      <c r="F3416">
        <v>64.75</v>
      </c>
      <c r="G3416" t="s">
        <v>20</v>
      </c>
      <c r="H3416" t="s">
        <v>13</v>
      </c>
    </row>
    <row r="3417" spans="1:8" x14ac:dyDescent="0.25">
      <c r="A3417" s="1">
        <v>45665.291666666664</v>
      </c>
      <c r="B3417" t="s">
        <v>26</v>
      </c>
      <c r="C3417">
        <v>368.15</v>
      </c>
      <c r="D3417">
        <v>37.04</v>
      </c>
      <c r="E3417" t="s">
        <v>9</v>
      </c>
      <c r="F3417">
        <v>46.03</v>
      </c>
      <c r="G3417" t="s">
        <v>20</v>
      </c>
      <c r="H3417" t="s">
        <v>13</v>
      </c>
    </row>
    <row r="3418" spans="1:8" x14ac:dyDescent="0.25">
      <c r="A3418" s="1">
        <v>45665.333333333336</v>
      </c>
      <c r="B3418" t="s">
        <v>26</v>
      </c>
      <c r="C3418">
        <v>123.12</v>
      </c>
      <c r="D3418">
        <v>19.22</v>
      </c>
      <c r="E3418" t="s">
        <v>9</v>
      </c>
      <c r="F3418">
        <v>46.15</v>
      </c>
      <c r="G3418" t="s">
        <v>20</v>
      </c>
      <c r="H3418" t="s">
        <v>11</v>
      </c>
    </row>
    <row r="3419" spans="1:8" x14ac:dyDescent="0.25">
      <c r="A3419" s="1">
        <v>45665.375</v>
      </c>
      <c r="B3419" t="s">
        <v>26</v>
      </c>
      <c r="C3419">
        <v>199.02</v>
      </c>
      <c r="D3419">
        <v>16.29</v>
      </c>
      <c r="E3419" t="s">
        <v>9</v>
      </c>
      <c r="F3419">
        <v>56.99</v>
      </c>
      <c r="G3419" t="s">
        <v>20</v>
      </c>
      <c r="H3419" t="s">
        <v>13</v>
      </c>
    </row>
    <row r="3420" spans="1:8" x14ac:dyDescent="0.25">
      <c r="A3420" s="1">
        <v>45665.416666666664</v>
      </c>
      <c r="B3420" t="s">
        <v>26</v>
      </c>
      <c r="C3420">
        <v>431.93</v>
      </c>
      <c r="D3420">
        <v>32.61</v>
      </c>
      <c r="E3420" t="s">
        <v>9</v>
      </c>
      <c r="F3420">
        <v>79.040000000000006</v>
      </c>
      <c r="G3420" t="s">
        <v>20</v>
      </c>
      <c r="H3420" t="s">
        <v>11</v>
      </c>
    </row>
    <row r="3421" spans="1:8" x14ac:dyDescent="0.25">
      <c r="A3421" s="1">
        <v>45665.458333333336</v>
      </c>
      <c r="B3421" t="s">
        <v>26</v>
      </c>
      <c r="C3421">
        <v>347.9</v>
      </c>
      <c r="D3421">
        <v>58.68</v>
      </c>
      <c r="E3421" t="s">
        <v>9</v>
      </c>
      <c r="F3421">
        <v>46.44</v>
      </c>
      <c r="G3421" t="s">
        <v>20</v>
      </c>
      <c r="H3421" t="s">
        <v>11</v>
      </c>
    </row>
    <row r="3422" spans="1:8" x14ac:dyDescent="0.25">
      <c r="A3422" s="1">
        <v>45665.5</v>
      </c>
      <c r="B3422" t="s">
        <v>26</v>
      </c>
      <c r="C3422">
        <v>371.42</v>
      </c>
      <c r="D3422">
        <v>31.64</v>
      </c>
      <c r="E3422" t="s">
        <v>9</v>
      </c>
      <c r="F3422">
        <v>40.6</v>
      </c>
      <c r="G3422" t="s">
        <v>20</v>
      </c>
      <c r="H3422" t="s">
        <v>13</v>
      </c>
    </row>
    <row r="3423" spans="1:8" x14ac:dyDescent="0.25">
      <c r="A3423" s="1">
        <v>45665.541666666664</v>
      </c>
      <c r="B3423" t="s">
        <v>26</v>
      </c>
      <c r="C3423">
        <v>214.51</v>
      </c>
      <c r="D3423">
        <v>44.47</v>
      </c>
      <c r="E3423" t="s">
        <v>9</v>
      </c>
      <c r="F3423">
        <v>74.599999999999994</v>
      </c>
      <c r="G3423" t="s">
        <v>20</v>
      </c>
      <c r="H3423" t="s">
        <v>11</v>
      </c>
    </row>
    <row r="3424" spans="1:8" x14ac:dyDescent="0.25">
      <c r="A3424" s="1">
        <v>45665.583333333336</v>
      </c>
      <c r="B3424" t="s">
        <v>26</v>
      </c>
      <c r="C3424">
        <v>262.24</v>
      </c>
      <c r="D3424">
        <v>48.72</v>
      </c>
      <c r="E3424" t="s">
        <v>9</v>
      </c>
      <c r="F3424">
        <v>44.03</v>
      </c>
      <c r="G3424" t="s">
        <v>20</v>
      </c>
      <c r="H3424" t="s">
        <v>12</v>
      </c>
    </row>
    <row r="3425" spans="1:8" x14ac:dyDescent="0.25">
      <c r="A3425" s="1">
        <v>45665.625</v>
      </c>
      <c r="B3425" t="s">
        <v>26</v>
      </c>
      <c r="C3425">
        <v>300.05</v>
      </c>
      <c r="D3425">
        <v>31.73</v>
      </c>
      <c r="E3425" t="s">
        <v>9</v>
      </c>
      <c r="F3425">
        <v>42.36</v>
      </c>
      <c r="G3425" t="s">
        <v>20</v>
      </c>
      <c r="H3425" t="s">
        <v>13</v>
      </c>
    </row>
    <row r="3426" spans="1:8" x14ac:dyDescent="0.25">
      <c r="A3426" s="1">
        <v>45665.666666666664</v>
      </c>
      <c r="B3426" t="s">
        <v>26</v>
      </c>
      <c r="C3426">
        <v>225.97</v>
      </c>
      <c r="D3426">
        <v>60.4</v>
      </c>
      <c r="E3426" t="s">
        <v>9</v>
      </c>
      <c r="F3426">
        <v>89.81</v>
      </c>
      <c r="G3426" t="s">
        <v>20</v>
      </c>
      <c r="H3426" t="s">
        <v>12</v>
      </c>
    </row>
    <row r="3427" spans="1:8" x14ac:dyDescent="0.25">
      <c r="A3427" s="1">
        <v>45665.708333333336</v>
      </c>
      <c r="B3427" t="s">
        <v>26</v>
      </c>
      <c r="C3427">
        <v>495.68</v>
      </c>
      <c r="D3427">
        <v>34.47</v>
      </c>
      <c r="E3427" t="s">
        <v>9</v>
      </c>
      <c r="F3427">
        <v>58.29</v>
      </c>
      <c r="G3427" t="s">
        <v>20</v>
      </c>
      <c r="H3427" t="s">
        <v>11</v>
      </c>
    </row>
    <row r="3428" spans="1:8" x14ac:dyDescent="0.25">
      <c r="A3428" s="1">
        <v>45665.75</v>
      </c>
      <c r="B3428" t="s">
        <v>26</v>
      </c>
      <c r="C3428">
        <v>210.09</v>
      </c>
      <c r="D3428">
        <v>82.22</v>
      </c>
      <c r="E3428" t="s">
        <v>9</v>
      </c>
      <c r="F3428">
        <v>74.790000000000006</v>
      </c>
      <c r="G3428" t="s">
        <v>20</v>
      </c>
      <c r="H3428" t="s">
        <v>13</v>
      </c>
    </row>
    <row r="3429" spans="1:8" x14ac:dyDescent="0.25">
      <c r="A3429" s="1">
        <v>45665.791666666664</v>
      </c>
      <c r="B3429" t="s">
        <v>26</v>
      </c>
      <c r="C3429">
        <v>326.08</v>
      </c>
      <c r="D3429">
        <v>51.53</v>
      </c>
      <c r="E3429" t="s">
        <v>9</v>
      </c>
      <c r="F3429">
        <v>35.4</v>
      </c>
      <c r="G3429" t="s">
        <v>20</v>
      </c>
      <c r="H3429" t="s">
        <v>13</v>
      </c>
    </row>
    <row r="3430" spans="1:8" x14ac:dyDescent="0.25">
      <c r="A3430" s="1">
        <v>45665.833333333336</v>
      </c>
      <c r="B3430" t="s">
        <v>26</v>
      </c>
      <c r="C3430">
        <v>121.52</v>
      </c>
      <c r="D3430">
        <v>54.25</v>
      </c>
      <c r="E3430" t="s">
        <v>9</v>
      </c>
      <c r="F3430">
        <v>35.409999999999997</v>
      </c>
      <c r="G3430" t="s">
        <v>20</v>
      </c>
      <c r="H3430" t="s">
        <v>13</v>
      </c>
    </row>
    <row r="3431" spans="1:8" x14ac:dyDescent="0.25">
      <c r="A3431" s="1">
        <v>45665.875</v>
      </c>
      <c r="B3431" t="s">
        <v>26</v>
      </c>
      <c r="C3431">
        <v>474.16</v>
      </c>
      <c r="D3431">
        <v>27.48</v>
      </c>
      <c r="E3431" t="s">
        <v>9</v>
      </c>
      <c r="F3431">
        <v>47.54</v>
      </c>
      <c r="G3431" t="s">
        <v>20</v>
      </c>
      <c r="H3431" t="s">
        <v>11</v>
      </c>
    </row>
    <row r="3432" spans="1:8" x14ac:dyDescent="0.25">
      <c r="A3432" s="1">
        <v>45665.916666666664</v>
      </c>
      <c r="B3432" t="s">
        <v>26</v>
      </c>
      <c r="C3432">
        <v>132.19999999999999</v>
      </c>
      <c r="D3432">
        <v>70.23</v>
      </c>
      <c r="E3432" t="s">
        <v>9</v>
      </c>
      <c r="F3432">
        <v>83.22</v>
      </c>
      <c r="G3432" t="s">
        <v>20</v>
      </c>
      <c r="H3432" t="s">
        <v>11</v>
      </c>
    </row>
    <row r="3433" spans="1:8" x14ac:dyDescent="0.25">
      <c r="A3433" s="1">
        <v>45665.958333333336</v>
      </c>
      <c r="B3433" t="s">
        <v>26</v>
      </c>
      <c r="C3433">
        <v>184.32</v>
      </c>
      <c r="D3433">
        <v>55.65</v>
      </c>
      <c r="E3433" t="s">
        <v>9</v>
      </c>
      <c r="F3433">
        <v>54.38</v>
      </c>
      <c r="G3433" t="s">
        <v>20</v>
      </c>
      <c r="H3433" t="s">
        <v>11</v>
      </c>
    </row>
    <row r="3434" spans="1:8" x14ac:dyDescent="0.25">
      <c r="A3434" s="1">
        <v>45666</v>
      </c>
      <c r="B3434" t="s">
        <v>26</v>
      </c>
      <c r="C3434">
        <v>228.01</v>
      </c>
      <c r="D3434">
        <v>52.61</v>
      </c>
      <c r="E3434" t="s">
        <v>9</v>
      </c>
      <c r="F3434">
        <v>36.17</v>
      </c>
      <c r="G3434" t="s">
        <v>20</v>
      </c>
      <c r="H3434" t="s">
        <v>13</v>
      </c>
    </row>
    <row r="3435" spans="1:8" x14ac:dyDescent="0.25">
      <c r="A3435" s="1">
        <v>45666.041666666664</v>
      </c>
      <c r="B3435" t="s">
        <v>26</v>
      </c>
      <c r="C3435">
        <v>74.819999999999993</v>
      </c>
      <c r="D3435">
        <v>29.59</v>
      </c>
      <c r="E3435" t="s">
        <v>9</v>
      </c>
      <c r="F3435">
        <v>57.4</v>
      </c>
      <c r="G3435" t="s">
        <v>20</v>
      </c>
      <c r="H3435" t="s">
        <v>11</v>
      </c>
    </row>
    <row r="3436" spans="1:8" x14ac:dyDescent="0.25">
      <c r="A3436" s="1">
        <v>45666.083333333336</v>
      </c>
      <c r="B3436" t="s">
        <v>26</v>
      </c>
      <c r="C3436">
        <v>120.17</v>
      </c>
      <c r="D3436">
        <v>77.31</v>
      </c>
      <c r="E3436" t="s">
        <v>9</v>
      </c>
      <c r="F3436">
        <v>75.73</v>
      </c>
      <c r="G3436" t="s">
        <v>20</v>
      </c>
      <c r="H3436" t="s">
        <v>13</v>
      </c>
    </row>
    <row r="3437" spans="1:8" x14ac:dyDescent="0.25">
      <c r="A3437" s="1">
        <v>45666.125</v>
      </c>
      <c r="B3437" t="s">
        <v>26</v>
      </c>
      <c r="C3437">
        <v>266.66000000000003</v>
      </c>
      <c r="D3437">
        <v>67.05</v>
      </c>
      <c r="E3437" t="s">
        <v>9</v>
      </c>
      <c r="F3437">
        <v>41.36</v>
      </c>
      <c r="G3437" t="s">
        <v>20</v>
      </c>
      <c r="H3437" t="s">
        <v>13</v>
      </c>
    </row>
    <row r="3438" spans="1:8" x14ac:dyDescent="0.25">
      <c r="A3438" s="1">
        <v>45666.166666666664</v>
      </c>
      <c r="B3438" t="s">
        <v>26</v>
      </c>
      <c r="C3438">
        <v>461.81</v>
      </c>
      <c r="D3438">
        <v>76.819999999999993</v>
      </c>
      <c r="E3438" t="s">
        <v>9</v>
      </c>
      <c r="F3438">
        <v>49.45</v>
      </c>
      <c r="G3438" t="s">
        <v>20</v>
      </c>
      <c r="H3438" t="s">
        <v>11</v>
      </c>
    </row>
    <row r="3439" spans="1:8" x14ac:dyDescent="0.25">
      <c r="A3439" s="1">
        <v>45666.208333333336</v>
      </c>
      <c r="B3439" t="s">
        <v>26</v>
      </c>
      <c r="C3439">
        <v>209.4</v>
      </c>
      <c r="D3439">
        <v>70.23</v>
      </c>
      <c r="E3439" t="s">
        <v>9</v>
      </c>
      <c r="F3439">
        <v>86.48</v>
      </c>
      <c r="G3439" t="s">
        <v>20</v>
      </c>
      <c r="H3439" t="s">
        <v>12</v>
      </c>
    </row>
    <row r="3440" spans="1:8" x14ac:dyDescent="0.25">
      <c r="A3440" s="1">
        <v>45666.25</v>
      </c>
      <c r="B3440" t="s">
        <v>26</v>
      </c>
      <c r="C3440">
        <v>473.81</v>
      </c>
      <c r="D3440">
        <v>60.39</v>
      </c>
      <c r="E3440" t="s">
        <v>9</v>
      </c>
      <c r="F3440">
        <v>85.43</v>
      </c>
      <c r="G3440" t="s">
        <v>20</v>
      </c>
      <c r="H3440" t="s">
        <v>11</v>
      </c>
    </row>
    <row r="3441" spans="1:8" x14ac:dyDescent="0.25">
      <c r="A3441" s="1">
        <v>45666.291666666664</v>
      </c>
      <c r="B3441" t="s">
        <v>26</v>
      </c>
      <c r="C3441">
        <v>442.45</v>
      </c>
      <c r="D3441">
        <v>55.85</v>
      </c>
      <c r="E3441" t="s">
        <v>9</v>
      </c>
      <c r="F3441">
        <v>53.11</v>
      </c>
      <c r="G3441" t="s">
        <v>20</v>
      </c>
      <c r="H3441" t="s">
        <v>13</v>
      </c>
    </row>
    <row r="3442" spans="1:8" x14ac:dyDescent="0.25">
      <c r="A3442" s="1">
        <v>45666.333333333336</v>
      </c>
      <c r="B3442" t="s">
        <v>26</v>
      </c>
      <c r="C3442">
        <v>326.7</v>
      </c>
      <c r="D3442">
        <v>72.010000000000005</v>
      </c>
      <c r="E3442" t="s">
        <v>9</v>
      </c>
      <c r="F3442">
        <v>82.93</v>
      </c>
      <c r="G3442" t="s">
        <v>20</v>
      </c>
      <c r="H3442" t="s">
        <v>13</v>
      </c>
    </row>
    <row r="3443" spans="1:8" x14ac:dyDescent="0.25">
      <c r="A3443" s="1">
        <v>45666.375</v>
      </c>
      <c r="B3443" t="s">
        <v>26</v>
      </c>
      <c r="C3443">
        <v>263.58999999999997</v>
      </c>
      <c r="D3443">
        <v>89.42</v>
      </c>
      <c r="E3443" t="s">
        <v>14</v>
      </c>
      <c r="F3443">
        <v>53.69</v>
      </c>
      <c r="G3443" t="s">
        <v>20</v>
      </c>
      <c r="H3443" t="s">
        <v>13</v>
      </c>
    </row>
    <row r="3444" spans="1:8" x14ac:dyDescent="0.25">
      <c r="A3444" s="1">
        <v>45666.416666666664</v>
      </c>
      <c r="B3444" t="s">
        <v>26</v>
      </c>
      <c r="C3444">
        <v>480.2</v>
      </c>
      <c r="D3444">
        <v>23.76</v>
      </c>
      <c r="E3444" t="s">
        <v>9</v>
      </c>
      <c r="F3444">
        <v>37.15</v>
      </c>
      <c r="G3444" t="s">
        <v>20</v>
      </c>
      <c r="H3444" t="s">
        <v>13</v>
      </c>
    </row>
    <row r="3445" spans="1:8" x14ac:dyDescent="0.25">
      <c r="A3445" s="1">
        <v>45666.458333333336</v>
      </c>
      <c r="B3445" t="s">
        <v>26</v>
      </c>
      <c r="C3445">
        <v>58.35</v>
      </c>
      <c r="D3445">
        <v>63.39</v>
      </c>
      <c r="E3445" t="s">
        <v>9</v>
      </c>
      <c r="F3445">
        <v>85.25</v>
      </c>
      <c r="G3445" t="s">
        <v>20</v>
      </c>
      <c r="H3445" t="s">
        <v>13</v>
      </c>
    </row>
    <row r="3446" spans="1:8" x14ac:dyDescent="0.25">
      <c r="A3446" s="1">
        <v>45666.5</v>
      </c>
      <c r="B3446" t="s">
        <v>26</v>
      </c>
      <c r="C3446">
        <v>174.02</v>
      </c>
      <c r="D3446">
        <v>70.180000000000007</v>
      </c>
      <c r="E3446" t="s">
        <v>9</v>
      </c>
      <c r="F3446">
        <v>55.56</v>
      </c>
      <c r="G3446" t="s">
        <v>20</v>
      </c>
      <c r="H3446" t="s">
        <v>12</v>
      </c>
    </row>
    <row r="3447" spans="1:8" x14ac:dyDescent="0.25">
      <c r="A3447" s="1">
        <v>45666.541666666664</v>
      </c>
      <c r="B3447" t="s">
        <v>26</v>
      </c>
      <c r="C3447">
        <v>171.17</v>
      </c>
      <c r="D3447">
        <v>85.44</v>
      </c>
      <c r="E3447" t="s">
        <v>14</v>
      </c>
      <c r="F3447">
        <v>33.299999999999997</v>
      </c>
      <c r="G3447" t="s">
        <v>20</v>
      </c>
      <c r="H3447" t="s">
        <v>11</v>
      </c>
    </row>
    <row r="3448" spans="1:8" x14ac:dyDescent="0.25">
      <c r="A3448" s="1">
        <v>45666.583333333336</v>
      </c>
      <c r="B3448" t="s">
        <v>26</v>
      </c>
      <c r="C3448">
        <v>433.37</v>
      </c>
      <c r="D3448">
        <v>76.77</v>
      </c>
      <c r="E3448" t="s">
        <v>9</v>
      </c>
      <c r="F3448">
        <v>45.82</v>
      </c>
      <c r="G3448" t="s">
        <v>20</v>
      </c>
      <c r="H3448" t="s">
        <v>11</v>
      </c>
    </row>
    <row r="3449" spans="1:8" x14ac:dyDescent="0.25">
      <c r="A3449" s="1">
        <v>45666.625</v>
      </c>
      <c r="B3449" t="s">
        <v>26</v>
      </c>
      <c r="C3449">
        <v>401.9</v>
      </c>
      <c r="D3449">
        <v>27.5</v>
      </c>
      <c r="E3449" t="s">
        <v>9</v>
      </c>
      <c r="F3449">
        <v>32.93</v>
      </c>
      <c r="G3449" t="s">
        <v>20</v>
      </c>
      <c r="H3449" t="s">
        <v>12</v>
      </c>
    </row>
    <row r="3450" spans="1:8" x14ac:dyDescent="0.25">
      <c r="A3450" s="1">
        <v>45666.666666666664</v>
      </c>
      <c r="B3450" t="s">
        <v>26</v>
      </c>
      <c r="C3450">
        <v>270.23</v>
      </c>
      <c r="D3450">
        <v>24.84</v>
      </c>
      <c r="E3450" t="s">
        <v>9</v>
      </c>
      <c r="F3450">
        <v>79.180000000000007</v>
      </c>
      <c r="G3450" t="s">
        <v>20</v>
      </c>
      <c r="H3450" t="s">
        <v>11</v>
      </c>
    </row>
    <row r="3451" spans="1:8" x14ac:dyDescent="0.25">
      <c r="A3451" s="1">
        <v>45666.708333333336</v>
      </c>
      <c r="B3451" t="s">
        <v>26</v>
      </c>
      <c r="C3451">
        <v>307.45999999999998</v>
      </c>
      <c r="D3451">
        <v>24.53</v>
      </c>
      <c r="E3451" t="s">
        <v>9</v>
      </c>
      <c r="F3451">
        <v>80.44</v>
      </c>
      <c r="G3451" t="s">
        <v>20</v>
      </c>
      <c r="H3451" t="s">
        <v>11</v>
      </c>
    </row>
    <row r="3452" spans="1:8" x14ac:dyDescent="0.25">
      <c r="A3452" s="1">
        <v>45666.75</v>
      </c>
      <c r="B3452" t="s">
        <v>26</v>
      </c>
      <c r="C3452">
        <v>353.77</v>
      </c>
      <c r="D3452">
        <v>76.099999999999994</v>
      </c>
      <c r="E3452" t="s">
        <v>9</v>
      </c>
      <c r="F3452">
        <v>72.599999999999994</v>
      </c>
      <c r="G3452" t="s">
        <v>20</v>
      </c>
      <c r="H3452" t="s">
        <v>13</v>
      </c>
    </row>
    <row r="3453" spans="1:8" x14ac:dyDescent="0.25">
      <c r="A3453" s="1">
        <v>45666.791666666664</v>
      </c>
      <c r="B3453" t="s">
        <v>26</v>
      </c>
      <c r="C3453">
        <v>445.56</v>
      </c>
      <c r="D3453">
        <v>66.2</v>
      </c>
      <c r="E3453" t="s">
        <v>9</v>
      </c>
      <c r="F3453">
        <v>52.31</v>
      </c>
      <c r="G3453" t="s">
        <v>20</v>
      </c>
      <c r="H3453" t="s">
        <v>11</v>
      </c>
    </row>
    <row r="3454" spans="1:8" x14ac:dyDescent="0.25">
      <c r="A3454" s="1">
        <v>45666.833333333336</v>
      </c>
      <c r="B3454" t="s">
        <v>26</v>
      </c>
      <c r="C3454">
        <v>94.11</v>
      </c>
      <c r="D3454">
        <v>75.33</v>
      </c>
      <c r="E3454" t="s">
        <v>9</v>
      </c>
      <c r="F3454">
        <v>83.36</v>
      </c>
      <c r="G3454" t="s">
        <v>20</v>
      </c>
      <c r="H3454" t="s">
        <v>13</v>
      </c>
    </row>
    <row r="3455" spans="1:8" x14ac:dyDescent="0.25">
      <c r="A3455" s="1">
        <v>45666.875</v>
      </c>
      <c r="B3455" t="s">
        <v>26</v>
      </c>
      <c r="C3455">
        <v>233.15</v>
      </c>
      <c r="D3455">
        <v>60.49</v>
      </c>
      <c r="E3455" t="s">
        <v>9</v>
      </c>
      <c r="F3455">
        <v>55.69</v>
      </c>
      <c r="G3455" t="s">
        <v>20</v>
      </c>
      <c r="H3455" t="s">
        <v>13</v>
      </c>
    </row>
    <row r="3456" spans="1:8" x14ac:dyDescent="0.25">
      <c r="A3456" s="1">
        <v>45666.916666666664</v>
      </c>
      <c r="B3456" t="s">
        <v>26</v>
      </c>
      <c r="C3456">
        <v>484.32</v>
      </c>
      <c r="D3456">
        <v>62.69</v>
      </c>
      <c r="E3456" t="s">
        <v>9</v>
      </c>
      <c r="F3456">
        <v>78.8</v>
      </c>
      <c r="G3456" t="s">
        <v>20</v>
      </c>
      <c r="H3456" t="s">
        <v>11</v>
      </c>
    </row>
    <row r="3457" spans="1:8" x14ac:dyDescent="0.25">
      <c r="A3457" s="1">
        <v>45666.958333333336</v>
      </c>
      <c r="B3457" t="s">
        <v>26</v>
      </c>
      <c r="C3457">
        <v>366.63</v>
      </c>
      <c r="D3457">
        <v>39.94</v>
      </c>
      <c r="E3457" t="s">
        <v>9</v>
      </c>
      <c r="F3457">
        <v>85.46</v>
      </c>
      <c r="G3457" t="s">
        <v>20</v>
      </c>
      <c r="H3457" t="s">
        <v>11</v>
      </c>
    </row>
    <row r="3458" spans="1:8" x14ac:dyDescent="0.25">
      <c r="A3458" s="1">
        <v>45667</v>
      </c>
      <c r="B3458" t="s">
        <v>26</v>
      </c>
      <c r="C3458">
        <v>84.47</v>
      </c>
      <c r="D3458">
        <v>91.87</v>
      </c>
      <c r="E3458" t="s">
        <v>14</v>
      </c>
      <c r="F3458">
        <v>44.74</v>
      </c>
      <c r="G3458" t="s">
        <v>20</v>
      </c>
      <c r="H3458" t="s">
        <v>12</v>
      </c>
    </row>
    <row r="3459" spans="1:8" x14ac:dyDescent="0.25">
      <c r="A3459" s="1">
        <v>45667.041666666664</v>
      </c>
      <c r="B3459" t="s">
        <v>26</v>
      </c>
      <c r="C3459">
        <v>148.19999999999999</v>
      </c>
      <c r="D3459">
        <v>18.010000000000002</v>
      </c>
      <c r="E3459" t="s">
        <v>9</v>
      </c>
      <c r="F3459">
        <v>59.51</v>
      </c>
      <c r="G3459" t="s">
        <v>20</v>
      </c>
      <c r="H3459" t="s">
        <v>13</v>
      </c>
    </row>
    <row r="3460" spans="1:8" x14ac:dyDescent="0.25">
      <c r="A3460" s="1">
        <v>45667.083333333336</v>
      </c>
      <c r="B3460" t="s">
        <v>26</v>
      </c>
      <c r="C3460">
        <v>84.99</v>
      </c>
      <c r="D3460">
        <v>35.200000000000003</v>
      </c>
      <c r="E3460" t="s">
        <v>9</v>
      </c>
      <c r="F3460">
        <v>87.2</v>
      </c>
      <c r="G3460" t="s">
        <v>20</v>
      </c>
      <c r="H3460" t="s">
        <v>11</v>
      </c>
    </row>
    <row r="3461" spans="1:8" x14ac:dyDescent="0.25">
      <c r="A3461" s="1">
        <v>45667.125</v>
      </c>
      <c r="B3461" t="s">
        <v>26</v>
      </c>
      <c r="C3461">
        <v>187.26</v>
      </c>
      <c r="D3461">
        <v>16.899999999999999</v>
      </c>
      <c r="E3461" t="s">
        <v>9</v>
      </c>
      <c r="F3461">
        <v>38.93</v>
      </c>
      <c r="G3461" t="s">
        <v>20</v>
      </c>
      <c r="H3461" t="s">
        <v>11</v>
      </c>
    </row>
    <row r="3462" spans="1:8" x14ac:dyDescent="0.25">
      <c r="A3462" s="1">
        <v>45667.166666666664</v>
      </c>
      <c r="B3462" t="s">
        <v>26</v>
      </c>
      <c r="C3462">
        <v>380.22</v>
      </c>
      <c r="D3462">
        <v>57.67</v>
      </c>
      <c r="E3462" t="s">
        <v>9</v>
      </c>
      <c r="F3462">
        <v>41.91</v>
      </c>
      <c r="G3462" t="s">
        <v>20</v>
      </c>
      <c r="H3462" t="s">
        <v>11</v>
      </c>
    </row>
    <row r="3463" spans="1:8" x14ac:dyDescent="0.25">
      <c r="A3463" s="1">
        <v>45667.208333333336</v>
      </c>
      <c r="B3463" t="s">
        <v>26</v>
      </c>
      <c r="C3463">
        <v>132.35</v>
      </c>
      <c r="D3463">
        <v>49.53</v>
      </c>
      <c r="E3463" t="s">
        <v>9</v>
      </c>
      <c r="F3463">
        <v>77.97</v>
      </c>
      <c r="G3463" t="s">
        <v>20</v>
      </c>
      <c r="H3463" t="s">
        <v>13</v>
      </c>
    </row>
    <row r="3464" spans="1:8" x14ac:dyDescent="0.25">
      <c r="A3464" s="1">
        <v>45667.25</v>
      </c>
      <c r="B3464" t="s">
        <v>26</v>
      </c>
      <c r="C3464">
        <v>116.91</v>
      </c>
      <c r="D3464">
        <v>72.63</v>
      </c>
      <c r="E3464" t="s">
        <v>9</v>
      </c>
      <c r="F3464">
        <v>41.21</v>
      </c>
      <c r="G3464" t="s">
        <v>20</v>
      </c>
      <c r="H3464" t="s">
        <v>12</v>
      </c>
    </row>
    <row r="3465" spans="1:8" x14ac:dyDescent="0.25">
      <c r="A3465" s="1">
        <v>45667.291666666664</v>
      </c>
      <c r="B3465" t="s">
        <v>26</v>
      </c>
      <c r="C3465">
        <v>118.69</v>
      </c>
      <c r="D3465">
        <v>27.79</v>
      </c>
      <c r="E3465" t="s">
        <v>9</v>
      </c>
      <c r="F3465">
        <v>30.26</v>
      </c>
      <c r="G3465" t="s">
        <v>20</v>
      </c>
      <c r="H3465" t="s">
        <v>11</v>
      </c>
    </row>
    <row r="3466" spans="1:8" x14ac:dyDescent="0.25">
      <c r="A3466" s="1">
        <v>45667.333333333336</v>
      </c>
      <c r="B3466" t="s">
        <v>26</v>
      </c>
      <c r="C3466">
        <v>368.87</v>
      </c>
      <c r="D3466">
        <v>16.66</v>
      </c>
      <c r="E3466" t="s">
        <v>9</v>
      </c>
      <c r="F3466">
        <v>47.77</v>
      </c>
      <c r="G3466" t="s">
        <v>20</v>
      </c>
      <c r="H3466" t="s">
        <v>12</v>
      </c>
    </row>
    <row r="3467" spans="1:8" x14ac:dyDescent="0.25">
      <c r="A3467" s="1">
        <v>45667.375</v>
      </c>
      <c r="B3467" t="s">
        <v>26</v>
      </c>
      <c r="C3467">
        <v>58.25</v>
      </c>
      <c r="D3467">
        <v>58.17</v>
      </c>
      <c r="E3467" t="s">
        <v>9</v>
      </c>
      <c r="F3467">
        <v>73.67</v>
      </c>
      <c r="G3467" t="s">
        <v>20</v>
      </c>
      <c r="H3467" t="s">
        <v>12</v>
      </c>
    </row>
    <row r="3468" spans="1:8" x14ac:dyDescent="0.25">
      <c r="A3468" s="1">
        <v>45667.416666666664</v>
      </c>
      <c r="B3468" t="s">
        <v>26</v>
      </c>
      <c r="C3468">
        <v>471.52</v>
      </c>
      <c r="D3468">
        <v>33.22</v>
      </c>
      <c r="E3468" t="s">
        <v>9</v>
      </c>
      <c r="F3468">
        <v>41.37</v>
      </c>
      <c r="G3468" t="s">
        <v>20</v>
      </c>
      <c r="H3468" t="s">
        <v>13</v>
      </c>
    </row>
    <row r="3469" spans="1:8" x14ac:dyDescent="0.25">
      <c r="A3469" s="1">
        <v>45667.458333333336</v>
      </c>
      <c r="B3469" t="s">
        <v>26</v>
      </c>
      <c r="C3469">
        <v>317.69</v>
      </c>
      <c r="D3469">
        <v>55.31</v>
      </c>
      <c r="E3469" t="s">
        <v>9</v>
      </c>
      <c r="F3469">
        <v>30.26</v>
      </c>
      <c r="G3469" t="s">
        <v>20</v>
      </c>
      <c r="H3469" t="s">
        <v>12</v>
      </c>
    </row>
    <row r="3470" spans="1:8" x14ac:dyDescent="0.25">
      <c r="A3470" s="1">
        <v>45667.5</v>
      </c>
      <c r="B3470" t="s">
        <v>26</v>
      </c>
      <c r="C3470">
        <v>372.53</v>
      </c>
      <c r="D3470">
        <v>84.97</v>
      </c>
      <c r="E3470" t="s">
        <v>9</v>
      </c>
      <c r="F3470">
        <v>46.33</v>
      </c>
      <c r="G3470" t="s">
        <v>20</v>
      </c>
      <c r="H3470" t="s">
        <v>11</v>
      </c>
    </row>
    <row r="3471" spans="1:8" x14ac:dyDescent="0.25">
      <c r="A3471" s="1">
        <v>45667.541666666664</v>
      </c>
      <c r="B3471" t="s">
        <v>26</v>
      </c>
      <c r="C3471">
        <v>210.54</v>
      </c>
      <c r="D3471">
        <v>25.32</v>
      </c>
      <c r="E3471" t="s">
        <v>9</v>
      </c>
      <c r="F3471">
        <v>53.9</v>
      </c>
      <c r="G3471" t="s">
        <v>20</v>
      </c>
      <c r="H3471" t="s">
        <v>13</v>
      </c>
    </row>
    <row r="3472" spans="1:8" x14ac:dyDescent="0.25">
      <c r="A3472" s="1">
        <v>45667.583333333336</v>
      </c>
      <c r="B3472" t="s">
        <v>26</v>
      </c>
      <c r="C3472">
        <v>333.26</v>
      </c>
      <c r="D3472">
        <v>54.9</v>
      </c>
      <c r="E3472" t="s">
        <v>9</v>
      </c>
      <c r="F3472">
        <v>62.2</v>
      </c>
      <c r="G3472" t="s">
        <v>20</v>
      </c>
      <c r="H3472" t="s">
        <v>13</v>
      </c>
    </row>
    <row r="3473" spans="1:8" x14ac:dyDescent="0.25">
      <c r="A3473" s="1">
        <v>45667.625</v>
      </c>
      <c r="B3473" t="s">
        <v>26</v>
      </c>
      <c r="C3473">
        <v>444.26</v>
      </c>
      <c r="D3473">
        <v>56.59</v>
      </c>
      <c r="E3473" t="s">
        <v>9</v>
      </c>
      <c r="F3473">
        <v>83.36</v>
      </c>
      <c r="G3473" t="s">
        <v>20</v>
      </c>
      <c r="H3473" t="s">
        <v>13</v>
      </c>
    </row>
    <row r="3474" spans="1:8" x14ac:dyDescent="0.25">
      <c r="A3474" s="1">
        <v>45667.666666666664</v>
      </c>
      <c r="B3474" t="s">
        <v>26</v>
      </c>
      <c r="C3474">
        <v>453.46</v>
      </c>
      <c r="D3474">
        <v>38.68</v>
      </c>
      <c r="E3474" t="s">
        <v>9</v>
      </c>
      <c r="F3474">
        <v>35.770000000000003</v>
      </c>
      <c r="G3474" t="s">
        <v>20</v>
      </c>
      <c r="H3474" t="s">
        <v>12</v>
      </c>
    </row>
    <row r="3475" spans="1:8" x14ac:dyDescent="0.25">
      <c r="A3475" s="1">
        <v>45667.708333333336</v>
      </c>
      <c r="B3475" t="s">
        <v>26</v>
      </c>
      <c r="C3475">
        <v>371.85</v>
      </c>
      <c r="D3475">
        <v>91.53</v>
      </c>
      <c r="E3475" t="s">
        <v>14</v>
      </c>
      <c r="F3475">
        <v>71.459999999999994</v>
      </c>
      <c r="G3475" t="s">
        <v>20</v>
      </c>
      <c r="H3475" t="s">
        <v>12</v>
      </c>
    </row>
    <row r="3476" spans="1:8" x14ac:dyDescent="0.25">
      <c r="A3476" s="1">
        <v>45667.75</v>
      </c>
      <c r="B3476" t="s">
        <v>26</v>
      </c>
      <c r="C3476">
        <v>469.26</v>
      </c>
      <c r="D3476">
        <v>81.63</v>
      </c>
      <c r="E3476" t="s">
        <v>9</v>
      </c>
      <c r="F3476">
        <v>64.72</v>
      </c>
      <c r="G3476" t="s">
        <v>20</v>
      </c>
      <c r="H3476" t="s">
        <v>12</v>
      </c>
    </row>
    <row r="3477" spans="1:8" x14ac:dyDescent="0.25">
      <c r="A3477" s="1">
        <v>45667.791666666664</v>
      </c>
      <c r="B3477" t="s">
        <v>26</v>
      </c>
      <c r="C3477">
        <v>369.89</v>
      </c>
      <c r="D3477">
        <v>55.13</v>
      </c>
      <c r="E3477" t="s">
        <v>9</v>
      </c>
      <c r="F3477">
        <v>67.55</v>
      </c>
      <c r="G3477" t="s">
        <v>20</v>
      </c>
      <c r="H3477" t="s">
        <v>11</v>
      </c>
    </row>
    <row r="3478" spans="1:8" x14ac:dyDescent="0.25">
      <c r="A3478" s="1">
        <v>45667.833333333336</v>
      </c>
      <c r="B3478" t="s">
        <v>26</v>
      </c>
      <c r="C3478">
        <v>233.66</v>
      </c>
      <c r="D3478">
        <v>62.01</v>
      </c>
      <c r="E3478" t="s">
        <v>9</v>
      </c>
      <c r="F3478">
        <v>32.159999999999997</v>
      </c>
      <c r="G3478" t="s">
        <v>20</v>
      </c>
      <c r="H3478" t="s">
        <v>13</v>
      </c>
    </row>
    <row r="3479" spans="1:8" x14ac:dyDescent="0.25">
      <c r="A3479" s="1">
        <v>45667.875</v>
      </c>
      <c r="B3479" t="s">
        <v>26</v>
      </c>
      <c r="C3479">
        <v>436.88</v>
      </c>
      <c r="D3479">
        <v>53.89</v>
      </c>
      <c r="E3479" t="s">
        <v>9</v>
      </c>
      <c r="F3479">
        <v>63.14</v>
      </c>
      <c r="G3479" t="s">
        <v>20</v>
      </c>
      <c r="H3479" t="s">
        <v>11</v>
      </c>
    </row>
    <row r="3480" spans="1:8" x14ac:dyDescent="0.25">
      <c r="A3480" s="1">
        <v>45667.916666666664</v>
      </c>
      <c r="B3480" t="s">
        <v>26</v>
      </c>
      <c r="C3480">
        <v>407.45</v>
      </c>
      <c r="D3480">
        <v>43.07</v>
      </c>
      <c r="E3480" t="s">
        <v>9</v>
      </c>
      <c r="F3480">
        <v>87.4</v>
      </c>
      <c r="G3480" t="s">
        <v>20</v>
      </c>
      <c r="H3480" t="s">
        <v>11</v>
      </c>
    </row>
    <row r="3481" spans="1:8" x14ac:dyDescent="0.25">
      <c r="A3481" s="1">
        <v>45667.958333333336</v>
      </c>
      <c r="B3481" t="s">
        <v>26</v>
      </c>
      <c r="C3481">
        <v>430.05</v>
      </c>
      <c r="D3481">
        <v>68.59</v>
      </c>
      <c r="E3481" t="s">
        <v>9</v>
      </c>
      <c r="F3481">
        <v>80.959999999999994</v>
      </c>
      <c r="G3481" t="s">
        <v>20</v>
      </c>
      <c r="H3481" t="s">
        <v>12</v>
      </c>
    </row>
    <row r="3482" spans="1:8" x14ac:dyDescent="0.25">
      <c r="A3482" s="1">
        <v>45668</v>
      </c>
      <c r="B3482" t="s">
        <v>26</v>
      </c>
      <c r="C3482">
        <v>475.31</v>
      </c>
      <c r="D3482">
        <v>79.16</v>
      </c>
      <c r="E3482" t="s">
        <v>9</v>
      </c>
      <c r="F3482">
        <v>84.67</v>
      </c>
      <c r="G3482" t="s">
        <v>20</v>
      </c>
      <c r="H3482" t="s">
        <v>11</v>
      </c>
    </row>
    <row r="3483" spans="1:8" x14ac:dyDescent="0.25">
      <c r="A3483" s="1">
        <v>45668.041666666664</v>
      </c>
      <c r="B3483" t="s">
        <v>26</v>
      </c>
      <c r="C3483">
        <v>414.34</v>
      </c>
      <c r="D3483">
        <v>80.67</v>
      </c>
      <c r="E3483" t="s">
        <v>9</v>
      </c>
      <c r="F3483">
        <v>72.52</v>
      </c>
      <c r="G3483" t="s">
        <v>20</v>
      </c>
      <c r="H3483" t="s">
        <v>12</v>
      </c>
    </row>
    <row r="3484" spans="1:8" x14ac:dyDescent="0.25">
      <c r="A3484" s="1">
        <v>45668.083333333336</v>
      </c>
      <c r="B3484" t="s">
        <v>26</v>
      </c>
      <c r="C3484">
        <v>385.31</v>
      </c>
      <c r="D3484">
        <v>18.77</v>
      </c>
      <c r="E3484" t="s">
        <v>9</v>
      </c>
      <c r="F3484">
        <v>42.56</v>
      </c>
      <c r="G3484" t="s">
        <v>20</v>
      </c>
      <c r="H3484" t="s">
        <v>11</v>
      </c>
    </row>
    <row r="3485" spans="1:8" x14ac:dyDescent="0.25">
      <c r="A3485" s="1">
        <v>45668.125</v>
      </c>
      <c r="B3485" t="s">
        <v>26</v>
      </c>
      <c r="C3485">
        <v>357.98</v>
      </c>
      <c r="D3485">
        <v>25.16</v>
      </c>
      <c r="E3485" t="s">
        <v>9</v>
      </c>
      <c r="F3485">
        <v>44.69</v>
      </c>
      <c r="G3485" t="s">
        <v>20</v>
      </c>
      <c r="H3485" t="s">
        <v>13</v>
      </c>
    </row>
    <row r="3486" spans="1:8" x14ac:dyDescent="0.25">
      <c r="A3486" s="1">
        <v>45668.166666666664</v>
      </c>
      <c r="B3486" t="s">
        <v>26</v>
      </c>
      <c r="C3486">
        <v>441.13</v>
      </c>
      <c r="D3486">
        <v>94.84</v>
      </c>
      <c r="E3486" t="s">
        <v>14</v>
      </c>
      <c r="F3486">
        <v>65.11</v>
      </c>
      <c r="G3486" t="s">
        <v>20</v>
      </c>
      <c r="H3486" t="s">
        <v>11</v>
      </c>
    </row>
    <row r="3487" spans="1:8" x14ac:dyDescent="0.25">
      <c r="A3487" s="1">
        <v>45668.208333333336</v>
      </c>
      <c r="B3487" t="s">
        <v>26</v>
      </c>
      <c r="C3487">
        <v>381.7</v>
      </c>
      <c r="D3487">
        <v>78.31</v>
      </c>
      <c r="E3487" t="s">
        <v>9</v>
      </c>
      <c r="F3487">
        <v>51.39</v>
      </c>
      <c r="G3487" t="s">
        <v>20</v>
      </c>
      <c r="H3487" t="s">
        <v>11</v>
      </c>
    </row>
    <row r="3488" spans="1:8" x14ac:dyDescent="0.25">
      <c r="A3488" s="1">
        <v>45668.25</v>
      </c>
      <c r="B3488" t="s">
        <v>26</v>
      </c>
      <c r="C3488">
        <v>490.29</v>
      </c>
      <c r="D3488">
        <v>70.569999999999993</v>
      </c>
      <c r="E3488" t="s">
        <v>9</v>
      </c>
      <c r="F3488">
        <v>55.01</v>
      </c>
      <c r="G3488" t="s">
        <v>20</v>
      </c>
      <c r="H3488" t="s">
        <v>12</v>
      </c>
    </row>
    <row r="3489" spans="1:8" x14ac:dyDescent="0.25">
      <c r="A3489" s="1">
        <v>45668.291666666664</v>
      </c>
      <c r="B3489" t="s">
        <v>26</v>
      </c>
      <c r="C3489">
        <v>440.91</v>
      </c>
      <c r="D3489">
        <v>19.170000000000002</v>
      </c>
      <c r="E3489" t="s">
        <v>9</v>
      </c>
      <c r="F3489">
        <v>80.760000000000005</v>
      </c>
      <c r="G3489" t="s">
        <v>20</v>
      </c>
      <c r="H3489" t="s">
        <v>11</v>
      </c>
    </row>
    <row r="3490" spans="1:8" x14ac:dyDescent="0.25">
      <c r="A3490" s="1">
        <v>45668.333333333336</v>
      </c>
      <c r="B3490" t="s">
        <v>26</v>
      </c>
      <c r="C3490">
        <v>463.68</v>
      </c>
      <c r="D3490">
        <v>90.64</v>
      </c>
      <c r="E3490" t="s">
        <v>14</v>
      </c>
      <c r="F3490">
        <v>59.05</v>
      </c>
      <c r="G3490" t="s">
        <v>20</v>
      </c>
      <c r="H3490" t="s">
        <v>11</v>
      </c>
    </row>
    <row r="3491" spans="1:8" x14ac:dyDescent="0.25">
      <c r="A3491" s="1">
        <v>45668.375</v>
      </c>
      <c r="B3491" t="s">
        <v>26</v>
      </c>
      <c r="C3491">
        <v>197.69</v>
      </c>
      <c r="D3491">
        <v>51.89</v>
      </c>
      <c r="E3491" t="s">
        <v>9</v>
      </c>
      <c r="F3491">
        <v>70.900000000000006</v>
      </c>
      <c r="G3491" t="s">
        <v>20</v>
      </c>
      <c r="H3491" t="s">
        <v>13</v>
      </c>
    </row>
    <row r="3492" spans="1:8" x14ac:dyDescent="0.25">
      <c r="A3492" s="1">
        <v>45668.416666666664</v>
      </c>
      <c r="B3492" t="s">
        <v>26</v>
      </c>
      <c r="C3492">
        <v>117.41</v>
      </c>
      <c r="D3492">
        <v>48</v>
      </c>
      <c r="E3492" t="s">
        <v>9</v>
      </c>
      <c r="F3492">
        <v>84.7</v>
      </c>
      <c r="G3492" t="s">
        <v>20</v>
      </c>
      <c r="H3492" t="s">
        <v>11</v>
      </c>
    </row>
    <row r="3493" spans="1:8" x14ac:dyDescent="0.25">
      <c r="A3493" s="1">
        <v>45668.458333333336</v>
      </c>
      <c r="B3493" t="s">
        <v>26</v>
      </c>
      <c r="C3493">
        <v>157.9</v>
      </c>
      <c r="D3493">
        <v>44.17</v>
      </c>
      <c r="E3493" t="s">
        <v>9</v>
      </c>
      <c r="F3493">
        <v>36.659999999999997</v>
      </c>
      <c r="G3493" t="s">
        <v>20</v>
      </c>
      <c r="H3493" t="s">
        <v>11</v>
      </c>
    </row>
    <row r="3494" spans="1:8" x14ac:dyDescent="0.25">
      <c r="A3494" s="1">
        <v>45668.5</v>
      </c>
      <c r="B3494" t="s">
        <v>26</v>
      </c>
      <c r="C3494">
        <v>308.26</v>
      </c>
      <c r="D3494">
        <v>24.35</v>
      </c>
      <c r="E3494" t="s">
        <v>9</v>
      </c>
      <c r="F3494">
        <v>51.17</v>
      </c>
      <c r="G3494" t="s">
        <v>20</v>
      </c>
      <c r="H3494" t="s">
        <v>12</v>
      </c>
    </row>
    <row r="3495" spans="1:8" x14ac:dyDescent="0.25">
      <c r="A3495" s="1">
        <v>45668.541666666664</v>
      </c>
      <c r="B3495" t="s">
        <v>26</v>
      </c>
      <c r="C3495">
        <v>492.72</v>
      </c>
      <c r="D3495">
        <v>49.14</v>
      </c>
      <c r="E3495" t="s">
        <v>9</v>
      </c>
      <c r="F3495">
        <v>59.15</v>
      </c>
      <c r="G3495" t="s">
        <v>20</v>
      </c>
      <c r="H3495" t="s">
        <v>11</v>
      </c>
    </row>
    <row r="3496" spans="1:8" x14ac:dyDescent="0.25">
      <c r="A3496" s="1">
        <v>45668.583333333336</v>
      </c>
      <c r="B3496" t="s">
        <v>26</v>
      </c>
      <c r="C3496">
        <v>191.31</v>
      </c>
      <c r="D3496">
        <v>53.89</v>
      </c>
      <c r="E3496" t="s">
        <v>9</v>
      </c>
      <c r="F3496">
        <v>42.03</v>
      </c>
      <c r="G3496" t="s">
        <v>20</v>
      </c>
      <c r="H3496" t="s">
        <v>13</v>
      </c>
    </row>
    <row r="3497" spans="1:8" x14ac:dyDescent="0.25">
      <c r="A3497" s="1">
        <v>45668.625</v>
      </c>
      <c r="B3497" t="s">
        <v>26</v>
      </c>
      <c r="C3497">
        <v>112</v>
      </c>
      <c r="D3497">
        <v>17.38</v>
      </c>
      <c r="E3497" t="s">
        <v>9</v>
      </c>
      <c r="F3497">
        <v>52.78</v>
      </c>
      <c r="G3497" t="s">
        <v>20</v>
      </c>
      <c r="H3497" t="s">
        <v>11</v>
      </c>
    </row>
    <row r="3498" spans="1:8" x14ac:dyDescent="0.25">
      <c r="A3498" s="1">
        <v>45668.666666666664</v>
      </c>
      <c r="B3498" t="s">
        <v>26</v>
      </c>
      <c r="C3498">
        <v>100.33</v>
      </c>
      <c r="D3498">
        <v>39.380000000000003</v>
      </c>
      <c r="E3498" t="s">
        <v>9</v>
      </c>
      <c r="F3498">
        <v>55.07</v>
      </c>
      <c r="G3498" t="s">
        <v>20</v>
      </c>
      <c r="H3498" t="s">
        <v>13</v>
      </c>
    </row>
    <row r="3499" spans="1:8" x14ac:dyDescent="0.25">
      <c r="A3499" s="1">
        <v>45668.708333333336</v>
      </c>
      <c r="B3499" t="s">
        <v>26</v>
      </c>
      <c r="C3499">
        <v>64.22</v>
      </c>
      <c r="D3499">
        <v>83.03</v>
      </c>
      <c r="E3499" t="s">
        <v>9</v>
      </c>
      <c r="F3499">
        <v>38.25</v>
      </c>
      <c r="G3499" t="s">
        <v>20</v>
      </c>
      <c r="H3499" t="s">
        <v>13</v>
      </c>
    </row>
    <row r="3500" spans="1:8" x14ac:dyDescent="0.25">
      <c r="A3500" s="1">
        <v>45668.75</v>
      </c>
      <c r="B3500" t="s">
        <v>26</v>
      </c>
      <c r="C3500">
        <v>283.93</v>
      </c>
      <c r="D3500">
        <v>34.090000000000003</v>
      </c>
      <c r="E3500" t="s">
        <v>9</v>
      </c>
      <c r="F3500">
        <v>35.72</v>
      </c>
      <c r="G3500" t="s">
        <v>20</v>
      </c>
      <c r="H3500" t="s">
        <v>13</v>
      </c>
    </row>
    <row r="3501" spans="1:8" x14ac:dyDescent="0.25">
      <c r="A3501" s="1">
        <v>45668.791666666664</v>
      </c>
      <c r="B3501" t="s">
        <v>26</v>
      </c>
      <c r="C3501">
        <v>213.44</v>
      </c>
      <c r="D3501">
        <v>83.52</v>
      </c>
      <c r="E3501" t="s">
        <v>9</v>
      </c>
      <c r="F3501">
        <v>79.48</v>
      </c>
      <c r="G3501" t="s">
        <v>20</v>
      </c>
      <c r="H3501" t="s">
        <v>13</v>
      </c>
    </row>
    <row r="3502" spans="1:8" x14ac:dyDescent="0.25">
      <c r="A3502" s="1">
        <v>45668.833333333336</v>
      </c>
      <c r="B3502" t="s">
        <v>26</v>
      </c>
      <c r="C3502">
        <v>312.17</v>
      </c>
      <c r="D3502">
        <v>65.84</v>
      </c>
      <c r="E3502" t="s">
        <v>9</v>
      </c>
      <c r="F3502">
        <v>30.05</v>
      </c>
      <c r="G3502" t="s">
        <v>20</v>
      </c>
      <c r="H3502" t="s">
        <v>12</v>
      </c>
    </row>
    <row r="3503" spans="1:8" x14ac:dyDescent="0.25">
      <c r="A3503" s="1">
        <v>45668.875</v>
      </c>
      <c r="B3503" t="s">
        <v>26</v>
      </c>
      <c r="C3503">
        <v>214.44</v>
      </c>
      <c r="D3503">
        <v>28.71</v>
      </c>
      <c r="E3503" t="s">
        <v>9</v>
      </c>
      <c r="F3503">
        <v>71.2</v>
      </c>
      <c r="G3503" t="s">
        <v>20</v>
      </c>
      <c r="H3503" t="s">
        <v>13</v>
      </c>
    </row>
    <row r="3504" spans="1:8" x14ac:dyDescent="0.25">
      <c r="A3504" s="1">
        <v>45668.916666666664</v>
      </c>
      <c r="B3504" t="s">
        <v>26</v>
      </c>
      <c r="C3504">
        <v>324.91000000000003</v>
      </c>
      <c r="D3504">
        <v>79.66</v>
      </c>
      <c r="E3504" t="s">
        <v>9</v>
      </c>
      <c r="F3504">
        <v>65.150000000000006</v>
      </c>
      <c r="G3504" t="s">
        <v>20</v>
      </c>
      <c r="H3504" t="s">
        <v>11</v>
      </c>
    </row>
    <row r="3505" spans="1:8" x14ac:dyDescent="0.25">
      <c r="A3505" s="1">
        <v>45668.958333333336</v>
      </c>
      <c r="B3505" t="s">
        <v>26</v>
      </c>
      <c r="C3505">
        <v>244.37</v>
      </c>
      <c r="D3505">
        <v>47.23</v>
      </c>
      <c r="E3505" t="s">
        <v>9</v>
      </c>
      <c r="F3505">
        <v>60.28</v>
      </c>
      <c r="G3505" t="s">
        <v>20</v>
      </c>
      <c r="H3505" t="s">
        <v>11</v>
      </c>
    </row>
    <row r="3506" spans="1:8" x14ac:dyDescent="0.25">
      <c r="A3506" s="1">
        <v>45669</v>
      </c>
      <c r="B3506" t="s">
        <v>26</v>
      </c>
      <c r="C3506">
        <v>116.88</v>
      </c>
      <c r="D3506">
        <v>17.399999999999999</v>
      </c>
      <c r="E3506" t="s">
        <v>9</v>
      </c>
      <c r="F3506">
        <v>33.78</v>
      </c>
      <c r="G3506" t="s">
        <v>20</v>
      </c>
      <c r="H3506" t="s">
        <v>13</v>
      </c>
    </row>
    <row r="3507" spans="1:8" x14ac:dyDescent="0.25">
      <c r="A3507" s="1">
        <v>45669.041666666664</v>
      </c>
      <c r="B3507" t="s">
        <v>26</v>
      </c>
      <c r="C3507">
        <v>453.16</v>
      </c>
      <c r="D3507">
        <v>41.67</v>
      </c>
      <c r="E3507" t="s">
        <v>9</v>
      </c>
      <c r="F3507">
        <v>48.56</v>
      </c>
      <c r="G3507" t="s">
        <v>20</v>
      </c>
      <c r="H3507" t="s">
        <v>11</v>
      </c>
    </row>
    <row r="3508" spans="1:8" x14ac:dyDescent="0.25">
      <c r="A3508" s="1">
        <v>45669.083333333336</v>
      </c>
      <c r="B3508" t="s">
        <v>26</v>
      </c>
      <c r="C3508">
        <v>187.11</v>
      </c>
      <c r="D3508">
        <v>18.28</v>
      </c>
      <c r="E3508" t="s">
        <v>9</v>
      </c>
      <c r="F3508">
        <v>52.42</v>
      </c>
      <c r="G3508" t="s">
        <v>20</v>
      </c>
      <c r="H3508" t="s">
        <v>13</v>
      </c>
    </row>
    <row r="3509" spans="1:8" x14ac:dyDescent="0.25">
      <c r="A3509" s="1">
        <v>45669.125</v>
      </c>
      <c r="B3509" t="s">
        <v>26</v>
      </c>
      <c r="C3509">
        <v>111.87</v>
      </c>
      <c r="D3509">
        <v>15.42</v>
      </c>
      <c r="E3509" t="s">
        <v>9</v>
      </c>
      <c r="F3509">
        <v>56.74</v>
      </c>
      <c r="G3509" t="s">
        <v>20</v>
      </c>
      <c r="H3509" t="s">
        <v>11</v>
      </c>
    </row>
    <row r="3510" spans="1:8" x14ac:dyDescent="0.25">
      <c r="A3510" s="1">
        <v>45669.166666666664</v>
      </c>
      <c r="B3510" t="s">
        <v>26</v>
      </c>
      <c r="C3510">
        <v>244.65</v>
      </c>
      <c r="D3510">
        <v>27.48</v>
      </c>
      <c r="E3510" t="s">
        <v>9</v>
      </c>
      <c r="F3510">
        <v>49.14</v>
      </c>
      <c r="G3510" t="s">
        <v>20</v>
      </c>
      <c r="H3510" t="s">
        <v>11</v>
      </c>
    </row>
    <row r="3511" spans="1:8" x14ac:dyDescent="0.25">
      <c r="A3511" s="1">
        <v>45669.208333333336</v>
      </c>
      <c r="B3511" t="s">
        <v>26</v>
      </c>
      <c r="C3511">
        <v>371.25</v>
      </c>
      <c r="D3511">
        <v>15.06</v>
      </c>
      <c r="E3511" t="s">
        <v>9</v>
      </c>
      <c r="F3511">
        <v>48.95</v>
      </c>
      <c r="G3511" t="s">
        <v>20</v>
      </c>
      <c r="H3511" t="s">
        <v>13</v>
      </c>
    </row>
    <row r="3512" spans="1:8" x14ac:dyDescent="0.25">
      <c r="A3512" s="1">
        <v>45669.25</v>
      </c>
      <c r="B3512" t="s">
        <v>26</v>
      </c>
      <c r="C3512">
        <v>351.89</v>
      </c>
      <c r="D3512">
        <v>73.27</v>
      </c>
      <c r="E3512" t="s">
        <v>9</v>
      </c>
      <c r="F3512">
        <v>78.709999999999994</v>
      </c>
      <c r="G3512" t="s">
        <v>20</v>
      </c>
      <c r="H3512" t="s">
        <v>11</v>
      </c>
    </row>
    <row r="3513" spans="1:8" x14ac:dyDescent="0.25">
      <c r="A3513" s="1">
        <v>45669.291666666664</v>
      </c>
      <c r="B3513" t="s">
        <v>26</v>
      </c>
      <c r="C3513">
        <v>354.31</v>
      </c>
      <c r="D3513">
        <v>65.91</v>
      </c>
      <c r="E3513" t="s">
        <v>9</v>
      </c>
      <c r="F3513">
        <v>87.83</v>
      </c>
      <c r="G3513" t="s">
        <v>20</v>
      </c>
      <c r="H3513" t="s">
        <v>11</v>
      </c>
    </row>
    <row r="3514" spans="1:8" x14ac:dyDescent="0.25">
      <c r="A3514" s="1">
        <v>45669.333333333336</v>
      </c>
      <c r="B3514" t="s">
        <v>26</v>
      </c>
      <c r="C3514">
        <v>306.08</v>
      </c>
      <c r="D3514">
        <v>30.42</v>
      </c>
      <c r="E3514" t="s">
        <v>9</v>
      </c>
      <c r="F3514">
        <v>47.57</v>
      </c>
      <c r="G3514" t="s">
        <v>20</v>
      </c>
      <c r="H3514" t="s">
        <v>11</v>
      </c>
    </row>
    <row r="3515" spans="1:8" x14ac:dyDescent="0.25">
      <c r="A3515" s="1">
        <v>45669.375</v>
      </c>
      <c r="B3515" t="s">
        <v>26</v>
      </c>
      <c r="C3515">
        <v>466.13</v>
      </c>
      <c r="D3515">
        <v>28.47</v>
      </c>
      <c r="E3515" t="s">
        <v>9</v>
      </c>
      <c r="F3515">
        <v>34.94</v>
      </c>
      <c r="G3515" t="s">
        <v>20</v>
      </c>
      <c r="H3515" t="s">
        <v>13</v>
      </c>
    </row>
    <row r="3516" spans="1:8" x14ac:dyDescent="0.25">
      <c r="A3516" s="1">
        <v>45669.416666666664</v>
      </c>
      <c r="B3516" t="s">
        <v>26</v>
      </c>
      <c r="C3516">
        <v>243.35</v>
      </c>
      <c r="D3516">
        <v>80.28</v>
      </c>
      <c r="E3516" t="s">
        <v>9</v>
      </c>
      <c r="F3516">
        <v>77.67</v>
      </c>
      <c r="G3516" t="s">
        <v>20</v>
      </c>
      <c r="H3516" t="s">
        <v>12</v>
      </c>
    </row>
    <row r="3517" spans="1:8" x14ac:dyDescent="0.25">
      <c r="A3517" s="1">
        <v>45669.458333333336</v>
      </c>
      <c r="B3517" t="s">
        <v>26</v>
      </c>
      <c r="C3517">
        <v>347.08</v>
      </c>
      <c r="D3517">
        <v>40.729999999999997</v>
      </c>
      <c r="E3517" t="s">
        <v>9</v>
      </c>
      <c r="F3517">
        <v>82.63</v>
      </c>
      <c r="G3517" t="s">
        <v>20</v>
      </c>
      <c r="H3517" t="s">
        <v>13</v>
      </c>
    </row>
    <row r="3518" spans="1:8" x14ac:dyDescent="0.25">
      <c r="A3518" s="1">
        <v>45669.5</v>
      </c>
      <c r="B3518" t="s">
        <v>26</v>
      </c>
      <c r="C3518">
        <v>76.75</v>
      </c>
      <c r="D3518">
        <v>46.54</v>
      </c>
      <c r="E3518" t="s">
        <v>9</v>
      </c>
      <c r="F3518">
        <v>89.3</v>
      </c>
      <c r="G3518" t="s">
        <v>20</v>
      </c>
      <c r="H3518" t="s">
        <v>12</v>
      </c>
    </row>
    <row r="3519" spans="1:8" x14ac:dyDescent="0.25">
      <c r="A3519" s="1">
        <v>45669.541666666664</v>
      </c>
      <c r="B3519" t="s">
        <v>26</v>
      </c>
      <c r="C3519">
        <v>100.82</v>
      </c>
      <c r="D3519">
        <v>19.329999999999998</v>
      </c>
      <c r="E3519" t="s">
        <v>9</v>
      </c>
      <c r="F3519">
        <v>75.34</v>
      </c>
      <c r="G3519" t="s">
        <v>20</v>
      </c>
      <c r="H3519" t="s">
        <v>12</v>
      </c>
    </row>
    <row r="3520" spans="1:8" x14ac:dyDescent="0.25">
      <c r="A3520" s="1">
        <v>45669.583333333336</v>
      </c>
      <c r="B3520" t="s">
        <v>26</v>
      </c>
      <c r="C3520">
        <v>107.35</v>
      </c>
      <c r="D3520">
        <v>51.6</v>
      </c>
      <c r="E3520" t="s">
        <v>9</v>
      </c>
      <c r="F3520">
        <v>39.86</v>
      </c>
      <c r="G3520" t="s">
        <v>20</v>
      </c>
      <c r="H3520" t="s">
        <v>11</v>
      </c>
    </row>
    <row r="3521" spans="1:8" x14ac:dyDescent="0.25">
      <c r="A3521" s="1">
        <v>45669.625</v>
      </c>
      <c r="B3521" t="s">
        <v>26</v>
      </c>
      <c r="C3521">
        <v>158.15</v>
      </c>
      <c r="D3521">
        <v>60.55</v>
      </c>
      <c r="E3521" t="s">
        <v>9</v>
      </c>
      <c r="F3521">
        <v>63.64</v>
      </c>
      <c r="G3521" t="s">
        <v>20</v>
      </c>
      <c r="H3521" t="s">
        <v>11</v>
      </c>
    </row>
    <row r="3522" spans="1:8" x14ac:dyDescent="0.25">
      <c r="A3522" s="1">
        <v>45669.666666666664</v>
      </c>
      <c r="B3522" t="s">
        <v>26</v>
      </c>
      <c r="C3522">
        <v>243.94</v>
      </c>
      <c r="D3522">
        <v>25.21</v>
      </c>
      <c r="E3522" t="s">
        <v>9</v>
      </c>
      <c r="F3522">
        <v>88.23</v>
      </c>
      <c r="G3522" t="s">
        <v>20</v>
      </c>
      <c r="H3522" t="s">
        <v>13</v>
      </c>
    </row>
    <row r="3523" spans="1:8" x14ac:dyDescent="0.25">
      <c r="A3523" s="1">
        <v>45669.708333333336</v>
      </c>
      <c r="B3523" t="s">
        <v>26</v>
      </c>
      <c r="C3523">
        <v>450.79</v>
      </c>
      <c r="D3523">
        <v>64.44</v>
      </c>
      <c r="E3523" t="s">
        <v>9</v>
      </c>
      <c r="F3523">
        <v>89.41</v>
      </c>
      <c r="G3523" t="s">
        <v>20</v>
      </c>
      <c r="H3523" t="s">
        <v>11</v>
      </c>
    </row>
    <row r="3524" spans="1:8" x14ac:dyDescent="0.25">
      <c r="A3524" s="1">
        <v>45669.75</v>
      </c>
      <c r="B3524" t="s">
        <v>26</v>
      </c>
      <c r="C3524">
        <v>209.72</v>
      </c>
      <c r="D3524">
        <v>29.59</v>
      </c>
      <c r="E3524" t="s">
        <v>9</v>
      </c>
      <c r="F3524">
        <v>79.14</v>
      </c>
      <c r="G3524" t="s">
        <v>20</v>
      </c>
      <c r="H3524" t="s">
        <v>11</v>
      </c>
    </row>
    <row r="3525" spans="1:8" x14ac:dyDescent="0.25">
      <c r="A3525" s="1">
        <v>45669.791666666664</v>
      </c>
      <c r="B3525" t="s">
        <v>26</v>
      </c>
      <c r="C3525">
        <v>374.66</v>
      </c>
      <c r="D3525">
        <v>58.59</v>
      </c>
      <c r="E3525" t="s">
        <v>9</v>
      </c>
      <c r="F3525">
        <v>77.17</v>
      </c>
      <c r="G3525" t="s">
        <v>20</v>
      </c>
      <c r="H3525" t="s">
        <v>11</v>
      </c>
    </row>
    <row r="3526" spans="1:8" x14ac:dyDescent="0.25">
      <c r="A3526" s="1">
        <v>45669.833333333336</v>
      </c>
      <c r="B3526" t="s">
        <v>26</v>
      </c>
      <c r="C3526">
        <v>283.75</v>
      </c>
      <c r="D3526">
        <v>68.13</v>
      </c>
      <c r="E3526" t="s">
        <v>9</v>
      </c>
      <c r="F3526">
        <v>77.97</v>
      </c>
      <c r="G3526" t="s">
        <v>20</v>
      </c>
      <c r="H3526" t="s">
        <v>11</v>
      </c>
    </row>
    <row r="3527" spans="1:8" x14ac:dyDescent="0.25">
      <c r="A3527" s="1">
        <v>45669.875</v>
      </c>
      <c r="B3527" t="s">
        <v>26</v>
      </c>
      <c r="C3527">
        <v>125.13</v>
      </c>
      <c r="D3527">
        <v>15.58</v>
      </c>
      <c r="E3527" t="s">
        <v>9</v>
      </c>
      <c r="F3527">
        <v>43.69</v>
      </c>
      <c r="G3527" t="s">
        <v>20</v>
      </c>
      <c r="H3527" t="s">
        <v>12</v>
      </c>
    </row>
    <row r="3528" spans="1:8" x14ac:dyDescent="0.25">
      <c r="A3528" s="1">
        <v>45669.916666666664</v>
      </c>
      <c r="B3528" t="s">
        <v>26</v>
      </c>
      <c r="C3528">
        <v>94.68</v>
      </c>
      <c r="D3528">
        <v>70.84</v>
      </c>
      <c r="E3528" t="s">
        <v>9</v>
      </c>
      <c r="F3528">
        <v>52.08</v>
      </c>
      <c r="G3528" t="s">
        <v>20</v>
      </c>
      <c r="H3528" t="s">
        <v>11</v>
      </c>
    </row>
    <row r="3529" spans="1:8" x14ac:dyDescent="0.25">
      <c r="A3529" s="1">
        <v>45669.958333333336</v>
      </c>
      <c r="B3529" t="s">
        <v>26</v>
      </c>
      <c r="C3529">
        <v>92.11</v>
      </c>
      <c r="D3529">
        <v>46.38</v>
      </c>
      <c r="E3529" t="s">
        <v>9</v>
      </c>
      <c r="F3529">
        <v>42.56</v>
      </c>
      <c r="G3529" t="s">
        <v>20</v>
      </c>
      <c r="H3529" t="s">
        <v>11</v>
      </c>
    </row>
    <row r="3530" spans="1:8" x14ac:dyDescent="0.25">
      <c r="A3530" s="1">
        <v>45670</v>
      </c>
      <c r="B3530" t="s">
        <v>26</v>
      </c>
      <c r="C3530">
        <v>380.27</v>
      </c>
      <c r="D3530">
        <v>76.69</v>
      </c>
      <c r="E3530" t="s">
        <v>9</v>
      </c>
      <c r="F3530">
        <v>77.08</v>
      </c>
      <c r="G3530" t="s">
        <v>20</v>
      </c>
      <c r="H3530" t="s">
        <v>11</v>
      </c>
    </row>
    <row r="3531" spans="1:8" x14ac:dyDescent="0.25">
      <c r="A3531" s="1">
        <v>45670.041666666664</v>
      </c>
      <c r="B3531" t="s">
        <v>26</v>
      </c>
      <c r="C3531">
        <v>150.97</v>
      </c>
      <c r="D3531">
        <v>78.459999999999994</v>
      </c>
      <c r="E3531" t="s">
        <v>9</v>
      </c>
      <c r="F3531">
        <v>89</v>
      </c>
      <c r="G3531" t="s">
        <v>20</v>
      </c>
      <c r="H3531" t="s">
        <v>12</v>
      </c>
    </row>
    <row r="3532" spans="1:8" x14ac:dyDescent="0.25">
      <c r="A3532" s="1">
        <v>45670.083333333336</v>
      </c>
      <c r="B3532" t="s">
        <v>26</v>
      </c>
      <c r="C3532">
        <v>360.51</v>
      </c>
      <c r="D3532">
        <v>35.380000000000003</v>
      </c>
      <c r="E3532" t="s">
        <v>9</v>
      </c>
      <c r="F3532">
        <v>33.979999999999997</v>
      </c>
      <c r="G3532" t="s">
        <v>20</v>
      </c>
      <c r="H3532" t="s">
        <v>11</v>
      </c>
    </row>
    <row r="3533" spans="1:8" x14ac:dyDescent="0.25">
      <c r="A3533" s="1">
        <v>45670.125</v>
      </c>
      <c r="B3533" t="s">
        <v>26</v>
      </c>
      <c r="C3533">
        <v>446.45</v>
      </c>
      <c r="D3533">
        <v>42.64</v>
      </c>
      <c r="E3533" t="s">
        <v>9</v>
      </c>
      <c r="F3533">
        <v>89.67</v>
      </c>
      <c r="G3533" t="s">
        <v>20</v>
      </c>
      <c r="H3533" t="s">
        <v>11</v>
      </c>
    </row>
    <row r="3534" spans="1:8" x14ac:dyDescent="0.25">
      <c r="A3534" s="1">
        <v>45670.166666666664</v>
      </c>
      <c r="B3534" t="s">
        <v>26</v>
      </c>
      <c r="C3534">
        <v>211.28</v>
      </c>
      <c r="D3534">
        <v>15.67</v>
      </c>
      <c r="E3534" t="s">
        <v>9</v>
      </c>
      <c r="F3534">
        <v>35.81</v>
      </c>
      <c r="G3534" t="s">
        <v>20</v>
      </c>
      <c r="H3534" t="s">
        <v>11</v>
      </c>
    </row>
    <row r="3535" spans="1:8" x14ac:dyDescent="0.25">
      <c r="A3535" s="1">
        <v>45670.208333333336</v>
      </c>
      <c r="B3535" t="s">
        <v>26</v>
      </c>
      <c r="C3535">
        <v>417.03</v>
      </c>
      <c r="D3535">
        <v>74.349999999999994</v>
      </c>
      <c r="E3535" t="s">
        <v>9</v>
      </c>
      <c r="F3535">
        <v>50.08</v>
      </c>
      <c r="G3535" t="s">
        <v>20</v>
      </c>
      <c r="H3535" t="s">
        <v>12</v>
      </c>
    </row>
    <row r="3536" spans="1:8" x14ac:dyDescent="0.25">
      <c r="A3536" s="1">
        <v>45670.25</v>
      </c>
      <c r="B3536" t="s">
        <v>26</v>
      </c>
      <c r="C3536">
        <v>140.58000000000001</v>
      </c>
      <c r="D3536">
        <v>50.2</v>
      </c>
      <c r="E3536" t="s">
        <v>9</v>
      </c>
      <c r="F3536">
        <v>87.37</v>
      </c>
      <c r="G3536" t="s">
        <v>20</v>
      </c>
      <c r="H3536" t="s">
        <v>12</v>
      </c>
    </row>
    <row r="3537" spans="1:8" x14ac:dyDescent="0.25">
      <c r="A3537" s="1">
        <v>45670.291666666664</v>
      </c>
      <c r="B3537" t="s">
        <v>26</v>
      </c>
      <c r="C3537">
        <v>352.1</v>
      </c>
      <c r="D3537">
        <v>51.53</v>
      </c>
      <c r="E3537" t="s">
        <v>9</v>
      </c>
      <c r="F3537">
        <v>79.86</v>
      </c>
      <c r="G3537" t="s">
        <v>20</v>
      </c>
      <c r="H3537" t="s">
        <v>13</v>
      </c>
    </row>
    <row r="3538" spans="1:8" x14ac:dyDescent="0.25">
      <c r="A3538" s="1">
        <v>45670.333333333336</v>
      </c>
      <c r="B3538" t="s">
        <v>26</v>
      </c>
      <c r="C3538">
        <v>438.1</v>
      </c>
      <c r="D3538">
        <v>52.83</v>
      </c>
      <c r="E3538" t="s">
        <v>9</v>
      </c>
      <c r="F3538">
        <v>55.79</v>
      </c>
      <c r="G3538" t="s">
        <v>20</v>
      </c>
      <c r="H3538" t="s">
        <v>12</v>
      </c>
    </row>
    <row r="3539" spans="1:8" x14ac:dyDescent="0.25">
      <c r="A3539" s="1">
        <v>45670.375</v>
      </c>
      <c r="B3539" t="s">
        <v>26</v>
      </c>
      <c r="C3539">
        <v>187.59</v>
      </c>
      <c r="D3539">
        <v>47.08</v>
      </c>
      <c r="E3539" t="s">
        <v>9</v>
      </c>
      <c r="F3539">
        <v>48.1</v>
      </c>
      <c r="G3539" t="s">
        <v>20</v>
      </c>
      <c r="H3539" t="s">
        <v>11</v>
      </c>
    </row>
    <row r="3540" spans="1:8" x14ac:dyDescent="0.25">
      <c r="A3540" s="1">
        <v>45670.416666666664</v>
      </c>
      <c r="B3540" t="s">
        <v>26</v>
      </c>
      <c r="C3540">
        <v>129.16999999999999</v>
      </c>
      <c r="D3540">
        <v>52.23</v>
      </c>
      <c r="E3540" t="s">
        <v>9</v>
      </c>
      <c r="F3540">
        <v>44.11</v>
      </c>
      <c r="G3540" t="s">
        <v>20</v>
      </c>
      <c r="H3540" t="s">
        <v>13</v>
      </c>
    </row>
    <row r="3541" spans="1:8" x14ac:dyDescent="0.25">
      <c r="A3541" s="1">
        <v>45670.458333333336</v>
      </c>
      <c r="B3541" t="s">
        <v>26</v>
      </c>
      <c r="C3541">
        <v>90.36</v>
      </c>
      <c r="D3541">
        <v>66.06</v>
      </c>
      <c r="E3541" t="s">
        <v>9</v>
      </c>
      <c r="F3541">
        <v>39.32</v>
      </c>
      <c r="G3541" t="s">
        <v>20</v>
      </c>
      <c r="H3541" t="s">
        <v>11</v>
      </c>
    </row>
    <row r="3542" spans="1:8" x14ac:dyDescent="0.25">
      <c r="A3542" s="1">
        <v>45670.5</v>
      </c>
      <c r="B3542" t="s">
        <v>26</v>
      </c>
      <c r="C3542">
        <v>280.60000000000002</v>
      </c>
      <c r="D3542">
        <v>76.599999999999994</v>
      </c>
      <c r="E3542" t="s">
        <v>9</v>
      </c>
      <c r="F3542">
        <v>43.14</v>
      </c>
      <c r="G3542" t="s">
        <v>20</v>
      </c>
      <c r="H3542" t="s">
        <v>12</v>
      </c>
    </row>
    <row r="3543" spans="1:8" x14ac:dyDescent="0.25">
      <c r="A3543" s="1">
        <v>45670.541666666664</v>
      </c>
      <c r="B3543" t="s">
        <v>26</v>
      </c>
      <c r="C3543">
        <v>352.19</v>
      </c>
      <c r="D3543">
        <v>26.08</v>
      </c>
      <c r="E3543" t="s">
        <v>9</v>
      </c>
      <c r="F3543">
        <v>50.77</v>
      </c>
      <c r="G3543" t="s">
        <v>20</v>
      </c>
      <c r="H3543" t="s">
        <v>13</v>
      </c>
    </row>
    <row r="3544" spans="1:8" x14ac:dyDescent="0.25">
      <c r="A3544" s="1">
        <v>45670.583333333336</v>
      </c>
      <c r="B3544" t="s">
        <v>26</v>
      </c>
      <c r="C3544">
        <v>382.9</v>
      </c>
      <c r="D3544">
        <v>91</v>
      </c>
      <c r="E3544" t="s">
        <v>14</v>
      </c>
      <c r="F3544">
        <v>38.22</v>
      </c>
      <c r="G3544" t="s">
        <v>20</v>
      </c>
      <c r="H3544" t="s">
        <v>13</v>
      </c>
    </row>
    <row r="3545" spans="1:8" x14ac:dyDescent="0.25">
      <c r="A3545" s="1">
        <v>45670.625</v>
      </c>
      <c r="B3545" t="s">
        <v>26</v>
      </c>
      <c r="C3545">
        <v>89.46</v>
      </c>
      <c r="D3545">
        <v>52.52</v>
      </c>
      <c r="E3545" t="s">
        <v>9</v>
      </c>
      <c r="F3545">
        <v>81.400000000000006</v>
      </c>
      <c r="G3545" t="s">
        <v>20</v>
      </c>
      <c r="H3545" t="s">
        <v>12</v>
      </c>
    </row>
    <row r="3546" spans="1:8" x14ac:dyDescent="0.25">
      <c r="A3546" s="1">
        <v>45670.666666666664</v>
      </c>
      <c r="B3546" t="s">
        <v>26</v>
      </c>
      <c r="C3546">
        <v>231.8</v>
      </c>
      <c r="D3546">
        <v>80.489999999999995</v>
      </c>
      <c r="E3546" t="s">
        <v>9</v>
      </c>
      <c r="F3546">
        <v>64.63</v>
      </c>
      <c r="G3546" t="s">
        <v>20</v>
      </c>
      <c r="H3546" t="s">
        <v>12</v>
      </c>
    </row>
    <row r="3547" spans="1:8" x14ac:dyDescent="0.25">
      <c r="A3547" s="1">
        <v>45670.708333333336</v>
      </c>
      <c r="B3547" t="s">
        <v>26</v>
      </c>
      <c r="C3547">
        <v>109.22</v>
      </c>
      <c r="D3547">
        <v>88.66</v>
      </c>
      <c r="E3547" t="s">
        <v>14</v>
      </c>
      <c r="F3547">
        <v>57.04</v>
      </c>
      <c r="G3547" t="s">
        <v>20</v>
      </c>
      <c r="H3547" t="s">
        <v>12</v>
      </c>
    </row>
    <row r="3548" spans="1:8" x14ac:dyDescent="0.25">
      <c r="A3548" s="1">
        <v>45670.75</v>
      </c>
      <c r="B3548" t="s">
        <v>26</v>
      </c>
      <c r="C3548">
        <v>279.58999999999997</v>
      </c>
      <c r="D3548">
        <v>87.21</v>
      </c>
      <c r="E3548" t="s">
        <v>14</v>
      </c>
      <c r="F3548">
        <v>34.909999999999997</v>
      </c>
      <c r="G3548" t="s">
        <v>20</v>
      </c>
      <c r="H3548" t="s">
        <v>11</v>
      </c>
    </row>
    <row r="3549" spans="1:8" x14ac:dyDescent="0.25">
      <c r="A3549" s="1">
        <v>45670.791666666664</v>
      </c>
      <c r="B3549" t="s">
        <v>26</v>
      </c>
      <c r="C3549">
        <v>480.92</v>
      </c>
      <c r="D3549">
        <v>25.97</v>
      </c>
      <c r="E3549" t="s">
        <v>9</v>
      </c>
      <c r="F3549">
        <v>74.73</v>
      </c>
      <c r="G3549" t="s">
        <v>20</v>
      </c>
      <c r="H3549" t="s">
        <v>13</v>
      </c>
    </row>
    <row r="3550" spans="1:8" x14ac:dyDescent="0.25">
      <c r="A3550" s="1">
        <v>45670.833333333336</v>
      </c>
      <c r="B3550" t="s">
        <v>26</v>
      </c>
      <c r="C3550">
        <v>134.38999999999999</v>
      </c>
      <c r="D3550">
        <v>27.82</v>
      </c>
      <c r="E3550" t="s">
        <v>9</v>
      </c>
      <c r="F3550">
        <v>82.22</v>
      </c>
      <c r="G3550" t="s">
        <v>20</v>
      </c>
      <c r="H3550" t="s">
        <v>11</v>
      </c>
    </row>
    <row r="3551" spans="1:8" x14ac:dyDescent="0.25">
      <c r="A3551" s="1">
        <v>45670.875</v>
      </c>
      <c r="B3551" t="s">
        <v>26</v>
      </c>
      <c r="C3551">
        <v>88.36</v>
      </c>
      <c r="D3551">
        <v>57.31</v>
      </c>
      <c r="E3551" t="s">
        <v>9</v>
      </c>
      <c r="F3551">
        <v>83.3</v>
      </c>
      <c r="G3551" t="s">
        <v>20</v>
      </c>
      <c r="H3551" t="s">
        <v>11</v>
      </c>
    </row>
    <row r="3552" spans="1:8" x14ac:dyDescent="0.25">
      <c r="A3552" s="1">
        <v>45670.916666666664</v>
      </c>
      <c r="B3552" t="s">
        <v>26</v>
      </c>
      <c r="C3552">
        <v>265.66000000000003</v>
      </c>
      <c r="D3552">
        <v>37.270000000000003</v>
      </c>
      <c r="E3552" t="s">
        <v>9</v>
      </c>
      <c r="F3552">
        <v>51.8</v>
      </c>
      <c r="G3552" t="s">
        <v>20</v>
      </c>
      <c r="H3552" t="s">
        <v>11</v>
      </c>
    </row>
    <row r="3553" spans="1:8" x14ac:dyDescent="0.25">
      <c r="A3553" s="1">
        <v>45670.958333333336</v>
      </c>
      <c r="B3553" t="s">
        <v>26</v>
      </c>
      <c r="C3553">
        <v>196.07</v>
      </c>
      <c r="D3553">
        <v>22.86</v>
      </c>
      <c r="E3553" t="s">
        <v>9</v>
      </c>
      <c r="F3553">
        <v>55.02</v>
      </c>
      <c r="G3553" t="s">
        <v>20</v>
      </c>
      <c r="H3553" t="s">
        <v>11</v>
      </c>
    </row>
    <row r="3554" spans="1:8" x14ac:dyDescent="0.25">
      <c r="A3554" s="1">
        <v>45671</v>
      </c>
      <c r="B3554" t="s">
        <v>26</v>
      </c>
      <c r="C3554">
        <v>75.05</v>
      </c>
      <c r="D3554">
        <v>94.91</v>
      </c>
      <c r="E3554" t="s">
        <v>14</v>
      </c>
      <c r="F3554">
        <v>71.7</v>
      </c>
      <c r="G3554" t="s">
        <v>20</v>
      </c>
      <c r="H3554" t="s">
        <v>13</v>
      </c>
    </row>
    <row r="3555" spans="1:8" x14ac:dyDescent="0.25">
      <c r="A3555" s="1">
        <v>45671.041666666664</v>
      </c>
      <c r="B3555" t="s">
        <v>26</v>
      </c>
      <c r="C3555">
        <v>408.88</v>
      </c>
      <c r="D3555">
        <v>41.45</v>
      </c>
      <c r="E3555" t="s">
        <v>9</v>
      </c>
      <c r="F3555">
        <v>45.37</v>
      </c>
      <c r="G3555" t="s">
        <v>20</v>
      </c>
      <c r="H3555" t="s">
        <v>11</v>
      </c>
    </row>
    <row r="3556" spans="1:8" x14ac:dyDescent="0.25">
      <c r="A3556" s="1">
        <v>45671.083333333336</v>
      </c>
      <c r="B3556" t="s">
        <v>26</v>
      </c>
      <c r="C3556">
        <v>157.57</v>
      </c>
      <c r="D3556">
        <v>34.81</v>
      </c>
      <c r="E3556" t="s">
        <v>9</v>
      </c>
      <c r="F3556">
        <v>48.43</v>
      </c>
      <c r="G3556" t="s">
        <v>20</v>
      </c>
      <c r="H3556" t="s">
        <v>13</v>
      </c>
    </row>
    <row r="3557" spans="1:8" x14ac:dyDescent="0.25">
      <c r="A3557" s="1">
        <v>45671.125</v>
      </c>
      <c r="B3557" t="s">
        <v>26</v>
      </c>
      <c r="C3557">
        <v>153.79</v>
      </c>
      <c r="D3557">
        <v>20.91</v>
      </c>
      <c r="E3557" t="s">
        <v>9</v>
      </c>
      <c r="F3557">
        <v>48.83</v>
      </c>
      <c r="G3557" t="s">
        <v>20</v>
      </c>
      <c r="H3557" t="s">
        <v>11</v>
      </c>
    </row>
    <row r="3558" spans="1:8" x14ac:dyDescent="0.25">
      <c r="A3558" s="1">
        <v>45671.166666666664</v>
      </c>
      <c r="B3558" t="s">
        <v>26</v>
      </c>
      <c r="C3558">
        <v>400.59</v>
      </c>
      <c r="D3558">
        <v>54.57</v>
      </c>
      <c r="E3558" t="s">
        <v>9</v>
      </c>
      <c r="F3558">
        <v>51.83</v>
      </c>
      <c r="G3558" t="s">
        <v>20</v>
      </c>
      <c r="H3558" t="s">
        <v>11</v>
      </c>
    </row>
    <row r="3559" spans="1:8" x14ac:dyDescent="0.25">
      <c r="A3559" s="1">
        <v>45671.208333333336</v>
      </c>
      <c r="B3559" t="s">
        <v>26</v>
      </c>
      <c r="C3559">
        <v>224.78</v>
      </c>
      <c r="D3559">
        <v>91.76</v>
      </c>
      <c r="E3559" t="s">
        <v>14</v>
      </c>
      <c r="F3559">
        <v>76.09</v>
      </c>
      <c r="G3559" t="s">
        <v>20</v>
      </c>
      <c r="H3559" t="s">
        <v>12</v>
      </c>
    </row>
    <row r="3560" spans="1:8" x14ac:dyDescent="0.25">
      <c r="A3560" s="1">
        <v>45671.25</v>
      </c>
      <c r="B3560" t="s">
        <v>26</v>
      </c>
      <c r="C3560">
        <v>141.36000000000001</v>
      </c>
      <c r="D3560">
        <v>22.98</v>
      </c>
      <c r="E3560" t="s">
        <v>9</v>
      </c>
      <c r="F3560">
        <v>75.05</v>
      </c>
      <c r="G3560" t="s">
        <v>20</v>
      </c>
      <c r="H3560" t="s">
        <v>12</v>
      </c>
    </row>
    <row r="3561" spans="1:8" x14ac:dyDescent="0.25">
      <c r="A3561" s="1">
        <v>45671.291666666664</v>
      </c>
      <c r="B3561" t="s">
        <v>26</v>
      </c>
      <c r="C3561">
        <v>204.62</v>
      </c>
      <c r="D3561">
        <v>89.4</v>
      </c>
      <c r="E3561" t="s">
        <v>14</v>
      </c>
      <c r="F3561">
        <v>37.17</v>
      </c>
      <c r="G3561" t="s">
        <v>20</v>
      </c>
      <c r="H3561" t="s">
        <v>11</v>
      </c>
    </row>
    <row r="3562" spans="1:8" x14ac:dyDescent="0.25">
      <c r="A3562" s="1">
        <v>45671.333333333336</v>
      </c>
      <c r="B3562" t="s">
        <v>26</v>
      </c>
      <c r="C3562">
        <v>387.99</v>
      </c>
      <c r="D3562">
        <v>77.069999999999993</v>
      </c>
      <c r="E3562" t="s">
        <v>9</v>
      </c>
      <c r="F3562">
        <v>87.38</v>
      </c>
      <c r="G3562" t="s">
        <v>20</v>
      </c>
      <c r="H3562" t="s">
        <v>12</v>
      </c>
    </row>
    <row r="3563" spans="1:8" x14ac:dyDescent="0.25">
      <c r="A3563" s="1">
        <v>45671.375</v>
      </c>
      <c r="B3563" t="s">
        <v>26</v>
      </c>
      <c r="C3563">
        <v>246.29</v>
      </c>
      <c r="D3563">
        <v>34.75</v>
      </c>
      <c r="E3563" t="s">
        <v>9</v>
      </c>
      <c r="F3563">
        <v>33.56</v>
      </c>
      <c r="G3563" t="s">
        <v>20</v>
      </c>
      <c r="H3563" t="s">
        <v>12</v>
      </c>
    </row>
    <row r="3564" spans="1:8" x14ac:dyDescent="0.25">
      <c r="A3564" s="1">
        <v>45671.416666666664</v>
      </c>
      <c r="B3564" t="s">
        <v>26</v>
      </c>
      <c r="C3564">
        <v>466.95</v>
      </c>
      <c r="D3564">
        <v>19.11</v>
      </c>
      <c r="E3564" t="s">
        <v>9</v>
      </c>
      <c r="F3564">
        <v>67.67</v>
      </c>
      <c r="G3564" t="s">
        <v>20</v>
      </c>
      <c r="H3564" t="s">
        <v>12</v>
      </c>
    </row>
    <row r="3565" spans="1:8" x14ac:dyDescent="0.25">
      <c r="A3565" s="1">
        <v>45671.458333333336</v>
      </c>
      <c r="B3565" t="s">
        <v>26</v>
      </c>
      <c r="C3565">
        <v>476.31</v>
      </c>
      <c r="D3565">
        <v>22.14</v>
      </c>
      <c r="E3565" t="s">
        <v>9</v>
      </c>
      <c r="F3565">
        <v>50.18</v>
      </c>
      <c r="G3565" t="s">
        <v>20</v>
      </c>
      <c r="H3565" t="s">
        <v>11</v>
      </c>
    </row>
    <row r="3566" spans="1:8" x14ac:dyDescent="0.25">
      <c r="A3566" s="1">
        <v>45671.5</v>
      </c>
      <c r="B3566" t="s">
        <v>26</v>
      </c>
      <c r="C3566">
        <v>55.48</v>
      </c>
      <c r="D3566">
        <v>65.05</v>
      </c>
      <c r="E3566" t="s">
        <v>9</v>
      </c>
      <c r="F3566">
        <v>51.54</v>
      </c>
      <c r="G3566" t="s">
        <v>20</v>
      </c>
      <c r="H3566" t="s">
        <v>11</v>
      </c>
    </row>
    <row r="3567" spans="1:8" x14ac:dyDescent="0.25">
      <c r="A3567" s="1">
        <v>45671.541666666664</v>
      </c>
      <c r="B3567" t="s">
        <v>26</v>
      </c>
      <c r="C3567">
        <v>323.89999999999998</v>
      </c>
      <c r="D3567">
        <v>17.2</v>
      </c>
      <c r="E3567" t="s">
        <v>9</v>
      </c>
      <c r="F3567">
        <v>36.82</v>
      </c>
      <c r="G3567" t="s">
        <v>20</v>
      </c>
      <c r="H3567" t="s">
        <v>12</v>
      </c>
    </row>
    <row r="3568" spans="1:8" x14ac:dyDescent="0.25">
      <c r="A3568" s="1">
        <v>45671.583333333336</v>
      </c>
      <c r="B3568" t="s">
        <v>26</v>
      </c>
      <c r="C3568">
        <v>194</v>
      </c>
      <c r="D3568">
        <v>41.05</v>
      </c>
      <c r="E3568" t="s">
        <v>9</v>
      </c>
      <c r="F3568">
        <v>80.39</v>
      </c>
      <c r="G3568" t="s">
        <v>20</v>
      </c>
      <c r="H3568" t="s">
        <v>11</v>
      </c>
    </row>
    <row r="3569" spans="1:8" x14ac:dyDescent="0.25">
      <c r="A3569" s="1">
        <v>45671.625</v>
      </c>
      <c r="B3569" t="s">
        <v>26</v>
      </c>
      <c r="C3569">
        <v>369.58</v>
      </c>
      <c r="D3569">
        <v>65.52</v>
      </c>
      <c r="E3569" t="s">
        <v>9</v>
      </c>
      <c r="F3569">
        <v>86.77</v>
      </c>
      <c r="G3569" t="s">
        <v>20</v>
      </c>
      <c r="H3569" t="s">
        <v>11</v>
      </c>
    </row>
    <row r="3570" spans="1:8" x14ac:dyDescent="0.25">
      <c r="A3570" s="1">
        <v>45671.666666666664</v>
      </c>
      <c r="B3570" t="s">
        <v>26</v>
      </c>
      <c r="C3570">
        <v>187.62</v>
      </c>
      <c r="D3570">
        <v>89.44</v>
      </c>
      <c r="E3570" t="s">
        <v>14</v>
      </c>
      <c r="F3570">
        <v>43.15</v>
      </c>
      <c r="G3570" t="s">
        <v>20</v>
      </c>
      <c r="H3570" t="s">
        <v>11</v>
      </c>
    </row>
    <row r="3571" spans="1:8" x14ac:dyDescent="0.25">
      <c r="A3571" s="1">
        <v>45671.708333333336</v>
      </c>
      <c r="B3571" t="s">
        <v>26</v>
      </c>
      <c r="C3571">
        <v>348.07</v>
      </c>
      <c r="D3571">
        <v>66.56</v>
      </c>
      <c r="E3571" t="s">
        <v>9</v>
      </c>
      <c r="F3571">
        <v>33.5</v>
      </c>
      <c r="G3571" t="s">
        <v>20</v>
      </c>
      <c r="H3571" t="s">
        <v>11</v>
      </c>
    </row>
    <row r="3572" spans="1:8" x14ac:dyDescent="0.25">
      <c r="A3572" s="1">
        <v>45671.75</v>
      </c>
      <c r="B3572" t="s">
        <v>26</v>
      </c>
      <c r="C3572">
        <v>94.76</v>
      </c>
      <c r="D3572">
        <v>67.39</v>
      </c>
      <c r="E3572" t="s">
        <v>9</v>
      </c>
      <c r="F3572">
        <v>63.93</v>
      </c>
      <c r="G3572" t="s">
        <v>20</v>
      </c>
      <c r="H3572" t="s">
        <v>13</v>
      </c>
    </row>
    <row r="3573" spans="1:8" x14ac:dyDescent="0.25">
      <c r="A3573" s="1">
        <v>45671.791666666664</v>
      </c>
      <c r="B3573" t="s">
        <v>26</v>
      </c>
      <c r="C3573">
        <v>392.92</v>
      </c>
      <c r="D3573">
        <v>56.48</v>
      </c>
      <c r="E3573" t="s">
        <v>9</v>
      </c>
      <c r="F3573">
        <v>30.79</v>
      </c>
      <c r="G3573" t="s">
        <v>20</v>
      </c>
      <c r="H3573" t="s">
        <v>11</v>
      </c>
    </row>
    <row r="3574" spans="1:8" x14ac:dyDescent="0.25">
      <c r="A3574" s="1">
        <v>45671.833333333336</v>
      </c>
      <c r="B3574" t="s">
        <v>26</v>
      </c>
      <c r="C3574">
        <v>274.68</v>
      </c>
      <c r="D3574">
        <v>39.270000000000003</v>
      </c>
      <c r="E3574" t="s">
        <v>9</v>
      </c>
      <c r="F3574">
        <v>85.29</v>
      </c>
      <c r="G3574" t="s">
        <v>20</v>
      </c>
      <c r="H3574" t="s">
        <v>11</v>
      </c>
    </row>
    <row r="3575" spans="1:8" x14ac:dyDescent="0.25">
      <c r="A3575" s="1">
        <v>45671.875</v>
      </c>
      <c r="B3575" t="s">
        <v>26</v>
      </c>
      <c r="C3575">
        <v>150.76</v>
      </c>
      <c r="D3575">
        <v>51.08</v>
      </c>
      <c r="E3575" t="s">
        <v>9</v>
      </c>
      <c r="F3575">
        <v>36.880000000000003</v>
      </c>
      <c r="G3575" t="s">
        <v>20</v>
      </c>
      <c r="H3575" t="s">
        <v>12</v>
      </c>
    </row>
    <row r="3576" spans="1:8" x14ac:dyDescent="0.25">
      <c r="A3576" s="1">
        <v>45671.916666666664</v>
      </c>
      <c r="B3576" t="s">
        <v>26</v>
      </c>
      <c r="C3576">
        <v>166.65</v>
      </c>
      <c r="D3576">
        <v>39.04</v>
      </c>
      <c r="E3576" t="s">
        <v>9</v>
      </c>
      <c r="F3576">
        <v>71.260000000000005</v>
      </c>
      <c r="G3576" t="s">
        <v>20</v>
      </c>
      <c r="H3576" t="s">
        <v>13</v>
      </c>
    </row>
    <row r="3577" spans="1:8" x14ac:dyDescent="0.25">
      <c r="A3577" s="1">
        <v>45671.958333333336</v>
      </c>
      <c r="B3577" t="s">
        <v>26</v>
      </c>
      <c r="C3577">
        <v>54.3</v>
      </c>
      <c r="D3577">
        <v>78.64</v>
      </c>
      <c r="E3577" t="s">
        <v>9</v>
      </c>
      <c r="F3577">
        <v>64.290000000000006</v>
      </c>
      <c r="G3577" t="s">
        <v>20</v>
      </c>
      <c r="H3577" t="s">
        <v>11</v>
      </c>
    </row>
    <row r="3578" spans="1:8" x14ac:dyDescent="0.25">
      <c r="A3578" s="1">
        <v>45672</v>
      </c>
      <c r="B3578" t="s">
        <v>26</v>
      </c>
      <c r="C3578">
        <v>315.25</v>
      </c>
      <c r="D3578">
        <v>18.48</v>
      </c>
      <c r="E3578" t="s">
        <v>9</v>
      </c>
      <c r="F3578">
        <v>33.04</v>
      </c>
      <c r="G3578" t="s">
        <v>20</v>
      </c>
      <c r="H3578" t="s">
        <v>12</v>
      </c>
    </row>
    <row r="3579" spans="1:8" x14ac:dyDescent="0.25">
      <c r="A3579" s="1">
        <v>45672.041666666664</v>
      </c>
      <c r="B3579" t="s">
        <v>26</v>
      </c>
      <c r="C3579">
        <v>188.26</v>
      </c>
      <c r="D3579">
        <v>44.13</v>
      </c>
      <c r="E3579" t="s">
        <v>9</v>
      </c>
      <c r="F3579">
        <v>34.94</v>
      </c>
      <c r="G3579" t="s">
        <v>20</v>
      </c>
      <c r="H3579" t="s">
        <v>12</v>
      </c>
    </row>
    <row r="3580" spans="1:8" x14ac:dyDescent="0.25">
      <c r="A3580" s="1">
        <v>45672.083333333336</v>
      </c>
      <c r="B3580" t="s">
        <v>26</v>
      </c>
      <c r="C3580">
        <v>270.32</v>
      </c>
      <c r="D3580">
        <v>92.34</v>
      </c>
      <c r="E3580" t="s">
        <v>14</v>
      </c>
      <c r="F3580">
        <v>87</v>
      </c>
      <c r="G3580" t="s">
        <v>20</v>
      </c>
      <c r="H3580" t="s">
        <v>11</v>
      </c>
    </row>
    <row r="3581" spans="1:8" x14ac:dyDescent="0.25">
      <c r="A3581" s="1">
        <v>45672.125</v>
      </c>
      <c r="B3581" t="s">
        <v>26</v>
      </c>
      <c r="C3581">
        <v>459.3</v>
      </c>
      <c r="D3581">
        <v>31.6</v>
      </c>
      <c r="E3581" t="s">
        <v>9</v>
      </c>
      <c r="F3581">
        <v>79.86</v>
      </c>
      <c r="G3581" t="s">
        <v>20</v>
      </c>
      <c r="H3581" t="s">
        <v>13</v>
      </c>
    </row>
    <row r="3582" spans="1:8" x14ac:dyDescent="0.25">
      <c r="A3582" s="1">
        <v>45672.166666666664</v>
      </c>
      <c r="B3582" t="s">
        <v>26</v>
      </c>
      <c r="C3582">
        <v>144.91</v>
      </c>
      <c r="D3582">
        <v>75.88</v>
      </c>
      <c r="E3582" t="s">
        <v>9</v>
      </c>
      <c r="F3582">
        <v>72.400000000000006</v>
      </c>
      <c r="G3582" t="s">
        <v>20</v>
      </c>
      <c r="H3582" t="s">
        <v>11</v>
      </c>
    </row>
    <row r="3583" spans="1:8" x14ac:dyDescent="0.25">
      <c r="A3583" s="1">
        <v>45672.208333333336</v>
      </c>
      <c r="B3583" t="s">
        <v>26</v>
      </c>
      <c r="C3583">
        <v>318.83</v>
      </c>
      <c r="D3583">
        <v>69.62</v>
      </c>
      <c r="E3583" t="s">
        <v>9</v>
      </c>
      <c r="F3583">
        <v>43.22</v>
      </c>
      <c r="G3583" t="s">
        <v>20</v>
      </c>
      <c r="H3583" t="s">
        <v>12</v>
      </c>
    </row>
    <row r="3584" spans="1:8" x14ac:dyDescent="0.25">
      <c r="A3584" s="1">
        <v>45672.25</v>
      </c>
      <c r="B3584" t="s">
        <v>26</v>
      </c>
      <c r="C3584">
        <v>459.26</v>
      </c>
      <c r="D3584">
        <v>49.17</v>
      </c>
      <c r="E3584" t="s">
        <v>9</v>
      </c>
      <c r="F3584">
        <v>35.659999999999997</v>
      </c>
      <c r="G3584" t="s">
        <v>20</v>
      </c>
      <c r="H3584" t="s">
        <v>11</v>
      </c>
    </row>
    <row r="3585" spans="1:8" x14ac:dyDescent="0.25">
      <c r="A3585" s="1">
        <v>45672.291666666664</v>
      </c>
      <c r="B3585" t="s">
        <v>26</v>
      </c>
      <c r="C3585">
        <v>109.89</v>
      </c>
      <c r="D3585">
        <v>90.19</v>
      </c>
      <c r="E3585" t="s">
        <v>14</v>
      </c>
      <c r="F3585">
        <v>75.03</v>
      </c>
      <c r="G3585" t="s">
        <v>20</v>
      </c>
      <c r="H3585" t="s">
        <v>12</v>
      </c>
    </row>
    <row r="3586" spans="1:8" x14ac:dyDescent="0.25">
      <c r="A3586" s="1">
        <v>45672.333333333336</v>
      </c>
      <c r="B3586" t="s">
        <v>26</v>
      </c>
      <c r="C3586">
        <v>292.77999999999997</v>
      </c>
      <c r="D3586">
        <v>55.15</v>
      </c>
      <c r="E3586" t="s">
        <v>9</v>
      </c>
      <c r="F3586">
        <v>36.020000000000003</v>
      </c>
      <c r="G3586" t="s">
        <v>20</v>
      </c>
      <c r="H3586" t="s">
        <v>12</v>
      </c>
    </row>
    <row r="3587" spans="1:8" x14ac:dyDescent="0.25">
      <c r="A3587" s="1">
        <v>45672.375</v>
      </c>
      <c r="B3587" t="s">
        <v>26</v>
      </c>
      <c r="C3587">
        <v>88.14</v>
      </c>
      <c r="D3587">
        <v>51.64</v>
      </c>
      <c r="E3587" t="s">
        <v>9</v>
      </c>
      <c r="F3587">
        <v>80.569999999999993</v>
      </c>
      <c r="G3587" t="s">
        <v>20</v>
      </c>
      <c r="H3587" t="s">
        <v>13</v>
      </c>
    </row>
    <row r="3588" spans="1:8" x14ac:dyDescent="0.25">
      <c r="A3588" s="1">
        <v>45672.416666666664</v>
      </c>
      <c r="B3588" t="s">
        <v>26</v>
      </c>
      <c r="C3588">
        <v>394.19</v>
      </c>
      <c r="D3588">
        <v>28.85</v>
      </c>
      <c r="E3588" t="s">
        <v>9</v>
      </c>
      <c r="F3588">
        <v>70.42</v>
      </c>
      <c r="G3588" t="s">
        <v>20</v>
      </c>
      <c r="H3588" t="s">
        <v>11</v>
      </c>
    </row>
    <row r="3589" spans="1:8" x14ac:dyDescent="0.25">
      <c r="A3589" s="1">
        <v>45672.458333333336</v>
      </c>
      <c r="B3589" t="s">
        <v>26</v>
      </c>
      <c r="C3589">
        <v>195.77</v>
      </c>
      <c r="D3589">
        <v>86.94</v>
      </c>
      <c r="E3589" t="s">
        <v>14</v>
      </c>
      <c r="F3589">
        <v>60.33</v>
      </c>
      <c r="G3589" t="s">
        <v>20</v>
      </c>
      <c r="H3589" t="s">
        <v>11</v>
      </c>
    </row>
    <row r="3590" spans="1:8" x14ac:dyDescent="0.25">
      <c r="A3590" s="1">
        <v>45672.5</v>
      </c>
      <c r="B3590" t="s">
        <v>26</v>
      </c>
      <c r="C3590">
        <v>136.5</v>
      </c>
      <c r="D3590">
        <v>50.45</v>
      </c>
      <c r="E3590" t="s">
        <v>9</v>
      </c>
      <c r="F3590">
        <v>39.43</v>
      </c>
      <c r="G3590" t="s">
        <v>20</v>
      </c>
      <c r="H3590" t="s">
        <v>11</v>
      </c>
    </row>
    <row r="3591" spans="1:8" x14ac:dyDescent="0.25">
      <c r="A3591" s="1">
        <v>45672.541666666664</v>
      </c>
      <c r="B3591" t="s">
        <v>26</v>
      </c>
      <c r="C3591">
        <v>408.54</v>
      </c>
      <c r="D3591">
        <v>74.88</v>
      </c>
      <c r="E3591" t="s">
        <v>9</v>
      </c>
      <c r="F3591">
        <v>34.770000000000003</v>
      </c>
      <c r="G3591" t="s">
        <v>20</v>
      </c>
      <c r="H3591" t="s">
        <v>12</v>
      </c>
    </row>
    <row r="3592" spans="1:8" x14ac:dyDescent="0.25">
      <c r="A3592" s="1">
        <v>45672.583333333336</v>
      </c>
      <c r="B3592" t="s">
        <v>26</v>
      </c>
      <c r="C3592">
        <v>151.41</v>
      </c>
      <c r="D3592">
        <v>67.569999999999993</v>
      </c>
      <c r="E3592" t="s">
        <v>9</v>
      </c>
      <c r="F3592">
        <v>58.13</v>
      </c>
      <c r="G3592" t="s">
        <v>20</v>
      </c>
      <c r="H3592" t="s">
        <v>13</v>
      </c>
    </row>
    <row r="3593" spans="1:8" x14ac:dyDescent="0.25">
      <c r="A3593" s="1">
        <v>45672.625</v>
      </c>
      <c r="B3593" t="s">
        <v>26</v>
      </c>
      <c r="C3593">
        <v>362.27</v>
      </c>
      <c r="D3593">
        <v>83.66</v>
      </c>
      <c r="E3593" t="s">
        <v>9</v>
      </c>
      <c r="F3593">
        <v>52.83</v>
      </c>
      <c r="G3593" t="s">
        <v>20</v>
      </c>
      <c r="H3593" t="s">
        <v>11</v>
      </c>
    </row>
    <row r="3594" spans="1:8" x14ac:dyDescent="0.25">
      <c r="A3594" s="1">
        <v>45672.666666666664</v>
      </c>
      <c r="B3594" t="s">
        <v>26</v>
      </c>
      <c r="C3594">
        <v>110.92</v>
      </c>
      <c r="D3594">
        <v>44.29</v>
      </c>
      <c r="E3594" t="s">
        <v>9</v>
      </c>
      <c r="F3594">
        <v>78.62</v>
      </c>
      <c r="G3594" t="s">
        <v>20</v>
      </c>
      <c r="H3594" t="s">
        <v>13</v>
      </c>
    </row>
    <row r="3595" spans="1:8" x14ac:dyDescent="0.25">
      <c r="A3595" s="1">
        <v>45672.708333333336</v>
      </c>
      <c r="B3595" t="s">
        <v>26</v>
      </c>
      <c r="C3595">
        <v>486.35</v>
      </c>
      <c r="D3595">
        <v>37.090000000000003</v>
      </c>
      <c r="E3595" t="s">
        <v>9</v>
      </c>
      <c r="F3595">
        <v>38.18</v>
      </c>
      <c r="G3595" t="s">
        <v>20</v>
      </c>
      <c r="H3595" t="s">
        <v>11</v>
      </c>
    </row>
    <row r="3596" spans="1:8" x14ac:dyDescent="0.25">
      <c r="A3596" s="1">
        <v>45672.75</v>
      </c>
      <c r="B3596" t="s">
        <v>26</v>
      </c>
      <c r="C3596">
        <v>282.86</v>
      </c>
      <c r="D3596">
        <v>82.31</v>
      </c>
      <c r="E3596" t="s">
        <v>9</v>
      </c>
      <c r="F3596">
        <v>56.18</v>
      </c>
      <c r="G3596" t="s">
        <v>20</v>
      </c>
      <c r="H3596" t="s">
        <v>13</v>
      </c>
    </row>
    <row r="3597" spans="1:8" x14ac:dyDescent="0.25">
      <c r="A3597" s="1">
        <v>45672.791666666664</v>
      </c>
      <c r="B3597" t="s">
        <v>26</v>
      </c>
      <c r="C3597">
        <v>118.89</v>
      </c>
      <c r="D3597">
        <v>92.86</v>
      </c>
      <c r="E3597" t="s">
        <v>14</v>
      </c>
      <c r="F3597">
        <v>51.86</v>
      </c>
      <c r="G3597" t="s">
        <v>20</v>
      </c>
      <c r="H3597" t="s">
        <v>12</v>
      </c>
    </row>
    <row r="3598" spans="1:8" x14ac:dyDescent="0.25">
      <c r="A3598" s="1">
        <v>45672.833333333336</v>
      </c>
      <c r="B3598" t="s">
        <v>26</v>
      </c>
      <c r="C3598">
        <v>323.48</v>
      </c>
      <c r="D3598">
        <v>60.66</v>
      </c>
      <c r="E3598" t="s">
        <v>9</v>
      </c>
      <c r="F3598">
        <v>53.81</v>
      </c>
      <c r="G3598" t="s">
        <v>20</v>
      </c>
      <c r="H3598" t="s">
        <v>12</v>
      </c>
    </row>
    <row r="3599" spans="1:8" x14ac:dyDescent="0.25">
      <c r="A3599" s="1">
        <v>45672.875</v>
      </c>
      <c r="B3599" t="s">
        <v>26</v>
      </c>
      <c r="C3599">
        <v>497.6</v>
      </c>
      <c r="D3599">
        <v>67.39</v>
      </c>
      <c r="E3599" t="s">
        <v>9</v>
      </c>
      <c r="F3599">
        <v>77.64</v>
      </c>
      <c r="G3599" t="s">
        <v>20</v>
      </c>
      <c r="H3599" t="s">
        <v>13</v>
      </c>
    </row>
    <row r="3600" spans="1:8" x14ac:dyDescent="0.25">
      <c r="A3600" s="1">
        <v>45672.916666666664</v>
      </c>
      <c r="B3600" t="s">
        <v>26</v>
      </c>
      <c r="C3600">
        <v>257.93</v>
      </c>
      <c r="D3600">
        <v>28.98</v>
      </c>
      <c r="E3600" t="s">
        <v>9</v>
      </c>
      <c r="F3600">
        <v>48.34</v>
      </c>
      <c r="G3600" t="s">
        <v>20</v>
      </c>
      <c r="H3600" t="s">
        <v>13</v>
      </c>
    </row>
    <row r="3601" spans="1:8" x14ac:dyDescent="0.25">
      <c r="A3601" s="1">
        <v>45672.958333333336</v>
      </c>
      <c r="B3601" t="s">
        <v>26</v>
      </c>
      <c r="C3601">
        <v>355.94</v>
      </c>
      <c r="D3601">
        <v>94.8</v>
      </c>
      <c r="E3601" t="s">
        <v>14</v>
      </c>
      <c r="F3601">
        <v>69.97</v>
      </c>
      <c r="G3601" t="s">
        <v>20</v>
      </c>
      <c r="H3601" t="s">
        <v>12</v>
      </c>
    </row>
    <row r="3602" spans="1:8" x14ac:dyDescent="0.25">
      <c r="A3602" s="1">
        <v>45658</v>
      </c>
      <c r="B3602" t="s">
        <v>27</v>
      </c>
      <c r="C3602">
        <v>282.58</v>
      </c>
      <c r="D3602">
        <v>86.04</v>
      </c>
      <c r="E3602" t="s">
        <v>14</v>
      </c>
      <c r="F3602">
        <v>89.37</v>
      </c>
      <c r="G3602" t="s">
        <v>20</v>
      </c>
      <c r="H3602" t="s">
        <v>13</v>
      </c>
    </row>
    <row r="3603" spans="1:8" x14ac:dyDescent="0.25">
      <c r="A3603" s="1">
        <v>45658.041666666664</v>
      </c>
      <c r="B3603" t="s">
        <v>27</v>
      </c>
      <c r="C3603">
        <v>349.81</v>
      </c>
      <c r="D3603">
        <v>92.37</v>
      </c>
      <c r="E3603" t="s">
        <v>14</v>
      </c>
      <c r="F3603">
        <v>55.54</v>
      </c>
      <c r="G3603" t="s">
        <v>20</v>
      </c>
      <c r="H3603" t="s">
        <v>12</v>
      </c>
    </row>
    <row r="3604" spans="1:8" x14ac:dyDescent="0.25">
      <c r="A3604" s="1">
        <v>45658.083333333336</v>
      </c>
      <c r="B3604" t="s">
        <v>27</v>
      </c>
      <c r="C3604">
        <v>217.7</v>
      </c>
      <c r="D3604">
        <v>73.400000000000006</v>
      </c>
      <c r="E3604" t="s">
        <v>9</v>
      </c>
      <c r="F3604">
        <v>54.33</v>
      </c>
      <c r="G3604" t="s">
        <v>20</v>
      </c>
      <c r="H3604" t="s">
        <v>11</v>
      </c>
    </row>
    <row r="3605" spans="1:8" x14ac:dyDescent="0.25">
      <c r="A3605" s="1">
        <v>45658.125</v>
      </c>
      <c r="B3605" t="s">
        <v>27</v>
      </c>
      <c r="C3605">
        <v>146.62</v>
      </c>
      <c r="D3605">
        <v>46.8</v>
      </c>
      <c r="E3605" t="s">
        <v>9</v>
      </c>
      <c r="F3605">
        <v>88.89</v>
      </c>
      <c r="G3605" t="s">
        <v>20</v>
      </c>
      <c r="H3605" t="s">
        <v>13</v>
      </c>
    </row>
    <row r="3606" spans="1:8" x14ac:dyDescent="0.25">
      <c r="A3606" s="1">
        <v>45658.166666666664</v>
      </c>
      <c r="B3606" t="s">
        <v>27</v>
      </c>
      <c r="C3606">
        <v>89.71</v>
      </c>
      <c r="D3606">
        <v>47.28</v>
      </c>
      <c r="E3606" t="s">
        <v>9</v>
      </c>
      <c r="F3606">
        <v>62.75</v>
      </c>
      <c r="G3606" t="s">
        <v>20</v>
      </c>
      <c r="H3606" t="s">
        <v>11</v>
      </c>
    </row>
    <row r="3607" spans="1:8" x14ac:dyDescent="0.25">
      <c r="A3607" s="1">
        <v>45658.208333333336</v>
      </c>
      <c r="B3607" t="s">
        <v>27</v>
      </c>
      <c r="C3607">
        <v>410.23</v>
      </c>
      <c r="D3607">
        <v>53.58</v>
      </c>
      <c r="E3607" t="s">
        <v>9</v>
      </c>
      <c r="F3607">
        <v>78.33</v>
      </c>
      <c r="G3607" t="s">
        <v>20</v>
      </c>
      <c r="H3607" t="s">
        <v>12</v>
      </c>
    </row>
    <row r="3608" spans="1:8" x14ac:dyDescent="0.25">
      <c r="A3608" s="1">
        <v>45658.25</v>
      </c>
      <c r="B3608" t="s">
        <v>27</v>
      </c>
      <c r="C3608">
        <v>499.71</v>
      </c>
      <c r="D3608">
        <v>49.3</v>
      </c>
      <c r="E3608" t="s">
        <v>9</v>
      </c>
      <c r="F3608">
        <v>38.96</v>
      </c>
      <c r="G3608" t="s">
        <v>20</v>
      </c>
      <c r="H3608" t="s">
        <v>11</v>
      </c>
    </row>
    <row r="3609" spans="1:8" x14ac:dyDescent="0.25">
      <c r="A3609" s="1">
        <v>45658.291666666664</v>
      </c>
      <c r="B3609" t="s">
        <v>27</v>
      </c>
      <c r="C3609">
        <v>204.31</v>
      </c>
      <c r="D3609">
        <v>19.739999999999998</v>
      </c>
      <c r="E3609" t="s">
        <v>9</v>
      </c>
      <c r="F3609">
        <v>49.91</v>
      </c>
      <c r="G3609" t="s">
        <v>20</v>
      </c>
      <c r="H3609" t="s">
        <v>12</v>
      </c>
    </row>
    <row r="3610" spans="1:8" x14ac:dyDescent="0.25">
      <c r="A3610" s="1">
        <v>45658.333333333336</v>
      </c>
      <c r="B3610" t="s">
        <v>27</v>
      </c>
      <c r="C3610">
        <v>479.97</v>
      </c>
      <c r="D3610">
        <v>39.380000000000003</v>
      </c>
      <c r="E3610" t="s">
        <v>9</v>
      </c>
      <c r="F3610">
        <v>84.15</v>
      </c>
      <c r="G3610" t="s">
        <v>20</v>
      </c>
      <c r="H3610" t="s">
        <v>12</v>
      </c>
    </row>
    <row r="3611" spans="1:8" x14ac:dyDescent="0.25">
      <c r="A3611" s="1">
        <v>45658.375</v>
      </c>
      <c r="B3611" t="s">
        <v>27</v>
      </c>
      <c r="C3611">
        <v>416.76</v>
      </c>
      <c r="D3611">
        <v>60.66</v>
      </c>
      <c r="E3611" t="s">
        <v>9</v>
      </c>
      <c r="F3611">
        <v>30.28</v>
      </c>
      <c r="G3611" t="s">
        <v>20</v>
      </c>
      <c r="H3611" t="s">
        <v>12</v>
      </c>
    </row>
    <row r="3612" spans="1:8" x14ac:dyDescent="0.25">
      <c r="A3612" s="1">
        <v>45658.416666666664</v>
      </c>
      <c r="B3612" t="s">
        <v>27</v>
      </c>
      <c r="C3612">
        <v>69.95</v>
      </c>
      <c r="D3612">
        <v>31.91</v>
      </c>
      <c r="E3612" t="s">
        <v>9</v>
      </c>
      <c r="F3612">
        <v>57.34</v>
      </c>
      <c r="G3612" t="s">
        <v>20</v>
      </c>
      <c r="H3612" t="s">
        <v>12</v>
      </c>
    </row>
    <row r="3613" spans="1:8" x14ac:dyDescent="0.25">
      <c r="A3613" s="1">
        <v>45658.458333333336</v>
      </c>
      <c r="B3613" t="s">
        <v>27</v>
      </c>
      <c r="C3613">
        <v>470.22</v>
      </c>
      <c r="D3613">
        <v>29.8</v>
      </c>
      <c r="E3613" t="s">
        <v>9</v>
      </c>
      <c r="F3613">
        <v>80.63</v>
      </c>
      <c r="G3613" t="s">
        <v>20</v>
      </c>
      <c r="H3613" t="s">
        <v>12</v>
      </c>
    </row>
    <row r="3614" spans="1:8" x14ac:dyDescent="0.25">
      <c r="A3614" s="1">
        <v>45658.5</v>
      </c>
      <c r="B3614" t="s">
        <v>27</v>
      </c>
      <c r="C3614">
        <v>452.51</v>
      </c>
      <c r="D3614">
        <v>37.72</v>
      </c>
      <c r="E3614" t="s">
        <v>9</v>
      </c>
      <c r="F3614">
        <v>73.87</v>
      </c>
      <c r="G3614" t="s">
        <v>20</v>
      </c>
      <c r="H3614" t="s">
        <v>12</v>
      </c>
    </row>
    <row r="3615" spans="1:8" x14ac:dyDescent="0.25">
      <c r="A3615" s="1">
        <v>45658.541666666664</v>
      </c>
      <c r="B3615" t="s">
        <v>27</v>
      </c>
      <c r="C3615">
        <v>483.42</v>
      </c>
      <c r="D3615">
        <v>54.37</v>
      </c>
      <c r="E3615" t="s">
        <v>9</v>
      </c>
      <c r="F3615">
        <v>66.95</v>
      </c>
      <c r="G3615" t="s">
        <v>20</v>
      </c>
      <c r="H3615" t="s">
        <v>13</v>
      </c>
    </row>
    <row r="3616" spans="1:8" x14ac:dyDescent="0.25">
      <c r="A3616" s="1">
        <v>45658.583333333336</v>
      </c>
      <c r="B3616" t="s">
        <v>27</v>
      </c>
      <c r="C3616">
        <v>172.35</v>
      </c>
      <c r="D3616">
        <v>90.01</v>
      </c>
      <c r="E3616" t="s">
        <v>14</v>
      </c>
      <c r="F3616">
        <v>69.94</v>
      </c>
      <c r="G3616" t="s">
        <v>20</v>
      </c>
      <c r="H3616" t="s">
        <v>13</v>
      </c>
    </row>
    <row r="3617" spans="1:8" x14ac:dyDescent="0.25">
      <c r="A3617" s="1">
        <v>45658.625</v>
      </c>
      <c r="B3617" t="s">
        <v>27</v>
      </c>
      <c r="C3617">
        <v>434.96</v>
      </c>
      <c r="D3617">
        <v>18.07</v>
      </c>
      <c r="E3617" t="s">
        <v>9</v>
      </c>
      <c r="F3617">
        <v>82.92</v>
      </c>
      <c r="G3617" t="s">
        <v>20</v>
      </c>
      <c r="H3617" t="s">
        <v>11</v>
      </c>
    </row>
    <row r="3618" spans="1:8" x14ac:dyDescent="0.25">
      <c r="A3618" s="1">
        <v>45658.666666666664</v>
      </c>
      <c r="B3618" t="s">
        <v>27</v>
      </c>
      <c r="C3618">
        <v>378.8</v>
      </c>
      <c r="D3618">
        <v>21.2</v>
      </c>
      <c r="E3618" t="s">
        <v>9</v>
      </c>
      <c r="F3618">
        <v>51.04</v>
      </c>
      <c r="G3618" t="s">
        <v>20</v>
      </c>
      <c r="H3618" t="s">
        <v>11</v>
      </c>
    </row>
    <row r="3619" spans="1:8" x14ac:dyDescent="0.25">
      <c r="A3619" s="1">
        <v>45658.708333333336</v>
      </c>
      <c r="B3619" t="s">
        <v>27</v>
      </c>
      <c r="C3619">
        <v>497.38</v>
      </c>
      <c r="D3619">
        <v>23</v>
      </c>
      <c r="E3619" t="s">
        <v>9</v>
      </c>
      <c r="F3619">
        <v>65.41</v>
      </c>
      <c r="G3619" t="s">
        <v>20</v>
      </c>
      <c r="H3619" t="s">
        <v>12</v>
      </c>
    </row>
    <row r="3620" spans="1:8" x14ac:dyDescent="0.25">
      <c r="A3620" s="1">
        <v>45658.75</v>
      </c>
      <c r="B3620" t="s">
        <v>27</v>
      </c>
      <c r="C3620">
        <v>159.94</v>
      </c>
      <c r="D3620">
        <v>87.31</v>
      </c>
      <c r="E3620" t="s">
        <v>14</v>
      </c>
      <c r="F3620">
        <v>73.55</v>
      </c>
      <c r="G3620" t="s">
        <v>20</v>
      </c>
      <c r="H3620" t="s">
        <v>12</v>
      </c>
    </row>
    <row r="3621" spans="1:8" x14ac:dyDescent="0.25">
      <c r="A3621" s="1">
        <v>45658.791666666664</v>
      </c>
      <c r="B3621" t="s">
        <v>27</v>
      </c>
      <c r="C3621">
        <v>102.57</v>
      </c>
      <c r="D3621">
        <v>44.28</v>
      </c>
      <c r="E3621" t="s">
        <v>9</v>
      </c>
      <c r="F3621">
        <v>38.33</v>
      </c>
      <c r="G3621" t="s">
        <v>20</v>
      </c>
      <c r="H3621" t="s">
        <v>12</v>
      </c>
    </row>
    <row r="3622" spans="1:8" x14ac:dyDescent="0.25">
      <c r="A3622" s="1">
        <v>45658.833333333336</v>
      </c>
      <c r="B3622" t="s">
        <v>27</v>
      </c>
      <c r="C3622">
        <v>426.29</v>
      </c>
      <c r="D3622">
        <v>43.2</v>
      </c>
      <c r="E3622" t="s">
        <v>9</v>
      </c>
      <c r="F3622">
        <v>54.02</v>
      </c>
      <c r="G3622" t="s">
        <v>20</v>
      </c>
      <c r="H3622" t="s">
        <v>13</v>
      </c>
    </row>
    <row r="3623" spans="1:8" x14ac:dyDescent="0.25">
      <c r="A3623" s="1">
        <v>45658.875</v>
      </c>
      <c r="B3623" t="s">
        <v>27</v>
      </c>
      <c r="C3623">
        <v>278.17</v>
      </c>
      <c r="D3623">
        <v>26.15</v>
      </c>
      <c r="E3623" t="s">
        <v>9</v>
      </c>
      <c r="F3623">
        <v>49.78</v>
      </c>
      <c r="G3623" t="s">
        <v>20</v>
      </c>
      <c r="H3623" t="s">
        <v>13</v>
      </c>
    </row>
    <row r="3624" spans="1:8" x14ac:dyDescent="0.25">
      <c r="A3624" s="1">
        <v>45658.916666666664</v>
      </c>
      <c r="B3624" t="s">
        <v>27</v>
      </c>
      <c r="C3624">
        <v>376.21</v>
      </c>
      <c r="D3624">
        <v>26.98</v>
      </c>
      <c r="E3624" t="s">
        <v>9</v>
      </c>
      <c r="F3624">
        <v>72.13</v>
      </c>
      <c r="G3624" t="s">
        <v>20</v>
      </c>
      <c r="H3624" t="s">
        <v>11</v>
      </c>
    </row>
    <row r="3625" spans="1:8" x14ac:dyDescent="0.25">
      <c r="A3625" s="1">
        <v>45658.958333333336</v>
      </c>
      <c r="B3625" t="s">
        <v>27</v>
      </c>
      <c r="C3625">
        <v>314.29000000000002</v>
      </c>
      <c r="D3625">
        <v>65.069999999999993</v>
      </c>
      <c r="E3625" t="s">
        <v>9</v>
      </c>
      <c r="F3625">
        <v>72.97</v>
      </c>
      <c r="G3625" t="s">
        <v>20</v>
      </c>
      <c r="H3625" t="s">
        <v>13</v>
      </c>
    </row>
    <row r="3626" spans="1:8" x14ac:dyDescent="0.25">
      <c r="A3626" s="1">
        <v>45659</v>
      </c>
      <c r="B3626" t="s">
        <v>27</v>
      </c>
      <c r="C3626">
        <v>194.04</v>
      </c>
      <c r="D3626">
        <v>70.739999999999995</v>
      </c>
      <c r="E3626" t="s">
        <v>9</v>
      </c>
      <c r="F3626">
        <v>36.82</v>
      </c>
      <c r="G3626" t="s">
        <v>20</v>
      </c>
      <c r="H3626" t="s">
        <v>11</v>
      </c>
    </row>
    <row r="3627" spans="1:8" x14ac:dyDescent="0.25">
      <c r="A3627" s="1">
        <v>45659.041666666664</v>
      </c>
      <c r="B3627" t="s">
        <v>27</v>
      </c>
      <c r="C3627">
        <v>73.02</v>
      </c>
      <c r="D3627">
        <v>52.9</v>
      </c>
      <c r="E3627" t="s">
        <v>9</v>
      </c>
      <c r="F3627">
        <v>46.08</v>
      </c>
      <c r="G3627" t="s">
        <v>20</v>
      </c>
      <c r="H3627" t="s">
        <v>12</v>
      </c>
    </row>
    <row r="3628" spans="1:8" x14ac:dyDescent="0.25">
      <c r="A3628" s="1">
        <v>45659.083333333336</v>
      </c>
      <c r="B3628" t="s">
        <v>27</v>
      </c>
      <c r="C3628">
        <v>209.6</v>
      </c>
      <c r="D3628">
        <v>18.899999999999999</v>
      </c>
      <c r="E3628" t="s">
        <v>9</v>
      </c>
      <c r="F3628">
        <v>58</v>
      </c>
      <c r="G3628" t="s">
        <v>20</v>
      </c>
      <c r="H3628" t="s">
        <v>12</v>
      </c>
    </row>
    <row r="3629" spans="1:8" x14ac:dyDescent="0.25">
      <c r="A3629" s="1">
        <v>45659.125</v>
      </c>
      <c r="B3629" t="s">
        <v>27</v>
      </c>
      <c r="C3629">
        <v>156.41999999999999</v>
      </c>
      <c r="D3629">
        <v>43.63</v>
      </c>
      <c r="E3629" t="s">
        <v>9</v>
      </c>
      <c r="F3629">
        <v>77.62</v>
      </c>
      <c r="G3629" t="s">
        <v>20</v>
      </c>
      <c r="H3629" t="s">
        <v>12</v>
      </c>
    </row>
    <row r="3630" spans="1:8" x14ac:dyDescent="0.25">
      <c r="A3630" s="1">
        <v>45659.166666666664</v>
      </c>
      <c r="B3630" t="s">
        <v>27</v>
      </c>
      <c r="C3630">
        <v>196.35</v>
      </c>
      <c r="D3630">
        <v>21.25</v>
      </c>
      <c r="E3630" t="s">
        <v>9</v>
      </c>
      <c r="F3630">
        <v>42.95</v>
      </c>
      <c r="G3630" t="s">
        <v>20</v>
      </c>
      <c r="H3630" t="s">
        <v>13</v>
      </c>
    </row>
    <row r="3631" spans="1:8" x14ac:dyDescent="0.25">
      <c r="A3631" s="1">
        <v>45659.208333333336</v>
      </c>
      <c r="B3631" t="s">
        <v>27</v>
      </c>
      <c r="C3631">
        <v>364.61</v>
      </c>
      <c r="D3631">
        <v>36.630000000000003</v>
      </c>
      <c r="E3631" t="s">
        <v>9</v>
      </c>
      <c r="F3631">
        <v>50.04</v>
      </c>
      <c r="G3631" t="s">
        <v>20</v>
      </c>
      <c r="H3631" t="s">
        <v>12</v>
      </c>
    </row>
    <row r="3632" spans="1:8" x14ac:dyDescent="0.25">
      <c r="A3632" s="1">
        <v>45659.25</v>
      </c>
      <c r="B3632" t="s">
        <v>27</v>
      </c>
      <c r="C3632">
        <v>312.82</v>
      </c>
      <c r="D3632">
        <v>70.989999999999995</v>
      </c>
      <c r="E3632" t="s">
        <v>9</v>
      </c>
      <c r="F3632">
        <v>53.24</v>
      </c>
      <c r="G3632" t="s">
        <v>20</v>
      </c>
      <c r="H3632" t="s">
        <v>11</v>
      </c>
    </row>
    <row r="3633" spans="1:8" x14ac:dyDescent="0.25">
      <c r="A3633" s="1">
        <v>45659.291666666664</v>
      </c>
      <c r="B3633" t="s">
        <v>27</v>
      </c>
      <c r="C3633">
        <v>254.71</v>
      </c>
      <c r="D3633">
        <v>14.74</v>
      </c>
      <c r="E3633" t="s">
        <v>9</v>
      </c>
      <c r="F3633">
        <v>53.74</v>
      </c>
      <c r="G3633" t="s">
        <v>20</v>
      </c>
      <c r="H3633" t="s">
        <v>11</v>
      </c>
    </row>
    <row r="3634" spans="1:8" x14ac:dyDescent="0.25">
      <c r="A3634" s="1">
        <v>45659.333333333336</v>
      </c>
      <c r="B3634" t="s">
        <v>27</v>
      </c>
      <c r="C3634">
        <v>288.81</v>
      </c>
      <c r="D3634">
        <v>88.75</v>
      </c>
      <c r="E3634" t="s">
        <v>14</v>
      </c>
      <c r="F3634">
        <v>42.46</v>
      </c>
      <c r="G3634" t="s">
        <v>20</v>
      </c>
      <c r="H3634" t="s">
        <v>12</v>
      </c>
    </row>
    <row r="3635" spans="1:8" x14ac:dyDescent="0.25">
      <c r="A3635" s="1">
        <v>45659.375</v>
      </c>
      <c r="B3635" t="s">
        <v>27</v>
      </c>
      <c r="C3635">
        <v>174.56</v>
      </c>
      <c r="D3635">
        <v>34.700000000000003</v>
      </c>
      <c r="E3635" t="s">
        <v>9</v>
      </c>
      <c r="F3635">
        <v>57.85</v>
      </c>
      <c r="G3635" t="s">
        <v>20</v>
      </c>
      <c r="H3635" t="s">
        <v>11</v>
      </c>
    </row>
    <row r="3636" spans="1:8" x14ac:dyDescent="0.25">
      <c r="A3636" s="1">
        <v>45659.416666666664</v>
      </c>
      <c r="B3636" t="s">
        <v>27</v>
      </c>
      <c r="C3636">
        <v>272.52999999999997</v>
      </c>
      <c r="D3636">
        <v>87.94</v>
      </c>
      <c r="E3636" t="s">
        <v>14</v>
      </c>
      <c r="F3636">
        <v>52.63</v>
      </c>
      <c r="G3636" t="s">
        <v>20</v>
      </c>
      <c r="H3636" t="s">
        <v>13</v>
      </c>
    </row>
    <row r="3637" spans="1:8" x14ac:dyDescent="0.25">
      <c r="A3637" s="1">
        <v>45659.458333333336</v>
      </c>
      <c r="B3637" t="s">
        <v>27</v>
      </c>
      <c r="C3637">
        <v>323.64999999999998</v>
      </c>
      <c r="D3637">
        <v>64.540000000000006</v>
      </c>
      <c r="E3637" t="s">
        <v>9</v>
      </c>
      <c r="F3637">
        <v>56.35</v>
      </c>
      <c r="G3637" t="s">
        <v>20</v>
      </c>
      <c r="H3637" t="s">
        <v>12</v>
      </c>
    </row>
    <row r="3638" spans="1:8" x14ac:dyDescent="0.25">
      <c r="A3638" s="1">
        <v>45659.5</v>
      </c>
      <c r="B3638" t="s">
        <v>27</v>
      </c>
      <c r="C3638">
        <v>268.69</v>
      </c>
      <c r="D3638">
        <v>27.12</v>
      </c>
      <c r="E3638" t="s">
        <v>9</v>
      </c>
      <c r="F3638">
        <v>80.239999999999995</v>
      </c>
      <c r="G3638" t="s">
        <v>20</v>
      </c>
      <c r="H3638" t="s">
        <v>12</v>
      </c>
    </row>
    <row r="3639" spans="1:8" x14ac:dyDescent="0.25">
      <c r="A3639" s="1">
        <v>45659.541666666664</v>
      </c>
      <c r="B3639" t="s">
        <v>27</v>
      </c>
      <c r="C3639">
        <v>489.01</v>
      </c>
      <c r="D3639">
        <v>72.84</v>
      </c>
      <c r="E3639" t="s">
        <v>9</v>
      </c>
      <c r="F3639">
        <v>84.9</v>
      </c>
      <c r="G3639" t="s">
        <v>20</v>
      </c>
      <c r="H3639" t="s">
        <v>11</v>
      </c>
    </row>
    <row r="3640" spans="1:8" x14ac:dyDescent="0.25">
      <c r="A3640" s="1">
        <v>45659.583333333336</v>
      </c>
      <c r="B3640" t="s">
        <v>27</v>
      </c>
      <c r="C3640">
        <v>195.49</v>
      </c>
      <c r="D3640">
        <v>49.59</v>
      </c>
      <c r="E3640" t="s">
        <v>9</v>
      </c>
      <c r="F3640">
        <v>49.43</v>
      </c>
      <c r="G3640" t="s">
        <v>20</v>
      </c>
      <c r="H3640" t="s">
        <v>12</v>
      </c>
    </row>
    <row r="3641" spans="1:8" x14ac:dyDescent="0.25">
      <c r="A3641" s="1">
        <v>45659.625</v>
      </c>
      <c r="B3641" t="s">
        <v>27</v>
      </c>
      <c r="C3641">
        <v>297.87</v>
      </c>
      <c r="D3641">
        <v>64.81</v>
      </c>
      <c r="E3641" t="s">
        <v>9</v>
      </c>
      <c r="F3641">
        <v>58.87</v>
      </c>
      <c r="G3641" t="s">
        <v>20</v>
      </c>
      <c r="H3641" t="s">
        <v>13</v>
      </c>
    </row>
    <row r="3642" spans="1:8" x14ac:dyDescent="0.25">
      <c r="A3642" s="1">
        <v>45659.666666666664</v>
      </c>
      <c r="B3642" t="s">
        <v>27</v>
      </c>
      <c r="C3642">
        <v>345.93</v>
      </c>
      <c r="D3642">
        <v>55.44</v>
      </c>
      <c r="E3642" t="s">
        <v>9</v>
      </c>
      <c r="F3642">
        <v>31.72</v>
      </c>
      <c r="G3642" t="s">
        <v>20</v>
      </c>
      <c r="H3642" t="s">
        <v>13</v>
      </c>
    </row>
    <row r="3643" spans="1:8" x14ac:dyDescent="0.25">
      <c r="A3643" s="1">
        <v>45659.708333333336</v>
      </c>
      <c r="B3643" t="s">
        <v>27</v>
      </c>
      <c r="C3643">
        <v>269.64</v>
      </c>
      <c r="D3643">
        <v>44.89</v>
      </c>
      <c r="E3643" t="s">
        <v>9</v>
      </c>
      <c r="F3643">
        <v>79.88</v>
      </c>
      <c r="G3643" t="s">
        <v>20</v>
      </c>
      <c r="H3643" t="s">
        <v>13</v>
      </c>
    </row>
    <row r="3644" spans="1:8" x14ac:dyDescent="0.25">
      <c r="A3644" s="1">
        <v>45659.75</v>
      </c>
      <c r="B3644" t="s">
        <v>27</v>
      </c>
      <c r="C3644">
        <v>160.87</v>
      </c>
      <c r="D3644">
        <v>55.09</v>
      </c>
      <c r="E3644" t="s">
        <v>9</v>
      </c>
      <c r="F3644">
        <v>38.51</v>
      </c>
      <c r="G3644" t="s">
        <v>20</v>
      </c>
      <c r="H3644" t="s">
        <v>11</v>
      </c>
    </row>
    <row r="3645" spans="1:8" x14ac:dyDescent="0.25">
      <c r="A3645" s="1">
        <v>45659.791666666664</v>
      </c>
      <c r="B3645" t="s">
        <v>27</v>
      </c>
      <c r="C3645">
        <v>430.69</v>
      </c>
      <c r="D3645">
        <v>30.72</v>
      </c>
      <c r="E3645" t="s">
        <v>9</v>
      </c>
      <c r="F3645">
        <v>72.650000000000006</v>
      </c>
      <c r="G3645" t="s">
        <v>20</v>
      </c>
      <c r="H3645" t="s">
        <v>12</v>
      </c>
    </row>
    <row r="3646" spans="1:8" x14ac:dyDescent="0.25">
      <c r="A3646" s="1">
        <v>45659.833333333336</v>
      </c>
      <c r="B3646" t="s">
        <v>27</v>
      </c>
      <c r="C3646">
        <v>399.6</v>
      </c>
      <c r="D3646">
        <v>77.760000000000005</v>
      </c>
      <c r="E3646" t="s">
        <v>9</v>
      </c>
      <c r="F3646">
        <v>67.42</v>
      </c>
      <c r="G3646" t="s">
        <v>20</v>
      </c>
      <c r="H3646" t="s">
        <v>11</v>
      </c>
    </row>
    <row r="3647" spans="1:8" x14ac:dyDescent="0.25">
      <c r="A3647" s="1">
        <v>45659.875</v>
      </c>
      <c r="B3647" t="s">
        <v>27</v>
      </c>
      <c r="C3647">
        <v>232.07</v>
      </c>
      <c r="D3647">
        <v>26.55</v>
      </c>
      <c r="E3647" t="s">
        <v>9</v>
      </c>
      <c r="F3647">
        <v>62.51</v>
      </c>
      <c r="G3647" t="s">
        <v>20</v>
      </c>
      <c r="H3647" t="s">
        <v>12</v>
      </c>
    </row>
    <row r="3648" spans="1:8" x14ac:dyDescent="0.25">
      <c r="A3648" s="1">
        <v>45659.916666666664</v>
      </c>
      <c r="B3648" t="s">
        <v>27</v>
      </c>
      <c r="C3648">
        <v>474.52</v>
      </c>
      <c r="D3648">
        <v>46.51</v>
      </c>
      <c r="E3648" t="s">
        <v>9</v>
      </c>
      <c r="F3648">
        <v>61.7</v>
      </c>
      <c r="G3648" t="s">
        <v>20</v>
      </c>
      <c r="H3648" t="s">
        <v>12</v>
      </c>
    </row>
    <row r="3649" spans="1:8" x14ac:dyDescent="0.25">
      <c r="A3649" s="1">
        <v>45659.958333333336</v>
      </c>
      <c r="B3649" t="s">
        <v>27</v>
      </c>
      <c r="C3649">
        <v>322.48</v>
      </c>
      <c r="D3649">
        <v>40.57</v>
      </c>
      <c r="E3649" t="s">
        <v>9</v>
      </c>
      <c r="F3649">
        <v>64.36</v>
      </c>
      <c r="G3649" t="s">
        <v>20</v>
      </c>
      <c r="H3649" t="s">
        <v>13</v>
      </c>
    </row>
    <row r="3650" spans="1:8" x14ac:dyDescent="0.25">
      <c r="A3650" s="1">
        <v>45660</v>
      </c>
      <c r="B3650" t="s">
        <v>27</v>
      </c>
      <c r="C3650">
        <v>488.84</v>
      </c>
      <c r="D3650">
        <v>92.28</v>
      </c>
      <c r="E3650" t="s">
        <v>14</v>
      </c>
      <c r="F3650">
        <v>50.9</v>
      </c>
      <c r="G3650" t="s">
        <v>20</v>
      </c>
      <c r="H3650" t="s">
        <v>13</v>
      </c>
    </row>
    <row r="3651" spans="1:8" x14ac:dyDescent="0.25">
      <c r="A3651" s="1">
        <v>45660.041666666664</v>
      </c>
      <c r="B3651" t="s">
        <v>27</v>
      </c>
      <c r="C3651">
        <v>186.83</v>
      </c>
      <c r="D3651">
        <v>67.510000000000005</v>
      </c>
      <c r="E3651" t="s">
        <v>9</v>
      </c>
      <c r="F3651">
        <v>46.74</v>
      </c>
      <c r="G3651" t="s">
        <v>20</v>
      </c>
      <c r="H3651" t="s">
        <v>12</v>
      </c>
    </row>
    <row r="3652" spans="1:8" x14ac:dyDescent="0.25">
      <c r="A3652" s="1">
        <v>45660.083333333336</v>
      </c>
      <c r="B3652" t="s">
        <v>27</v>
      </c>
      <c r="C3652">
        <v>277.62</v>
      </c>
      <c r="D3652">
        <v>92.25</v>
      </c>
      <c r="E3652" t="s">
        <v>14</v>
      </c>
      <c r="F3652">
        <v>86.82</v>
      </c>
      <c r="G3652" t="s">
        <v>20</v>
      </c>
      <c r="H3652" t="s">
        <v>12</v>
      </c>
    </row>
    <row r="3653" spans="1:8" x14ac:dyDescent="0.25">
      <c r="A3653" s="1">
        <v>45660.125</v>
      </c>
      <c r="B3653" t="s">
        <v>27</v>
      </c>
      <c r="C3653">
        <v>409.02</v>
      </c>
      <c r="D3653">
        <v>28.29</v>
      </c>
      <c r="E3653" t="s">
        <v>9</v>
      </c>
      <c r="F3653">
        <v>73.3</v>
      </c>
      <c r="G3653" t="s">
        <v>20</v>
      </c>
      <c r="H3653" t="s">
        <v>12</v>
      </c>
    </row>
    <row r="3654" spans="1:8" x14ac:dyDescent="0.25">
      <c r="A3654" s="1">
        <v>45660.166666666664</v>
      </c>
      <c r="B3654" t="s">
        <v>27</v>
      </c>
      <c r="C3654">
        <v>177.5</v>
      </c>
      <c r="D3654">
        <v>92.32</v>
      </c>
      <c r="E3654" t="s">
        <v>14</v>
      </c>
      <c r="F3654">
        <v>76.03</v>
      </c>
      <c r="G3654" t="s">
        <v>20</v>
      </c>
      <c r="H3654" t="s">
        <v>11</v>
      </c>
    </row>
    <row r="3655" spans="1:8" x14ac:dyDescent="0.25">
      <c r="A3655" s="1">
        <v>45660.208333333336</v>
      </c>
      <c r="B3655" t="s">
        <v>27</v>
      </c>
      <c r="C3655">
        <v>375.96</v>
      </c>
      <c r="D3655">
        <v>25.48</v>
      </c>
      <c r="E3655" t="s">
        <v>9</v>
      </c>
      <c r="F3655">
        <v>58.06</v>
      </c>
      <c r="G3655" t="s">
        <v>20</v>
      </c>
      <c r="H3655" t="s">
        <v>12</v>
      </c>
    </row>
    <row r="3656" spans="1:8" x14ac:dyDescent="0.25">
      <c r="A3656" s="1">
        <v>45660.25</v>
      </c>
      <c r="B3656" t="s">
        <v>27</v>
      </c>
      <c r="C3656">
        <v>465.01</v>
      </c>
      <c r="D3656">
        <v>16.32</v>
      </c>
      <c r="E3656" t="s">
        <v>9</v>
      </c>
      <c r="F3656">
        <v>30</v>
      </c>
      <c r="G3656" t="s">
        <v>20</v>
      </c>
      <c r="H3656" t="s">
        <v>12</v>
      </c>
    </row>
    <row r="3657" spans="1:8" x14ac:dyDescent="0.25">
      <c r="A3657" s="1">
        <v>45660.291666666664</v>
      </c>
      <c r="B3657" t="s">
        <v>27</v>
      </c>
      <c r="C3657">
        <v>281.98</v>
      </c>
      <c r="D3657">
        <v>51.62</v>
      </c>
      <c r="E3657" t="s">
        <v>9</v>
      </c>
      <c r="F3657">
        <v>53.87</v>
      </c>
      <c r="G3657" t="s">
        <v>20</v>
      </c>
      <c r="H3657" t="s">
        <v>11</v>
      </c>
    </row>
    <row r="3658" spans="1:8" x14ac:dyDescent="0.25">
      <c r="A3658" s="1">
        <v>45660.333333333336</v>
      </c>
      <c r="B3658" t="s">
        <v>27</v>
      </c>
      <c r="C3658">
        <v>50.91</v>
      </c>
      <c r="D3658">
        <v>58.93</v>
      </c>
      <c r="E3658" t="s">
        <v>9</v>
      </c>
      <c r="F3658">
        <v>44.28</v>
      </c>
      <c r="G3658" t="s">
        <v>20</v>
      </c>
      <c r="H3658" t="s">
        <v>11</v>
      </c>
    </row>
    <row r="3659" spans="1:8" x14ac:dyDescent="0.25">
      <c r="A3659" s="1">
        <v>45660.375</v>
      </c>
      <c r="B3659" t="s">
        <v>27</v>
      </c>
      <c r="C3659">
        <v>211.89</v>
      </c>
      <c r="D3659">
        <v>82.6</v>
      </c>
      <c r="E3659" t="s">
        <v>9</v>
      </c>
      <c r="F3659">
        <v>49.67</v>
      </c>
      <c r="G3659" t="s">
        <v>20</v>
      </c>
      <c r="H3659" t="s">
        <v>11</v>
      </c>
    </row>
    <row r="3660" spans="1:8" x14ac:dyDescent="0.25">
      <c r="A3660" s="1">
        <v>45660.416666666664</v>
      </c>
      <c r="B3660" t="s">
        <v>27</v>
      </c>
      <c r="C3660">
        <v>291.08999999999997</v>
      </c>
      <c r="D3660">
        <v>41.22</v>
      </c>
      <c r="E3660" t="s">
        <v>9</v>
      </c>
      <c r="F3660">
        <v>76.17</v>
      </c>
      <c r="G3660" t="s">
        <v>20</v>
      </c>
      <c r="H3660" t="s">
        <v>11</v>
      </c>
    </row>
    <row r="3661" spans="1:8" x14ac:dyDescent="0.25">
      <c r="A3661" s="1">
        <v>45660.458333333336</v>
      </c>
      <c r="B3661" t="s">
        <v>27</v>
      </c>
      <c r="C3661">
        <v>451.18</v>
      </c>
      <c r="D3661">
        <v>19.78</v>
      </c>
      <c r="E3661" t="s">
        <v>9</v>
      </c>
      <c r="F3661">
        <v>80.13</v>
      </c>
      <c r="G3661" t="s">
        <v>20</v>
      </c>
      <c r="H3661" t="s">
        <v>12</v>
      </c>
    </row>
    <row r="3662" spans="1:8" x14ac:dyDescent="0.25">
      <c r="A3662" s="1">
        <v>45660.5</v>
      </c>
      <c r="B3662" t="s">
        <v>27</v>
      </c>
      <c r="C3662">
        <v>364.86</v>
      </c>
      <c r="D3662">
        <v>92.35</v>
      </c>
      <c r="E3662" t="s">
        <v>14</v>
      </c>
      <c r="F3662">
        <v>78.67</v>
      </c>
      <c r="G3662" t="s">
        <v>20</v>
      </c>
      <c r="H3662" t="s">
        <v>11</v>
      </c>
    </row>
    <row r="3663" spans="1:8" x14ac:dyDescent="0.25">
      <c r="A3663" s="1">
        <v>45660.541666666664</v>
      </c>
      <c r="B3663" t="s">
        <v>27</v>
      </c>
      <c r="C3663">
        <v>370.98</v>
      </c>
      <c r="D3663">
        <v>57.38</v>
      </c>
      <c r="E3663" t="s">
        <v>9</v>
      </c>
      <c r="F3663">
        <v>30.99</v>
      </c>
      <c r="G3663" t="s">
        <v>20</v>
      </c>
      <c r="H3663" t="s">
        <v>13</v>
      </c>
    </row>
    <row r="3664" spans="1:8" x14ac:dyDescent="0.25">
      <c r="A3664" s="1">
        <v>45660.583333333336</v>
      </c>
      <c r="B3664" t="s">
        <v>27</v>
      </c>
      <c r="C3664">
        <v>201.69</v>
      </c>
      <c r="D3664">
        <v>75.52</v>
      </c>
      <c r="E3664" t="s">
        <v>9</v>
      </c>
      <c r="F3664">
        <v>56.64</v>
      </c>
      <c r="G3664" t="s">
        <v>20</v>
      </c>
      <c r="H3664" t="s">
        <v>12</v>
      </c>
    </row>
    <row r="3665" spans="1:8" x14ac:dyDescent="0.25">
      <c r="A3665" s="1">
        <v>45660.625</v>
      </c>
      <c r="B3665" t="s">
        <v>27</v>
      </c>
      <c r="C3665">
        <v>386.92</v>
      </c>
      <c r="D3665">
        <v>60.84</v>
      </c>
      <c r="E3665" t="s">
        <v>9</v>
      </c>
      <c r="F3665">
        <v>80.010000000000005</v>
      </c>
      <c r="G3665" t="s">
        <v>20</v>
      </c>
      <c r="H3665" t="s">
        <v>13</v>
      </c>
    </row>
    <row r="3666" spans="1:8" x14ac:dyDescent="0.25">
      <c r="A3666" s="1">
        <v>45660.666666666664</v>
      </c>
      <c r="B3666" t="s">
        <v>27</v>
      </c>
      <c r="C3666">
        <v>63.78</v>
      </c>
      <c r="D3666">
        <v>21.61</v>
      </c>
      <c r="E3666" t="s">
        <v>9</v>
      </c>
      <c r="F3666">
        <v>43.13</v>
      </c>
      <c r="G3666" t="s">
        <v>20</v>
      </c>
      <c r="H3666" t="s">
        <v>13</v>
      </c>
    </row>
    <row r="3667" spans="1:8" x14ac:dyDescent="0.25">
      <c r="A3667" s="1">
        <v>45660.708333333336</v>
      </c>
      <c r="B3667" t="s">
        <v>27</v>
      </c>
      <c r="C3667">
        <v>51.26</v>
      </c>
      <c r="D3667">
        <v>87.87</v>
      </c>
      <c r="E3667" t="s">
        <v>14</v>
      </c>
      <c r="F3667">
        <v>67.38</v>
      </c>
      <c r="G3667" t="s">
        <v>20</v>
      </c>
      <c r="H3667" t="s">
        <v>13</v>
      </c>
    </row>
    <row r="3668" spans="1:8" x14ac:dyDescent="0.25">
      <c r="A3668" s="1">
        <v>45660.75</v>
      </c>
      <c r="B3668" t="s">
        <v>27</v>
      </c>
      <c r="C3668">
        <v>467.68</v>
      </c>
      <c r="D3668">
        <v>54.5</v>
      </c>
      <c r="E3668" t="s">
        <v>9</v>
      </c>
      <c r="F3668">
        <v>83.34</v>
      </c>
      <c r="G3668" t="s">
        <v>20</v>
      </c>
      <c r="H3668" t="s">
        <v>12</v>
      </c>
    </row>
    <row r="3669" spans="1:8" x14ac:dyDescent="0.25">
      <c r="A3669" s="1">
        <v>45660.791666666664</v>
      </c>
      <c r="B3669" t="s">
        <v>27</v>
      </c>
      <c r="C3669">
        <v>80.88</v>
      </c>
      <c r="D3669">
        <v>65.91</v>
      </c>
      <c r="E3669" t="s">
        <v>9</v>
      </c>
      <c r="F3669">
        <v>76.64</v>
      </c>
      <c r="G3669" t="s">
        <v>20</v>
      </c>
      <c r="H3669" t="s">
        <v>13</v>
      </c>
    </row>
    <row r="3670" spans="1:8" x14ac:dyDescent="0.25">
      <c r="A3670" s="1">
        <v>45660.833333333336</v>
      </c>
      <c r="B3670" t="s">
        <v>27</v>
      </c>
      <c r="C3670">
        <v>276.52999999999997</v>
      </c>
      <c r="D3670">
        <v>40.64</v>
      </c>
      <c r="E3670" t="s">
        <v>9</v>
      </c>
      <c r="F3670">
        <v>69.77</v>
      </c>
      <c r="G3670" t="s">
        <v>20</v>
      </c>
      <c r="H3670" t="s">
        <v>11</v>
      </c>
    </row>
    <row r="3671" spans="1:8" x14ac:dyDescent="0.25">
      <c r="A3671" s="1">
        <v>45660.875</v>
      </c>
      <c r="B3671" t="s">
        <v>27</v>
      </c>
      <c r="C3671">
        <v>302.83</v>
      </c>
      <c r="D3671">
        <v>87.84</v>
      </c>
      <c r="E3671" t="s">
        <v>14</v>
      </c>
      <c r="F3671">
        <v>56.95</v>
      </c>
      <c r="G3671" t="s">
        <v>20</v>
      </c>
      <c r="H3671" t="s">
        <v>13</v>
      </c>
    </row>
    <row r="3672" spans="1:8" x14ac:dyDescent="0.25">
      <c r="A3672" s="1">
        <v>45660.916666666664</v>
      </c>
      <c r="B3672" t="s">
        <v>27</v>
      </c>
      <c r="C3672">
        <v>125.87</v>
      </c>
      <c r="D3672">
        <v>75.34</v>
      </c>
      <c r="E3672" t="s">
        <v>9</v>
      </c>
      <c r="F3672">
        <v>33.04</v>
      </c>
      <c r="G3672" t="s">
        <v>20</v>
      </c>
      <c r="H3672" t="s">
        <v>11</v>
      </c>
    </row>
    <row r="3673" spans="1:8" x14ac:dyDescent="0.25">
      <c r="A3673" s="1">
        <v>45660.958333333336</v>
      </c>
      <c r="B3673" t="s">
        <v>27</v>
      </c>
      <c r="C3673">
        <v>478.52</v>
      </c>
      <c r="D3673">
        <v>63.61</v>
      </c>
      <c r="E3673" t="s">
        <v>9</v>
      </c>
      <c r="F3673">
        <v>36.229999999999997</v>
      </c>
      <c r="G3673" t="s">
        <v>20</v>
      </c>
      <c r="H3673" t="s">
        <v>11</v>
      </c>
    </row>
    <row r="3674" spans="1:8" x14ac:dyDescent="0.25">
      <c r="A3674" s="1">
        <v>45661</v>
      </c>
      <c r="B3674" t="s">
        <v>27</v>
      </c>
      <c r="C3674">
        <v>147.84</v>
      </c>
      <c r="D3674">
        <v>32.130000000000003</v>
      </c>
      <c r="E3674" t="s">
        <v>9</v>
      </c>
      <c r="F3674">
        <v>46.5</v>
      </c>
      <c r="G3674" t="s">
        <v>20</v>
      </c>
      <c r="H3674" t="s">
        <v>12</v>
      </c>
    </row>
    <row r="3675" spans="1:8" x14ac:dyDescent="0.25">
      <c r="A3675" s="1">
        <v>45661.041666666664</v>
      </c>
      <c r="B3675" t="s">
        <v>27</v>
      </c>
      <c r="C3675">
        <v>458.11</v>
      </c>
      <c r="D3675">
        <v>61.83</v>
      </c>
      <c r="E3675" t="s">
        <v>9</v>
      </c>
      <c r="F3675">
        <v>74.3</v>
      </c>
      <c r="G3675" t="s">
        <v>20</v>
      </c>
      <c r="H3675" t="s">
        <v>11</v>
      </c>
    </row>
    <row r="3676" spans="1:8" x14ac:dyDescent="0.25">
      <c r="A3676" s="1">
        <v>45661.083333333336</v>
      </c>
      <c r="B3676" t="s">
        <v>27</v>
      </c>
      <c r="C3676">
        <v>243.94</v>
      </c>
      <c r="D3676">
        <v>40.89</v>
      </c>
      <c r="E3676" t="s">
        <v>9</v>
      </c>
      <c r="F3676">
        <v>83.05</v>
      </c>
      <c r="G3676" t="s">
        <v>20</v>
      </c>
      <c r="H3676" t="s">
        <v>11</v>
      </c>
    </row>
    <row r="3677" spans="1:8" x14ac:dyDescent="0.25">
      <c r="A3677" s="1">
        <v>45661.125</v>
      </c>
      <c r="B3677" t="s">
        <v>27</v>
      </c>
      <c r="C3677">
        <v>133.4</v>
      </c>
      <c r="D3677">
        <v>71.28</v>
      </c>
      <c r="E3677" t="s">
        <v>9</v>
      </c>
      <c r="F3677">
        <v>32.57</v>
      </c>
      <c r="G3677" t="s">
        <v>20</v>
      </c>
      <c r="H3677" t="s">
        <v>11</v>
      </c>
    </row>
    <row r="3678" spans="1:8" x14ac:dyDescent="0.25">
      <c r="A3678" s="1">
        <v>45661.166666666664</v>
      </c>
      <c r="B3678" t="s">
        <v>27</v>
      </c>
      <c r="C3678">
        <v>429.64</v>
      </c>
      <c r="D3678">
        <v>62.19</v>
      </c>
      <c r="E3678" t="s">
        <v>9</v>
      </c>
      <c r="F3678">
        <v>77.069999999999993</v>
      </c>
      <c r="G3678" t="s">
        <v>20</v>
      </c>
      <c r="H3678" t="s">
        <v>11</v>
      </c>
    </row>
    <row r="3679" spans="1:8" x14ac:dyDescent="0.25">
      <c r="A3679" s="1">
        <v>45661.208333333336</v>
      </c>
      <c r="B3679" t="s">
        <v>27</v>
      </c>
      <c r="C3679">
        <v>478.67</v>
      </c>
      <c r="D3679">
        <v>88.25</v>
      </c>
      <c r="E3679" t="s">
        <v>14</v>
      </c>
      <c r="F3679">
        <v>34.89</v>
      </c>
      <c r="G3679" t="s">
        <v>20</v>
      </c>
      <c r="H3679" t="s">
        <v>12</v>
      </c>
    </row>
    <row r="3680" spans="1:8" x14ac:dyDescent="0.25">
      <c r="A3680" s="1">
        <v>45661.25</v>
      </c>
      <c r="B3680" t="s">
        <v>27</v>
      </c>
      <c r="C3680">
        <v>143.06</v>
      </c>
      <c r="D3680">
        <v>77.14</v>
      </c>
      <c r="E3680" t="s">
        <v>9</v>
      </c>
      <c r="F3680">
        <v>78.27</v>
      </c>
      <c r="G3680" t="s">
        <v>20</v>
      </c>
      <c r="H3680" t="s">
        <v>12</v>
      </c>
    </row>
    <row r="3681" spans="1:8" x14ac:dyDescent="0.25">
      <c r="A3681" s="1">
        <v>45661.291666666664</v>
      </c>
      <c r="B3681" t="s">
        <v>27</v>
      </c>
      <c r="C3681">
        <v>420.25</v>
      </c>
      <c r="D3681">
        <v>26.92</v>
      </c>
      <c r="E3681" t="s">
        <v>9</v>
      </c>
      <c r="F3681">
        <v>50.03</v>
      </c>
      <c r="G3681" t="s">
        <v>20</v>
      </c>
      <c r="H3681" t="s">
        <v>12</v>
      </c>
    </row>
    <row r="3682" spans="1:8" x14ac:dyDescent="0.25">
      <c r="A3682" s="1">
        <v>45661.333333333336</v>
      </c>
      <c r="B3682" t="s">
        <v>27</v>
      </c>
      <c r="C3682">
        <v>384.51</v>
      </c>
      <c r="D3682">
        <v>85.78</v>
      </c>
      <c r="E3682" t="s">
        <v>14</v>
      </c>
      <c r="F3682">
        <v>69.05</v>
      </c>
      <c r="G3682" t="s">
        <v>20</v>
      </c>
      <c r="H3682" t="s">
        <v>11</v>
      </c>
    </row>
    <row r="3683" spans="1:8" x14ac:dyDescent="0.25">
      <c r="A3683" s="1">
        <v>45661.375</v>
      </c>
      <c r="B3683" t="s">
        <v>27</v>
      </c>
      <c r="C3683">
        <v>155.88</v>
      </c>
      <c r="D3683">
        <v>26.29</v>
      </c>
      <c r="E3683" t="s">
        <v>9</v>
      </c>
      <c r="F3683">
        <v>53.36</v>
      </c>
      <c r="G3683" t="s">
        <v>20</v>
      </c>
      <c r="H3683" t="s">
        <v>12</v>
      </c>
    </row>
    <row r="3684" spans="1:8" x14ac:dyDescent="0.25">
      <c r="A3684" s="1">
        <v>45661.416666666664</v>
      </c>
      <c r="B3684" t="s">
        <v>27</v>
      </c>
      <c r="C3684">
        <v>91.14</v>
      </c>
      <c r="D3684">
        <v>57.97</v>
      </c>
      <c r="E3684" t="s">
        <v>9</v>
      </c>
      <c r="F3684">
        <v>35.33</v>
      </c>
      <c r="G3684" t="s">
        <v>20</v>
      </c>
      <c r="H3684" t="s">
        <v>13</v>
      </c>
    </row>
    <row r="3685" spans="1:8" x14ac:dyDescent="0.25">
      <c r="A3685" s="1">
        <v>45661.458333333336</v>
      </c>
      <c r="B3685" t="s">
        <v>27</v>
      </c>
      <c r="C3685">
        <v>361.37</v>
      </c>
      <c r="D3685">
        <v>86.09</v>
      </c>
      <c r="E3685" t="s">
        <v>14</v>
      </c>
      <c r="F3685">
        <v>82.45</v>
      </c>
      <c r="G3685" t="s">
        <v>20</v>
      </c>
      <c r="H3685" t="s">
        <v>13</v>
      </c>
    </row>
    <row r="3686" spans="1:8" x14ac:dyDescent="0.25">
      <c r="A3686" s="1">
        <v>45661.5</v>
      </c>
      <c r="B3686" t="s">
        <v>27</v>
      </c>
      <c r="C3686">
        <v>280.44</v>
      </c>
      <c r="D3686">
        <v>81.28</v>
      </c>
      <c r="E3686" t="s">
        <v>9</v>
      </c>
      <c r="F3686">
        <v>55.64</v>
      </c>
      <c r="G3686" t="s">
        <v>20</v>
      </c>
      <c r="H3686" t="s">
        <v>12</v>
      </c>
    </row>
    <row r="3687" spans="1:8" x14ac:dyDescent="0.25">
      <c r="A3687" s="1">
        <v>45661.541666666664</v>
      </c>
      <c r="B3687" t="s">
        <v>27</v>
      </c>
      <c r="C3687">
        <v>134.91999999999999</v>
      </c>
      <c r="D3687">
        <v>84.63</v>
      </c>
      <c r="E3687" t="s">
        <v>9</v>
      </c>
      <c r="F3687">
        <v>67.72</v>
      </c>
      <c r="G3687" t="s">
        <v>20</v>
      </c>
      <c r="H3687" t="s">
        <v>12</v>
      </c>
    </row>
    <row r="3688" spans="1:8" x14ac:dyDescent="0.25">
      <c r="A3688" s="1">
        <v>45661.583333333336</v>
      </c>
      <c r="B3688" t="s">
        <v>27</v>
      </c>
      <c r="C3688">
        <v>165.35</v>
      </c>
      <c r="D3688">
        <v>18.55</v>
      </c>
      <c r="E3688" t="s">
        <v>9</v>
      </c>
      <c r="F3688">
        <v>78.930000000000007</v>
      </c>
      <c r="G3688" t="s">
        <v>20</v>
      </c>
      <c r="H3688" t="s">
        <v>13</v>
      </c>
    </row>
    <row r="3689" spans="1:8" x14ac:dyDescent="0.25">
      <c r="A3689" s="1">
        <v>45661.625</v>
      </c>
      <c r="B3689" t="s">
        <v>27</v>
      </c>
      <c r="C3689">
        <v>269.83999999999997</v>
      </c>
      <c r="D3689">
        <v>60.51</v>
      </c>
      <c r="E3689" t="s">
        <v>9</v>
      </c>
      <c r="F3689">
        <v>83.82</v>
      </c>
      <c r="G3689" t="s">
        <v>20</v>
      </c>
      <c r="H3689" t="s">
        <v>13</v>
      </c>
    </row>
    <row r="3690" spans="1:8" x14ac:dyDescent="0.25">
      <c r="A3690" s="1">
        <v>45661.666666666664</v>
      </c>
      <c r="B3690" t="s">
        <v>27</v>
      </c>
      <c r="C3690">
        <v>271.60000000000002</v>
      </c>
      <c r="D3690">
        <v>20.93</v>
      </c>
      <c r="E3690" t="s">
        <v>9</v>
      </c>
      <c r="F3690">
        <v>45.71</v>
      </c>
      <c r="G3690" t="s">
        <v>20</v>
      </c>
      <c r="H3690" t="s">
        <v>13</v>
      </c>
    </row>
    <row r="3691" spans="1:8" x14ac:dyDescent="0.25">
      <c r="A3691" s="1">
        <v>45661.708333333336</v>
      </c>
      <c r="B3691" t="s">
        <v>27</v>
      </c>
      <c r="C3691">
        <v>165.85</v>
      </c>
      <c r="D3691">
        <v>88.97</v>
      </c>
      <c r="E3691" t="s">
        <v>14</v>
      </c>
      <c r="F3691">
        <v>38.46</v>
      </c>
      <c r="G3691" t="s">
        <v>20</v>
      </c>
      <c r="H3691" t="s">
        <v>11</v>
      </c>
    </row>
    <row r="3692" spans="1:8" x14ac:dyDescent="0.25">
      <c r="A3692" s="1">
        <v>45661.75</v>
      </c>
      <c r="B3692" t="s">
        <v>27</v>
      </c>
      <c r="C3692">
        <v>175.35</v>
      </c>
      <c r="D3692">
        <v>49.96</v>
      </c>
      <c r="E3692" t="s">
        <v>9</v>
      </c>
      <c r="F3692">
        <v>83.92</v>
      </c>
      <c r="G3692" t="s">
        <v>20</v>
      </c>
      <c r="H3692" t="s">
        <v>13</v>
      </c>
    </row>
    <row r="3693" spans="1:8" x14ac:dyDescent="0.25">
      <c r="A3693" s="1">
        <v>45661.791666666664</v>
      </c>
      <c r="B3693" t="s">
        <v>27</v>
      </c>
      <c r="C3693">
        <v>347.69</v>
      </c>
      <c r="D3693">
        <v>51.24</v>
      </c>
      <c r="E3693" t="s">
        <v>9</v>
      </c>
      <c r="F3693">
        <v>52.24</v>
      </c>
      <c r="G3693" t="s">
        <v>20</v>
      </c>
      <c r="H3693" t="s">
        <v>11</v>
      </c>
    </row>
    <row r="3694" spans="1:8" x14ac:dyDescent="0.25">
      <c r="A3694" s="1">
        <v>45661.833333333336</v>
      </c>
      <c r="B3694" t="s">
        <v>27</v>
      </c>
      <c r="C3694">
        <v>444.95</v>
      </c>
      <c r="D3694">
        <v>66.06</v>
      </c>
      <c r="E3694" t="s">
        <v>9</v>
      </c>
      <c r="F3694">
        <v>83.4</v>
      </c>
      <c r="G3694" t="s">
        <v>20</v>
      </c>
      <c r="H3694" t="s">
        <v>11</v>
      </c>
    </row>
    <row r="3695" spans="1:8" x14ac:dyDescent="0.25">
      <c r="A3695" s="1">
        <v>45661.875</v>
      </c>
      <c r="B3695" t="s">
        <v>27</v>
      </c>
      <c r="C3695">
        <v>368.54</v>
      </c>
      <c r="D3695">
        <v>72.61</v>
      </c>
      <c r="E3695" t="s">
        <v>9</v>
      </c>
      <c r="F3695">
        <v>49.93</v>
      </c>
      <c r="G3695" t="s">
        <v>20</v>
      </c>
      <c r="H3695" t="s">
        <v>13</v>
      </c>
    </row>
    <row r="3696" spans="1:8" x14ac:dyDescent="0.25">
      <c r="A3696" s="1">
        <v>45661.916666666664</v>
      </c>
      <c r="B3696" t="s">
        <v>27</v>
      </c>
      <c r="C3696">
        <v>457.76</v>
      </c>
      <c r="D3696">
        <v>17.260000000000002</v>
      </c>
      <c r="E3696" t="s">
        <v>9</v>
      </c>
      <c r="F3696">
        <v>53.85</v>
      </c>
      <c r="G3696" t="s">
        <v>20</v>
      </c>
      <c r="H3696" t="s">
        <v>12</v>
      </c>
    </row>
    <row r="3697" spans="1:8" x14ac:dyDescent="0.25">
      <c r="A3697" s="1">
        <v>45661.958333333336</v>
      </c>
      <c r="B3697" t="s">
        <v>27</v>
      </c>
      <c r="C3697">
        <v>118.22</v>
      </c>
      <c r="D3697">
        <v>33.85</v>
      </c>
      <c r="E3697" t="s">
        <v>9</v>
      </c>
      <c r="F3697">
        <v>76.38</v>
      </c>
      <c r="G3697" t="s">
        <v>20</v>
      </c>
      <c r="H3697" t="s">
        <v>13</v>
      </c>
    </row>
    <row r="3698" spans="1:8" x14ac:dyDescent="0.25">
      <c r="A3698" s="1">
        <v>45662</v>
      </c>
      <c r="B3698" t="s">
        <v>27</v>
      </c>
      <c r="C3698">
        <v>446.96</v>
      </c>
      <c r="D3698">
        <v>59.67</v>
      </c>
      <c r="E3698" t="s">
        <v>9</v>
      </c>
      <c r="F3698">
        <v>68.819999999999993</v>
      </c>
      <c r="G3698" t="s">
        <v>20</v>
      </c>
      <c r="H3698" t="s">
        <v>13</v>
      </c>
    </row>
    <row r="3699" spans="1:8" x14ac:dyDescent="0.25">
      <c r="A3699" s="1">
        <v>45662.041666666664</v>
      </c>
      <c r="B3699" t="s">
        <v>27</v>
      </c>
      <c r="C3699">
        <v>392.95</v>
      </c>
      <c r="D3699">
        <v>59.36</v>
      </c>
      <c r="E3699" t="s">
        <v>9</v>
      </c>
      <c r="F3699">
        <v>84.04</v>
      </c>
      <c r="G3699" t="s">
        <v>20</v>
      </c>
      <c r="H3699" t="s">
        <v>12</v>
      </c>
    </row>
    <row r="3700" spans="1:8" x14ac:dyDescent="0.25">
      <c r="A3700" s="1">
        <v>45662.083333333336</v>
      </c>
      <c r="B3700" t="s">
        <v>27</v>
      </c>
      <c r="C3700">
        <v>488.97</v>
      </c>
      <c r="D3700">
        <v>18.64</v>
      </c>
      <c r="E3700" t="s">
        <v>9</v>
      </c>
      <c r="F3700">
        <v>38.340000000000003</v>
      </c>
      <c r="G3700" t="s">
        <v>20</v>
      </c>
      <c r="H3700" t="s">
        <v>12</v>
      </c>
    </row>
    <row r="3701" spans="1:8" x14ac:dyDescent="0.25">
      <c r="A3701" s="1">
        <v>45662.125</v>
      </c>
      <c r="B3701" t="s">
        <v>27</v>
      </c>
      <c r="C3701">
        <v>318.06</v>
      </c>
      <c r="D3701">
        <v>78.3</v>
      </c>
      <c r="E3701" t="s">
        <v>9</v>
      </c>
      <c r="F3701">
        <v>32</v>
      </c>
      <c r="G3701" t="s">
        <v>20</v>
      </c>
      <c r="H3701" t="s">
        <v>12</v>
      </c>
    </row>
    <row r="3702" spans="1:8" x14ac:dyDescent="0.25">
      <c r="A3702" s="1">
        <v>45662.166666666664</v>
      </c>
      <c r="B3702" t="s">
        <v>27</v>
      </c>
      <c r="C3702">
        <v>489.24</v>
      </c>
      <c r="D3702">
        <v>39.520000000000003</v>
      </c>
      <c r="E3702" t="s">
        <v>9</v>
      </c>
      <c r="F3702">
        <v>55.74</v>
      </c>
      <c r="G3702" t="s">
        <v>20</v>
      </c>
      <c r="H3702" t="s">
        <v>11</v>
      </c>
    </row>
    <row r="3703" spans="1:8" x14ac:dyDescent="0.25">
      <c r="A3703" s="1">
        <v>45662.208333333336</v>
      </c>
      <c r="B3703" t="s">
        <v>27</v>
      </c>
      <c r="C3703">
        <v>310.70999999999998</v>
      </c>
      <c r="D3703">
        <v>18.75</v>
      </c>
      <c r="E3703" t="s">
        <v>9</v>
      </c>
      <c r="F3703">
        <v>38.979999999999997</v>
      </c>
      <c r="G3703" t="s">
        <v>20</v>
      </c>
      <c r="H3703" t="s">
        <v>13</v>
      </c>
    </row>
    <row r="3704" spans="1:8" x14ac:dyDescent="0.25">
      <c r="A3704" s="1">
        <v>45662.25</v>
      </c>
      <c r="B3704" t="s">
        <v>27</v>
      </c>
      <c r="C3704">
        <v>155.97999999999999</v>
      </c>
      <c r="D3704">
        <v>78.22</v>
      </c>
      <c r="E3704" t="s">
        <v>9</v>
      </c>
      <c r="F3704">
        <v>35.6</v>
      </c>
      <c r="G3704" t="s">
        <v>20</v>
      </c>
      <c r="H3704" t="s">
        <v>12</v>
      </c>
    </row>
    <row r="3705" spans="1:8" x14ac:dyDescent="0.25">
      <c r="A3705" s="1">
        <v>45662.291666666664</v>
      </c>
      <c r="B3705" t="s">
        <v>27</v>
      </c>
      <c r="C3705">
        <v>298.3</v>
      </c>
      <c r="D3705">
        <v>46.62</v>
      </c>
      <c r="E3705" t="s">
        <v>9</v>
      </c>
      <c r="F3705">
        <v>41.4</v>
      </c>
      <c r="G3705" t="s">
        <v>20</v>
      </c>
      <c r="H3705" t="s">
        <v>13</v>
      </c>
    </row>
    <row r="3706" spans="1:8" x14ac:dyDescent="0.25">
      <c r="A3706" s="1">
        <v>45662.333333333336</v>
      </c>
      <c r="B3706" t="s">
        <v>27</v>
      </c>
      <c r="C3706">
        <v>90.55</v>
      </c>
      <c r="D3706">
        <v>85.96</v>
      </c>
      <c r="E3706" t="s">
        <v>14</v>
      </c>
      <c r="F3706">
        <v>84.57</v>
      </c>
      <c r="G3706" t="s">
        <v>20</v>
      </c>
      <c r="H3706" t="s">
        <v>12</v>
      </c>
    </row>
    <row r="3707" spans="1:8" x14ac:dyDescent="0.25">
      <c r="A3707" s="1">
        <v>45662.375</v>
      </c>
      <c r="B3707" t="s">
        <v>27</v>
      </c>
      <c r="C3707">
        <v>325.02</v>
      </c>
      <c r="D3707">
        <v>67.959999999999994</v>
      </c>
      <c r="E3707" t="s">
        <v>9</v>
      </c>
      <c r="F3707">
        <v>70.180000000000007</v>
      </c>
      <c r="G3707" t="s">
        <v>20</v>
      </c>
      <c r="H3707" t="s">
        <v>12</v>
      </c>
    </row>
    <row r="3708" spans="1:8" x14ac:dyDescent="0.25">
      <c r="A3708" s="1">
        <v>45662.416666666664</v>
      </c>
      <c r="B3708" t="s">
        <v>27</v>
      </c>
      <c r="C3708">
        <v>52.28</v>
      </c>
      <c r="D3708">
        <v>47.08</v>
      </c>
      <c r="E3708" t="s">
        <v>9</v>
      </c>
      <c r="F3708">
        <v>67.790000000000006</v>
      </c>
      <c r="G3708" t="s">
        <v>20</v>
      </c>
      <c r="H3708" t="s">
        <v>13</v>
      </c>
    </row>
    <row r="3709" spans="1:8" x14ac:dyDescent="0.25">
      <c r="A3709" s="1">
        <v>45662.458333333336</v>
      </c>
      <c r="B3709" t="s">
        <v>27</v>
      </c>
      <c r="C3709">
        <v>144.85</v>
      </c>
      <c r="D3709">
        <v>76.55</v>
      </c>
      <c r="E3709" t="s">
        <v>9</v>
      </c>
      <c r="F3709">
        <v>40.61</v>
      </c>
      <c r="G3709" t="s">
        <v>20</v>
      </c>
      <c r="H3709" t="s">
        <v>11</v>
      </c>
    </row>
    <row r="3710" spans="1:8" x14ac:dyDescent="0.25">
      <c r="A3710" s="1">
        <v>45662.5</v>
      </c>
      <c r="B3710" t="s">
        <v>27</v>
      </c>
      <c r="C3710">
        <v>380.44</v>
      </c>
      <c r="D3710">
        <v>90.18</v>
      </c>
      <c r="E3710" t="s">
        <v>14</v>
      </c>
      <c r="F3710">
        <v>35.590000000000003</v>
      </c>
      <c r="G3710" t="s">
        <v>20</v>
      </c>
      <c r="H3710" t="s">
        <v>13</v>
      </c>
    </row>
    <row r="3711" spans="1:8" x14ac:dyDescent="0.25">
      <c r="A3711" s="1">
        <v>45662.541666666664</v>
      </c>
      <c r="B3711" t="s">
        <v>27</v>
      </c>
      <c r="C3711">
        <v>78.87</v>
      </c>
      <c r="D3711">
        <v>84.61</v>
      </c>
      <c r="E3711" t="s">
        <v>9</v>
      </c>
      <c r="F3711">
        <v>60.82</v>
      </c>
      <c r="G3711" t="s">
        <v>20</v>
      </c>
      <c r="H3711" t="s">
        <v>11</v>
      </c>
    </row>
    <row r="3712" spans="1:8" x14ac:dyDescent="0.25">
      <c r="A3712" s="1">
        <v>45662.583333333336</v>
      </c>
      <c r="B3712" t="s">
        <v>27</v>
      </c>
      <c r="C3712">
        <v>185.28</v>
      </c>
      <c r="D3712">
        <v>68.05</v>
      </c>
      <c r="E3712" t="s">
        <v>9</v>
      </c>
      <c r="F3712">
        <v>68.709999999999994</v>
      </c>
      <c r="G3712" t="s">
        <v>20</v>
      </c>
      <c r="H3712" t="s">
        <v>12</v>
      </c>
    </row>
    <row r="3713" spans="1:8" x14ac:dyDescent="0.25">
      <c r="A3713" s="1">
        <v>45662.625</v>
      </c>
      <c r="B3713" t="s">
        <v>27</v>
      </c>
      <c r="C3713">
        <v>392.59</v>
      </c>
      <c r="D3713">
        <v>80.53</v>
      </c>
      <c r="E3713" t="s">
        <v>9</v>
      </c>
      <c r="F3713">
        <v>70.31</v>
      </c>
      <c r="G3713" t="s">
        <v>20</v>
      </c>
      <c r="H3713" t="s">
        <v>12</v>
      </c>
    </row>
    <row r="3714" spans="1:8" x14ac:dyDescent="0.25">
      <c r="A3714" s="1">
        <v>45662.666666666664</v>
      </c>
      <c r="B3714" t="s">
        <v>27</v>
      </c>
      <c r="C3714">
        <v>270.97000000000003</v>
      </c>
      <c r="D3714">
        <v>88.66</v>
      </c>
      <c r="E3714" t="s">
        <v>14</v>
      </c>
      <c r="F3714">
        <v>58.83</v>
      </c>
      <c r="G3714" t="s">
        <v>20</v>
      </c>
      <c r="H3714" t="s">
        <v>11</v>
      </c>
    </row>
    <row r="3715" spans="1:8" x14ac:dyDescent="0.25">
      <c r="A3715" s="1">
        <v>45662.708333333336</v>
      </c>
      <c r="B3715" t="s">
        <v>27</v>
      </c>
      <c r="C3715">
        <v>102.35</v>
      </c>
      <c r="D3715">
        <v>90.84</v>
      </c>
      <c r="E3715" t="s">
        <v>14</v>
      </c>
      <c r="F3715">
        <v>42.81</v>
      </c>
      <c r="G3715" t="s">
        <v>20</v>
      </c>
      <c r="H3715" t="s">
        <v>12</v>
      </c>
    </row>
    <row r="3716" spans="1:8" x14ac:dyDescent="0.25">
      <c r="A3716" s="1">
        <v>45662.75</v>
      </c>
      <c r="B3716" t="s">
        <v>27</v>
      </c>
      <c r="C3716">
        <v>281.02999999999997</v>
      </c>
      <c r="D3716">
        <v>34.229999999999997</v>
      </c>
      <c r="E3716" t="s">
        <v>9</v>
      </c>
      <c r="F3716">
        <v>57.91</v>
      </c>
      <c r="G3716" t="s">
        <v>20</v>
      </c>
      <c r="H3716" t="s">
        <v>13</v>
      </c>
    </row>
    <row r="3717" spans="1:8" x14ac:dyDescent="0.25">
      <c r="A3717" s="1">
        <v>45662.791666666664</v>
      </c>
      <c r="B3717" t="s">
        <v>27</v>
      </c>
      <c r="C3717">
        <v>121.49</v>
      </c>
      <c r="D3717">
        <v>73.72</v>
      </c>
      <c r="E3717" t="s">
        <v>9</v>
      </c>
      <c r="F3717">
        <v>71.39</v>
      </c>
      <c r="G3717" t="s">
        <v>20</v>
      </c>
      <c r="H3717" t="s">
        <v>12</v>
      </c>
    </row>
    <row r="3718" spans="1:8" x14ac:dyDescent="0.25">
      <c r="A3718" s="1">
        <v>45662.833333333336</v>
      </c>
      <c r="B3718" t="s">
        <v>27</v>
      </c>
      <c r="C3718">
        <v>271.14999999999998</v>
      </c>
      <c r="D3718">
        <v>42.71</v>
      </c>
      <c r="E3718" t="s">
        <v>9</v>
      </c>
      <c r="F3718">
        <v>78.78</v>
      </c>
      <c r="G3718" t="s">
        <v>20</v>
      </c>
      <c r="H3718" t="s">
        <v>13</v>
      </c>
    </row>
    <row r="3719" spans="1:8" x14ac:dyDescent="0.25">
      <c r="A3719" s="1">
        <v>45662.875</v>
      </c>
      <c r="B3719" t="s">
        <v>27</v>
      </c>
      <c r="C3719">
        <v>497.61</v>
      </c>
      <c r="D3719">
        <v>51.03</v>
      </c>
      <c r="E3719" t="s">
        <v>9</v>
      </c>
      <c r="F3719">
        <v>34.08</v>
      </c>
      <c r="G3719" t="s">
        <v>20</v>
      </c>
      <c r="H3719" t="s">
        <v>12</v>
      </c>
    </row>
    <row r="3720" spans="1:8" x14ac:dyDescent="0.25">
      <c r="A3720" s="1">
        <v>45662.916666666664</v>
      </c>
      <c r="B3720" t="s">
        <v>27</v>
      </c>
      <c r="C3720">
        <v>384.22</v>
      </c>
      <c r="D3720">
        <v>60.48</v>
      </c>
      <c r="E3720" t="s">
        <v>9</v>
      </c>
      <c r="F3720">
        <v>41.65</v>
      </c>
      <c r="G3720" t="s">
        <v>20</v>
      </c>
      <c r="H3720" t="s">
        <v>12</v>
      </c>
    </row>
    <row r="3721" spans="1:8" x14ac:dyDescent="0.25">
      <c r="A3721" s="1">
        <v>45662.958333333336</v>
      </c>
      <c r="B3721" t="s">
        <v>27</v>
      </c>
      <c r="C3721">
        <v>382.77</v>
      </c>
      <c r="D3721">
        <v>54.03</v>
      </c>
      <c r="E3721" t="s">
        <v>9</v>
      </c>
      <c r="F3721">
        <v>31.72</v>
      </c>
      <c r="G3721" t="s">
        <v>20</v>
      </c>
      <c r="H3721" t="s">
        <v>11</v>
      </c>
    </row>
    <row r="3722" spans="1:8" x14ac:dyDescent="0.25">
      <c r="A3722" s="1">
        <v>45663</v>
      </c>
      <c r="B3722" t="s">
        <v>27</v>
      </c>
      <c r="C3722">
        <v>299.93</v>
      </c>
      <c r="D3722">
        <v>14.34</v>
      </c>
      <c r="E3722" t="s">
        <v>9</v>
      </c>
      <c r="F3722">
        <v>61.19</v>
      </c>
      <c r="G3722" t="s">
        <v>20</v>
      </c>
      <c r="H3722" t="s">
        <v>13</v>
      </c>
    </row>
    <row r="3723" spans="1:8" x14ac:dyDescent="0.25">
      <c r="A3723" s="1">
        <v>45663.041666666664</v>
      </c>
      <c r="B3723" t="s">
        <v>27</v>
      </c>
      <c r="C3723">
        <v>148.49</v>
      </c>
      <c r="D3723">
        <v>75.63</v>
      </c>
      <c r="E3723" t="s">
        <v>9</v>
      </c>
      <c r="F3723">
        <v>73.260000000000005</v>
      </c>
      <c r="G3723" t="s">
        <v>20</v>
      </c>
      <c r="H3723" t="s">
        <v>13</v>
      </c>
    </row>
    <row r="3724" spans="1:8" x14ac:dyDescent="0.25">
      <c r="A3724" s="1">
        <v>45663.083333333336</v>
      </c>
      <c r="B3724" t="s">
        <v>27</v>
      </c>
      <c r="C3724">
        <v>431.05</v>
      </c>
      <c r="D3724">
        <v>87.62</v>
      </c>
      <c r="E3724" t="s">
        <v>14</v>
      </c>
      <c r="F3724">
        <v>84.76</v>
      </c>
      <c r="G3724" t="s">
        <v>20</v>
      </c>
      <c r="H3724" t="s">
        <v>13</v>
      </c>
    </row>
    <row r="3725" spans="1:8" x14ac:dyDescent="0.25">
      <c r="A3725" s="1">
        <v>45663.125</v>
      </c>
      <c r="B3725" t="s">
        <v>27</v>
      </c>
      <c r="C3725">
        <v>92.82</v>
      </c>
      <c r="D3725">
        <v>47.26</v>
      </c>
      <c r="E3725" t="s">
        <v>9</v>
      </c>
      <c r="F3725">
        <v>86.53</v>
      </c>
      <c r="G3725" t="s">
        <v>20</v>
      </c>
      <c r="H3725" t="s">
        <v>12</v>
      </c>
    </row>
    <row r="3726" spans="1:8" x14ac:dyDescent="0.25">
      <c r="A3726" s="1">
        <v>45663.166666666664</v>
      </c>
      <c r="B3726" t="s">
        <v>27</v>
      </c>
      <c r="C3726">
        <v>139.6</v>
      </c>
      <c r="D3726">
        <v>65.819999999999993</v>
      </c>
      <c r="E3726" t="s">
        <v>9</v>
      </c>
      <c r="F3726">
        <v>68.66</v>
      </c>
      <c r="G3726" t="s">
        <v>20</v>
      </c>
      <c r="H3726" t="s">
        <v>13</v>
      </c>
    </row>
    <row r="3727" spans="1:8" x14ac:dyDescent="0.25">
      <c r="A3727" s="1">
        <v>45663.208333333336</v>
      </c>
      <c r="B3727" t="s">
        <v>27</v>
      </c>
      <c r="C3727">
        <v>275.24</v>
      </c>
      <c r="D3727">
        <v>92.64</v>
      </c>
      <c r="E3727" t="s">
        <v>14</v>
      </c>
      <c r="F3727">
        <v>37.78</v>
      </c>
      <c r="G3727" t="s">
        <v>20</v>
      </c>
      <c r="H3727" t="s">
        <v>11</v>
      </c>
    </row>
    <row r="3728" spans="1:8" x14ac:dyDescent="0.25">
      <c r="A3728" s="1">
        <v>45663.25</v>
      </c>
      <c r="B3728" t="s">
        <v>27</v>
      </c>
      <c r="C3728">
        <v>313.25</v>
      </c>
      <c r="D3728">
        <v>53.24</v>
      </c>
      <c r="E3728" t="s">
        <v>9</v>
      </c>
      <c r="F3728">
        <v>61.15</v>
      </c>
      <c r="G3728" t="s">
        <v>20</v>
      </c>
      <c r="H3728" t="s">
        <v>11</v>
      </c>
    </row>
    <row r="3729" spans="1:8" x14ac:dyDescent="0.25">
      <c r="A3729" s="1">
        <v>45663.291666666664</v>
      </c>
      <c r="B3729" t="s">
        <v>27</v>
      </c>
      <c r="C3729">
        <v>243.18</v>
      </c>
      <c r="D3729">
        <v>79.95</v>
      </c>
      <c r="E3729" t="s">
        <v>9</v>
      </c>
      <c r="F3729">
        <v>53.33</v>
      </c>
      <c r="G3729" t="s">
        <v>20</v>
      </c>
      <c r="H3729" t="s">
        <v>12</v>
      </c>
    </row>
    <row r="3730" spans="1:8" x14ac:dyDescent="0.25">
      <c r="A3730" s="1">
        <v>45663.333333333336</v>
      </c>
      <c r="B3730" t="s">
        <v>27</v>
      </c>
      <c r="C3730">
        <v>204.46</v>
      </c>
      <c r="D3730">
        <v>83.37</v>
      </c>
      <c r="E3730" t="s">
        <v>9</v>
      </c>
      <c r="F3730">
        <v>72.099999999999994</v>
      </c>
      <c r="G3730" t="s">
        <v>20</v>
      </c>
      <c r="H3730" t="s">
        <v>11</v>
      </c>
    </row>
    <row r="3731" spans="1:8" x14ac:dyDescent="0.25">
      <c r="A3731" s="1">
        <v>45663.375</v>
      </c>
      <c r="B3731" t="s">
        <v>27</v>
      </c>
      <c r="C3731">
        <v>136.11000000000001</v>
      </c>
      <c r="D3731">
        <v>47.37</v>
      </c>
      <c r="E3731" t="s">
        <v>9</v>
      </c>
      <c r="F3731">
        <v>40.22</v>
      </c>
      <c r="G3731" t="s">
        <v>20</v>
      </c>
      <c r="H3731" t="s">
        <v>11</v>
      </c>
    </row>
    <row r="3732" spans="1:8" x14ac:dyDescent="0.25">
      <c r="A3732" s="1">
        <v>45663.416666666664</v>
      </c>
      <c r="B3732" t="s">
        <v>27</v>
      </c>
      <c r="C3732">
        <v>60.9</v>
      </c>
      <c r="D3732">
        <v>88.41</v>
      </c>
      <c r="E3732" t="s">
        <v>14</v>
      </c>
      <c r="F3732">
        <v>53.22</v>
      </c>
      <c r="G3732" t="s">
        <v>20</v>
      </c>
      <c r="H3732" t="s">
        <v>11</v>
      </c>
    </row>
    <row r="3733" spans="1:8" x14ac:dyDescent="0.25">
      <c r="A3733" s="1">
        <v>45663.458333333336</v>
      </c>
      <c r="B3733" t="s">
        <v>27</v>
      </c>
      <c r="C3733">
        <v>275.67</v>
      </c>
      <c r="D3733">
        <v>34.07</v>
      </c>
      <c r="E3733" t="s">
        <v>9</v>
      </c>
      <c r="F3733">
        <v>71.11</v>
      </c>
      <c r="G3733" t="s">
        <v>20</v>
      </c>
      <c r="H3733" t="s">
        <v>12</v>
      </c>
    </row>
    <row r="3734" spans="1:8" x14ac:dyDescent="0.25">
      <c r="A3734" s="1">
        <v>45663.5</v>
      </c>
      <c r="B3734" t="s">
        <v>27</v>
      </c>
      <c r="C3734">
        <v>171.88</v>
      </c>
      <c r="D3734">
        <v>33.75</v>
      </c>
      <c r="E3734" t="s">
        <v>9</v>
      </c>
      <c r="F3734">
        <v>45.39</v>
      </c>
      <c r="G3734" t="s">
        <v>20</v>
      </c>
      <c r="H3734" t="s">
        <v>12</v>
      </c>
    </row>
    <row r="3735" spans="1:8" x14ac:dyDescent="0.25">
      <c r="A3735" s="1">
        <v>45663.541666666664</v>
      </c>
      <c r="B3735" t="s">
        <v>27</v>
      </c>
      <c r="C3735">
        <v>274.99</v>
      </c>
      <c r="D3735">
        <v>68.23</v>
      </c>
      <c r="E3735" t="s">
        <v>9</v>
      </c>
      <c r="F3735">
        <v>46.86</v>
      </c>
      <c r="G3735" t="s">
        <v>20</v>
      </c>
      <c r="H3735" t="s">
        <v>12</v>
      </c>
    </row>
    <row r="3736" spans="1:8" x14ac:dyDescent="0.25">
      <c r="A3736" s="1">
        <v>45663.583333333336</v>
      </c>
      <c r="B3736" t="s">
        <v>27</v>
      </c>
      <c r="C3736">
        <v>420.09</v>
      </c>
      <c r="D3736">
        <v>23.97</v>
      </c>
      <c r="E3736" t="s">
        <v>9</v>
      </c>
      <c r="F3736">
        <v>52.45</v>
      </c>
      <c r="G3736" t="s">
        <v>20</v>
      </c>
      <c r="H3736" t="s">
        <v>11</v>
      </c>
    </row>
    <row r="3737" spans="1:8" x14ac:dyDescent="0.25">
      <c r="A3737" s="1">
        <v>45663.625</v>
      </c>
      <c r="B3737" t="s">
        <v>27</v>
      </c>
      <c r="C3737">
        <v>347.01</v>
      </c>
      <c r="D3737">
        <v>31.98</v>
      </c>
      <c r="E3737" t="s">
        <v>9</v>
      </c>
      <c r="F3737">
        <v>87.93</v>
      </c>
      <c r="G3737" t="s">
        <v>20</v>
      </c>
      <c r="H3737" t="s">
        <v>12</v>
      </c>
    </row>
    <row r="3738" spans="1:8" x14ac:dyDescent="0.25">
      <c r="A3738" s="1">
        <v>45663.666666666664</v>
      </c>
      <c r="B3738" t="s">
        <v>27</v>
      </c>
      <c r="C3738">
        <v>93.75</v>
      </c>
      <c r="D3738">
        <v>45.55</v>
      </c>
      <c r="E3738" t="s">
        <v>9</v>
      </c>
      <c r="F3738">
        <v>30.91</v>
      </c>
      <c r="G3738" t="s">
        <v>20</v>
      </c>
      <c r="H3738" t="s">
        <v>12</v>
      </c>
    </row>
    <row r="3739" spans="1:8" x14ac:dyDescent="0.25">
      <c r="A3739" s="1">
        <v>45663.708333333336</v>
      </c>
      <c r="B3739" t="s">
        <v>27</v>
      </c>
      <c r="C3739">
        <v>465.2</v>
      </c>
      <c r="D3739">
        <v>79.650000000000006</v>
      </c>
      <c r="E3739" t="s">
        <v>9</v>
      </c>
      <c r="F3739">
        <v>71.650000000000006</v>
      </c>
      <c r="G3739" t="s">
        <v>20</v>
      </c>
      <c r="H3739" t="s">
        <v>13</v>
      </c>
    </row>
    <row r="3740" spans="1:8" x14ac:dyDescent="0.25">
      <c r="A3740" s="1">
        <v>45663.75</v>
      </c>
      <c r="B3740" t="s">
        <v>27</v>
      </c>
      <c r="C3740">
        <v>152.36000000000001</v>
      </c>
      <c r="D3740">
        <v>35.01</v>
      </c>
      <c r="E3740" t="s">
        <v>9</v>
      </c>
      <c r="F3740">
        <v>53.2</v>
      </c>
      <c r="G3740" t="s">
        <v>20</v>
      </c>
      <c r="H3740" t="s">
        <v>12</v>
      </c>
    </row>
    <row r="3741" spans="1:8" x14ac:dyDescent="0.25">
      <c r="A3741" s="1">
        <v>45663.791666666664</v>
      </c>
      <c r="B3741" t="s">
        <v>27</v>
      </c>
      <c r="C3741">
        <v>225.86</v>
      </c>
      <c r="D3741">
        <v>58.77</v>
      </c>
      <c r="E3741" t="s">
        <v>9</v>
      </c>
      <c r="F3741">
        <v>76.58</v>
      </c>
      <c r="G3741" t="s">
        <v>20</v>
      </c>
      <c r="H3741" t="s">
        <v>11</v>
      </c>
    </row>
    <row r="3742" spans="1:8" x14ac:dyDescent="0.25">
      <c r="A3742" s="1">
        <v>45663.833333333336</v>
      </c>
      <c r="B3742" t="s">
        <v>27</v>
      </c>
      <c r="C3742">
        <v>85.77</v>
      </c>
      <c r="D3742">
        <v>75.56</v>
      </c>
      <c r="E3742" t="s">
        <v>9</v>
      </c>
      <c r="F3742">
        <v>56.69</v>
      </c>
      <c r="G3742" t="s">
        <v>20</v>
      </c>
      <c r="H3742" t="s">
        <v>11</v>
      </c>
    </row>
    <row r="3743" spans="1:8" x14ac:dyDescent="0.25">
      <c r="A3743" s="1">
        <v>45663.875</v>
      </c>
      <c r="B3743" t="s">
        <v>27</v>
      </c>
      <c r="C3743">
        <v>197.05</v>
      </c>
      <c r="D3743">
        <v>19.989999999999998</v>
      </c>
      <c r="E3743" t="s">
        <v>9</v>
      </c>
      <c r="F3743">
        <v>83.15</v>
      </c>
      <c r="G3743" t="s">
        <v>20</v>
      </c>
      <c r="H3743" t="s">
        <v>11</v>
      </c>
    </row>
    <row r="3744" spans="1:8" x14ac:dyDescent="0.25">
      <c r="A3744" s="1">
        <v>45663.916666666664</v>
      </c>
      <c r="B3744" t="s">
        <v>27</v>
      </c>
      <c r="C3744">
        <v>220.11</v>
      </c>
      <c r="D3744">
        <v>20.260000000000002</v>
      </c>
      <c r="E3744" t="s">
        <v>9</v>
      </c>
      <c r="F3744">
        <v>30.73</v>
      </c>
      <c r="G3744" t="s">
        <v>20</v>
      </c>
      <c r="H3744" t="s">
        <v>13</v>
      </c>
    </row>
    <row r="3745" spans="1:8" x14ac:dyDescent="0.25">
      <c r="A3745" s="1">
        <v>45663.958333333336</v>
      </c>
      <c r="B3745" t="s">
        <v>27</v>
      </c>
      <c r="C3745">
        <v>78.87</v>
      </c>
      <c r="D3745">
        <v>63.23</v>
      </c>
      <c r="E3745" t="s">
        <v>9</v>
      </c>
      <c r="F3745">
        <v>58.77</v>
      </c>
      <c r="G3745" t="s">
        <v>20</v>
      </c>
      <c r="H3745" t="s">
        <v>13</v>
      </c>
    </row>
    <row r="3746" spans="1:8" x14ac:dyDescent="0.25">
      <c r="A3746" s="1">
        <v>45664</v>
      </c>
      <c r="B3746" t="s">
        <v>27</v>
      </c>
      <c r="C3746">
        <v>123.6</v>
      </c>
      <c r="D3746">
        <v>73.709999999999994</v>
      </c>
      <c r="E3746" t="s">
        <v>9</v>
      </c>
      <c r="F3746">
        <v>84.98</v>
      </c>
      <c r="G3746" t="s">
        <v>20</v>
      </c>
      <c r="H3746" t="s">
        <v>13</v>
      </c>
    </row>
    <row r="3747" spans="1:8" x14ac:dyDescent="0.25">
      <c r="A3747" s="1">
        <v>45664.041666666664</v>
      </c>
      <c r="B3747" t="s">
        <v>27</v>
      </c>
      <c r="C3747">
        <v>470.51</v>
      </c>
      <c r="D3747">
        <v>42.01</v>
      </c>
      <c r="E3747" t="s">
        <v>9</v>
      </c>
      <c r="F3747">
        <v>70.63</v>
      </c>
      <c r="G3747" t="s">
        <v>20</v>
      </c>
      <c r="H3747" t="s">
        <v>11</v>
      </c>
    </row>
    <row r="3748" spans="1:8" x14ac:dyDescent="0.25">
      <c r="A3748" s="1">
        <v>45664.083333333336</v>
      </c>
      <c r="B3748" t="s">
        <v>27</v>
      </c>
      <c r="C3748">
        <v>278.70999999999998</v>
      </c>
      <c r="D3748">
        <v>55.81</v>
      </c>
      <c r="E3748" t="s">
        <v>9</v>
      </c>
      <c r="F3748">
        <v>45.79</v>
      </c>
      <c r="G3748" t="s">
        <v>20</v>
      </c>
      <c r="H3748" t="s">
        <v>13</v>
      </c>
    </row>
    <row r="3749" spans="1:8" x14ac:dyDescent="0.25">
      <c r="A3749" s="1">
        <v>45664.125</v>
      </c>
      <c r="B3749" t="s">
        <v>27</v>
      </c>
      <c r="C3749">
        <v>469.19</v>
      </c>
      <c r="D3749">
        <v>58.95</v>
      </c>
      <c r="E3749" t="s">
        <v>9</v>
      </c>
      <c r="F3749">
        <v>85.62</v>
      </c>
      <c r="G3749" t="s">
        <v>20</v>
      </c>
      <c r="H3749" t="s">
        <v>13</v>
      </c>
    </row>
    <row r="3750" spans="1:8" x14ac:dyDescent="0.25">
      <c r="A3750" s="1">
        <v>45664.166666666664</v>
      </c>
      <c r="B3750" t="s">
        <v>27</v>
      </c>
      <c r="C3750">
        <v>340.73</v>
      </c>
      <c r="D3750">
        <v>52.3</v>
      </c>
      <c r="E3750" t="s">
        <v>9</v>
      </c>
      <c r="F3750">
        <v>32.99</v>
      </c>
      <c r="G3750" t="s">
        <v>20</v>
      </c>
      <c r="H3750" t="s">
        <v>11</v>
      </c>
    </row>
    <row r="3751" spans="1:8" x14ac:dyDescent="0.25">
      <c r="A3751" s="1">
        <v>45664.208333333336</v>
      </c>
      <c r="B3751" t="s">
        <v>27</v>
      </c>
      <c r="C3751">
        <v>304.61</v>
      </c>
      <c r="D3751">
        <v>88.95</v>
      </c>
      <c r="E3751" t="s">
        <v>14</v>
      </c>
      <c r="F3751">
        <v>31.53</v>
      </c>
      <c r="G3751" t="s">
        <v>20</v>
      </c>
      <c r="H3751" t="s">
        <v>13</v>
      </c>
    </row>
    <row r="3752" spans="1:8" x14ac:dyDescent="0.25">
      <c r="A3752" s="1">
        <v>45664.25</v>
      </c>
      <c r="B3752" t="s">
        <v>27</v>
      </c>
      <c r="C3752">
        <v>398.08</v>
      </c>
      <c r="D3752">
        <v>91.94</v>
      </c>
      <c r="E3752" t="s">
        <v>14</v>
      </c>
      <c r="F3752">
        <v>45.37</v>
      </c>
      <c r="G3752" t="s">
        <v>20</v>
      </c>
      <c r="H3752" t="s">
        <v>12</v>
      </c>
    </row>
    <row r="3753" spans="1:8" x14ac:dyDescent="0.25">
      <c r="A3753" s="1">
        <v>45664.291666666664</v>
      </c>
      <c r="B3753" t="s">
        <v>27</v>
      </c>
      <c r="C3753">
        <v>323.47000000000003</v>
      </c>
      <c r="D3753">
        <v>93.51</v>
      </c>
      <c r="E3753" t="s">
        <v>14</v>
      </c>
      <c r="F3753">
        <v>86.78</v>
      </c>
      <c r="G3753" t="s">
        <v>20</v>
      </c>
      <c r="H3753" t="s">
        <v>11</v>
      </c>
    </row>
    <row r="3754" spans="1:8" x14ac:dyDescent="0.25">
      <c r="A3754" s="1">
        <v>45664.333333333336</v>
      </c>
      <c r="B3754" t="s">
        <v>27</v>
      </c>
      <c r="C3754">
        <v>233.97</v>
      </c>
      <c r="D3754">
        <v>39.72</v>
      </c>
      <c r="E3754" t="s">
        <v>9</v>
      </c>
      <c r="F3754">
        <v>38.909999999999997</v>
      </c>
      <c r="G3754" t="s">
        <v>20</v>
      </c>
      <c r="H3754" t="s">
        <v>12</v>
      </c>
    </row>
    <row r="3755" spans="1:8" x14ac:dyDescent="0.25">
      <c r="A3755" s="1">
        <v>45664.375</v>
      </c>
      <c r="B3755" t="s">
        <v>27</v>
      </c>
      <c r="C3755">
        <v>172.37</v>
      </c>
      <c r="D3755">
        <v>71.11</v>
      </c>
      <c r="E3755" t="s">
        <v>9</v>
      </c>
      <c r="F3755">
        <v>88.84</v>
      </c>
      <c r="G3755" t="s">
        <v>20</v>
      </c>
      <c r="H3755" t="s">
        <v>11</v>
      </c>
    </row>
    <row r="3756" spans="1:8" x14ac:dyDescent="0.25">
      <c r="A3756" s="1">
        <v>45664.416666666664</v>
      </c>
      <c r="B3756" t="s">
        <v>27</v>
      </c>
      <c r="C3756">
        <v>497.77</v>
      </c>
      <c r="D3756">
        <v>68.56</v>
      </c>
      <c r="E3756" t="s">
        <v>9</v>
      </c>
      <c r="F3756">
        <v>34.130000000000003</v>
      </c>
      <c r="G3756" t="s">
        <v>20</v>
      </c>
      <c r="H3756" t="s">
        <v>13</v>
      </c>
    </row>
    <row r="3757" spans="1:8" x14ac:dyDescent="0.25">
      <c r="A3757" s="1">
        <v>45664.458333333336</v>
      </c>
      <c r="B3757" t="s">
        <v>27</v>
      </c>
      <c r="C3757">
        <v>151.30000000000001</v>
      </c>
      <c r="D3757">
        <v>18.899999999999999</v>
      </c>
      <c r="E3757" t="s">
        <v>9</v>
      </c>
      <c r="F3757">
        <v>35.64</v>
      </c>
      <c r="G3757" t="s">
        <v>20</v>
      </c>
      <c r="H3757" t="s">
        <v>12</v>
      </c>
    </row>
    <row r="3758" spans="1:8" x14ac:dyDescent="0.25">
      <c r="A3758" s="1">
        <v>45664.5</v>
      </c>
      <c r="B3758" t="s">
        <v>27</v>
      </c>
      <c r="C3758">
        <v>454.22</v>
      </c>
      <c r="D3758">
        <v>50.29</v>
      </c>
      <c r="E3758" t="s">
        <v>9</v>
      </c>
      <c r="F3758">
        <v>32.909999999999997</v>
      </c>
      <c r="G3758" t="s">
        <v>20</v>
      </c>
      <c r="H3758" t="s">
        <v>13</v>
      </c>
    </row>
    <row r="3759" spans="1:8" x14ac:dyDescent="0.25">
      <c r="A3759" s="1">
        <v>45664.541666666664</v>
      </c>
      <c r="B3759" t="s">
        <v>27</v>
      </c>
      <c r="C3759">
        <v>79.959999999999994</v>
      </c>
      <c r="D3759">
        <v>29.28</v>
      </c>
      <c r="E3759" t="s">
        <v>9</v>
      </c>
      <c r="F3759">
        <v>54.63</v>
      </c>
      <c r="G3759" t="s">
        <v>20</v>
      </c>
      <c r="H3759" t="s">
        <v>12</v>
      </c>
    </row>
    <row r="3760" spans="1:8" x14ac:dyDescent="0.25">
      <c r="A3760" s="1">
        <v>45664.583333333336</v>
      </c>
      <c r="B3760" t="s">
        <v>27</v>
      </c>
      <c r="C3760">
        <v>213.88</v>
      </c>
      <c r="D3760">
        <v>70.900000000000006</v>
      </c>
      <c r="E3760" t="s">
        <v>9</v>
      </c>
      <c r="F3760">
        <v>70.95</v>
      </c>
      <c r="G3760" t="s">
        <v>20</v>
      </c>
      <c r="H3760" t="s">
        <v>12</v>
      </c>
    </row>
    <row r="3761" spans="1:8" x14ac:dyDescent="0.25">
      <c r="A3761" s="1">
        <v>45664.625</v>
      </c>
      <c r="B3761" t="s">
        <v>27</v>
      </c>
      <c r="C3761">
        <v>260.45</v>
      </c>
      <c r="D3761">
        <v>48.76</v>
      </c>
      <c r="E3761" t="s">
        <v>9</v>
      </c>
      <c r="F3761">
        <v>68.67</v>
      </c>
      <c r="G3761" t="s">
        <v>20</v>
      </c>
      <c r="H3761" t="s">
        <v>13</v>
      </c>
    </row>
    <row r="3762" spans="1:8" x14ac:dyDescent="0.25">
      <c r="A3762" s="1">
        <v>45664.666666666664</v>
      </c>
      <c r="B3762" t="s">
        <v>27</v>
      </c>
      <c r="C3762">
        <v>98.54</v>
      </c>
      <c r="D3762">
        <v>22.05</v>
      </c>
      <c r="E3762" t="s">
        <v>9</v>
      </c>
      <c r="F3762">
        <v>81.17</v>
      </c>
      <c r="G3762" t="s">
        <v>20</v>
      </c>
      <c r="H3762" t="s">
        <v>12</v>
      </c>
    </row>
    <row r="3763" spans="1:8" x14ac:dyDescent="0.25">
      <c r="A3763" s="1">
        <v>45664.708333333336</v>
      </c>
      <c r="B3763" t="s">
        <v>27</v>
      </c>
      <c r="C3763">
        <v>124.31</v>
      </c>
      <c r="D3763">
        <v>94.28</v>
      </c>
      <c r="E3763" t="s">
        <v>14</v>
      </c>
      <c r="F3763">
        <v>57.82</v>
      </c>
      <c r="G3763" t="s">
        <v>20</v>
      </c>
      <c r="H3763" t="s">
        <v>13</v>
      </c>
    </row>
    <row r="3764" spans="1:8" x14ac:dyDescent="0.25">
      <c r="A3764" s="1">
        <v>45664.75</v>
      </c>
      <c r="B3764" t="s">
        <v>27</v>
      </c>
      <c r="C3764">
        <v>465.73</v>
      </c>
      <c r="D3764">
        <v>65.48</v>
      </c>
      <c r="E3764" t="s">
        <v>9</v>
      </c>
      <c r="F3764">
        <v>36.35</v>
      </c>
      <c r="G3764" t="s">
        <v>20</v>
      </c>
      <c r="H3764" t="s">
        <v>13</v>
      </c>
    </row>
    <row r="3765" spans="1:8" x14ac:dyDescent="0.25">
      <c r="A3765" s="1">
        <v>45664.791666666664</v>
      </c>
      <c r="B3765" t="s">
        <v>27</v>
      </c>
      <c r="C3765">
        <v>430.81</v>
      </c>
      <c r="D3765">
        <v>33.08</v>
      </c>
      <c r="E3765" t="s">
        <v>9</v>
      </c>
      <c r="F3765">
        <v>40.17</v>
      </c>
      <c r="G3765" t="s">
        <v>20</v>
      </c>
      <c r="H3765" t="s">
        <v>12</v>
      </c>
    </row>
    <row r="3766" spans="1:8" x14ac:dyDescent="0.25">
      <c r="A3766" s="1">
        <v>45664.833333333336</v>
      </c>
      <c r="B3766" t="s">
        <v>27</v>
      </c>
      <c r="C3766">
        <v>409.53</v>
      </c>
      <c r="D3766">
        <v>25.18</v>
      </c>
      <c r="E3766" t="s">
        <v>9</v>
      </c>
      <c r="F3766">
        <v>43.34</v>
      </c>
      <c r="G3766" t="s">
        <v>20</v>
      </c>
      <c r="H3766" t="s">
        <v>11</v>
      </c>
    </row>
    <row r="3767" spans="1:8" x14ac:dyDescent="0.25">
      <c r="A3767" s="1">
        <v>45664.875</v>
      </c>
      <c r="B3767" t="s">
        <v>27</v>
      </c>
      <c r="C3767">
        <v>178.61</v>
      </c>
      <c r="D3767">
        <v>38.68</v>
      </c>
      <c r="E3767" t="s">
        <v>9</v>
      </c>
      <c r="F3767">
        <v>70.08</v>
      </c>
      <c r="G3767" t="s">
        <v>20</v>
      </c>
      <c r="H3767" t="s">
        <v>12</v>
      </c>
    </row>
    <row r="3768" spans="1:8" x14ac:dyDescent="0.25">
      <c r="A3768" s="1">
        <v>45664.916666666664</v>
      </c>
      <c r="B3768" t="s">
        <v>27</v>
      </c>
      <c r="C3768">
        <v>98.67</v>
      </c>
      <c r="D3768">
        <v>67.14</v>
      </c>
      <c r="E3768" t="s">
        <v>9</v>
      </c>
      <c r="F3768">
        <v>85.44</v>
      </c>
      <c r="G3768" t="s">
        <v>20</v>
      </c>
      <c r="H3768" t="s">
        <v>13</v>
      </c>
    </row>
    <row r="3769" spans="1:8" x14ac:dyDescent="0.25">
      <c r="A3769" s="1">
        <v>45664.958333333336</v>
      </c>
      <c r="B3769" t="s">
        <v>27</v>
      </c>
      <c r="C3769">
        <v>244.55</v>
      </c>
      <c r="D3769">
        <v>89.01</v>
      </c>
      <c r="E3769" t="s">
        <v>14</v>
      </c>
      <c r="F3769">
        <v>60.19</v>
      </c>
      <c r="G3769" t="s">
        <v>20</v>
      </c>
      <c r="H3769" t="s">
        <v>13</v>
      </c>
    </row>
    <row r="3770" spans="1:8" x14ac:dyDescent="0.25">
      <c r="A3770" s="1">
        <v>45665</v>
      </c>
      <c r="B3770" t="s">
        <v>27</v>
      </c>
      <c r="C3770">
        <v>179.15</v>
      </c>
      <c r="D3770">
        <v>42.69</v>
      </c>
      <c r="E3770" t="s">
        <v>9</v>
      </c>
      <c r="F3770">
        <v>31.73</v>
      </c>
      <c r="G3770" t="s">
        <v>20</v>
      </c>
      <c r="H3770" t="s">
        <v>12</v>
      </c>
    </row>
    <row r="3771" spans="1:8" x14ac:dyDescent="0.25">
      <c r="A3771" s="1">
        <v>45665.041666666664</v>
      </c>
      <c r="B3771" t="s">
        <v>27</v>
      </c>
      <c r="C3771">
        <v>331.16</v>
      </c>
      <c r="D3771">
        <v>54.55</v>
      </c>
      <c r="E3771" t="s">
        <v>9</v>
      </c>
      <c r="F3771">
        <v>53.02</v>
      </c>
      <c r="G3771" t="s">
        <v>20</v>
      </c>
      <c r="H3771" t="s">
        <v>12</v>
      </c>
    </row>
    <row r="3772" spans="1:8" x14ac:dyDescent="0.25">
      <c r="A3772" s="1">
        <v>45665.083333333336</v>
      </c>
      <c r="B3772" t="s">
        <v>27</v>
      </c>
      <c r="C3772">
        <v>221.05</v>
      </c>
      <c r="D3772">
        <v>43.16</v>
      </c>
      <c r="E3772" t="s">
        <v>9</v>
      </c>
      <c r="F3772">
        <v>57.84</v>
      </c>
      <c r="G3772" t="s">
        <v>20</v>
      </c>
      <c r="H3772" t="s">
        <v>11</v>
      </c>
    </row>
    <row r="3773" spans="1:8" x14ac:dyDescent="0.25">
      <c r="A3773" s="1">
        <v>45665.125</v>
      </c>
      <c r="B3773" t="s">
        <v>27</v>
      </c>
      <c r="C3773">
        <v>385.65</v>
      </c>
      <c r="D3773">
        <v>54.52</v>
      </c>
      <c r="E3773" t="s">
        <v>9</v>
      </c>
      <c r="F3773">
        <v>32.71</v>
      </c>
      <c r="G3773" t="s">
        <v>20</v>
      </c>
      <c r="H3773" t="s">
        <v>12</v>
      </c>
    </row>
    <row r="3774" spans="1:8" x14ac:dyDescent="0.25">
      <c r="A3774" s="1">
        <v>45665.166666666664</v>
      </c>
      <c r="B3774" t="s">
        <v>27</v>
      </c>
      <c r="C3774">
        <v>404.94</v>
      </c>
      <c r="D3774">
        <v>80.709999999999994</v>
      </c>
      <c r="E3774" t="s">
        <v>9</v>
      </c>
      <c r="F3774">
        <v>70.7</v>
      </c>
      <c r="G3774" t="s">
        <v>20</v>
      </c>
      <c r="H3774" t="s">
        <v>13</v>
      </c>
    </row>
    <row r="3775" spans="1:8" x14ac:dyDescent="0.25">
      <c r="A3775" s="1">
        <v>45665.208333333336</v>
      </c>
      <c r="B3775" t="s">
        <v>27</v>
      </c>
      <c r="C3775">
        <v>422.94</v>
      </c>
      <c r="D3775">
        <v>62.26</v>
      </c>
      <c r="E3775" t="s">
        <v>9</v>
      </c>
      <c r="F3775">
        <v>85.75</v>
      </c>
      <c r="G3775" t="s">
        <v>20</v>
      </c>
      <c r="H3775" t="s">
        <v>13</v>
      </c>
    </row>
    <row r="3776" spans="1:8" x14ac:dyDescent="0.25">
      <c r="A3776" s="1">
        <v>45665.25</v>
      </c>
      <c r="B3776" t="s">
        <v>27</v>
      </c>
      <c r="C3776">
        <v>224.48</v>
      </c>
      <c r="D3776">
        <v>51.58</v>
      </c>
      <c r="E3776" t="s">
        <v>9</v>
      </c>
      <c r="F3776">
        <v>47.86</v>
      </c>
      <c r="G3776" t="s">
        <v>20</v>
      </c>
      <c r="H3776" t="s">
        <v>12</v>
      </c>
    </row>
    <row r="3777" spans="1:8" x14ac:dyDescent="0.25">
      <c r="A3777" s="1">
        <v>45665.291666666664</v>
      </c>
      <c r="B3777" t="s">
        <v>27</v>
      </c>
      <c r="C3777">
        <v>337.12</v>
      </c>
      <c r="D3777">
        <v>44.64</v>
      </c>
      <c r="E3777" t="s">
        <v>9</v>
      </c>
      <c r="F3777">
        <v>67.58</v>
      </c>
      <c r="G3777" t="s">
        <v>20</v>
      </c>
      <c r="H3777" t="s">
        <v>12</v>
      </c>
    </row>
    <row r="3778" spans="1:8" x14ac:dyDescent="0.25">
      <c r="A3778" s="1">
        <v>45665.333333333336</v>
      </c>
      <c r="B3778" t="s">
        <v>27</v>
      </c>
      <c r="C3778">
        <v>282.55</v>
      </c>
      <c r="D3778">
        <v>56.32</v>
      </c>
      <c r="E3778" t="s">
        <v>9</v>
      </c>
      <c r="F3778">
        <v>66.010000000000005</v>
      </c>
      <c r="G3778" t="s">
        <v>20</v>
      </c>
      <c r="H3778" t="s">
        <v>13</v>
      </c>
    </row>
    <row r="3779" spans="1:8" x14ac:dyDescent="0.25">
      <c r="A3779" s="1">
        <v>45665.375</v>
      </c>
      <c r="B3779" t="s">
        <v>27</v>
      </c>
      <c r="C3779">
        <v>460.46</v>
      </c>
      <c r="D3779">
        <v>85.53</v>
      </c>
      <c r="E3779" t="s">
        <v>14</v>
      </c>
      <c r="F3779">
        <v>88.25</v>
      </c>
      <c r="G3779" t="s">
        <v>20</v>
      </c>
      <c r="H3779" t="s">
        <v>12</v>
      </c>
    </row>
    <row r="3780" spans="1:8" x14ac:dyDescent="0.25">
      <c r="A3780" s="1">
        <v>45665.416666666664</v>
      </c>
      <c r="B3780" t="s">
        <v>27</v>
      </c>
      <c r="C3780">
        <v>357.22</v>
      </c>
      <c r="D3780">
        <v>59.29</v>
      </c>
      <c r="E3780" t="s">
        <v>9</v>
      </c>
      <c r="F3780">
        <v>37.56</v>
      </c>
      <c r="G3780" t="s">
        <v>20</v>
      </c>
      <c r="H3780" t="s">
        <v>11</v>
      </c>
    </row>
    <row r="3781" spans="1:8" x14ac:dyDescent="0.25">
      <c r="A3781" s="1">
        <v>45665.458333333336</v>
      </c>
      <c r="B3781" t="s">
        <v>27</v>
      </c>
      <c r="C3781">
        <v>271.83999999999997</v>
      </c>
      <c r="D3781">
        <v>90.01</v>
      </c>
      <c r="E3781" t="s">
        <v>14</v>
      </c>
      <c r="F3781">
        <v>62.96</v>
      </c>
      <c r="G3781" t="s">
        <v>20</v>
      </c>
      <c r="H3781" t="s">
        <v>12</v>
      </c>
    </row>
    <row r="3782" spans="1:8" x14ac:dyDescent="0.25">
      <c r="A3782" s="1">
        <v>45665.5</v>
      </c>
      <c r="B3782" t="s">
        <v>27</v>
      </c>
      <c r="C3782">
        <v>370.36</v>
      </c>
      <c r="D3782">
        <v>39.99</v>
      </c>
      <c r="E3782" t="s">
        <v>9</v>
      </c>
      <c r="F3782">
        <v>71.94</v>
      </c>
      <c r="G3782" t="s">
        <v>20</v>
      </c>
      <c r="H3782" t="s">
        <v>12</v>
      </c>
    </row>
    <row r="3783" spans="1:8" x14ac:dyDescent="0.25">
      <c r="A3783" s="1">
        <v>45665.541666666664</v>
      </c>
      <c r="B3783" t="s">
        <v>27</v>
      </c>
      <c r="C3783">
        <v>171.07</v>
      </c>
      <c r="D3783">
        <v>91.63</v>
      </c>
      <c r="E3783" t="s">
        <v>14</v>
      </c>
      <c r="F3783">
        <v>45.97</v>
      </c>
      <c r="G3783" t="s">
        <v>20</v>
      </c>
      <c r="H3783" t="s">
        <v>12</v>
      </c>
    </row>
    <row r="3784" spans="1:8" x14ac:dyDescent="0.25">
      <c r="A3784" s="1">
        <v>45665.583333333336</v>
      </c>
      <c r="B3784" t="s">
        <v>27</v>
      </c>
      <c r="C3784">
        <v>138.91999999999999</v>
      </c>
      <c r="D3784">
        <v>24.46</v>
      </c>
      <c r="E3784" t="s">
        <v>9</v>
      </c>
      <c r="F3784">
        <v>44</v>
      </c>
      <c r="G3784" t="s">
        <v>20</v>
      </c>
      <c r="H3784" t="s">
        <v>12</v>
      </c>
    </row>
    <row r="3785" spans="1:8" x14ac:dyDescent="0.25">
      <c r="A3785" s="1">
        <v>45665.625</v>
      </c>
      <c r="B3785" t="s">
        <v>27</v>
      </c>
      <c r="C3785">
        <v>81.92</v>
      </c>
      <c r="D3785">
        <v>62.22</v>
      </c>
      <c r="E3785" t="s">
        <v>9</v>
      </c>
      <c r="F3785">
        <v>43.2</v>
      </c>
      <c r="G3785" t="s">
        <v>20</v>
      </c>
      <c r="H3785" t="s">
        <v>12</v>
      </c>
    </row>
    <row r="3786" spans="1:8" x14ac:dyDescent="0.25">
      <c r="A3786" s="1">
        <v>45665.666666666664</v>
      </c>
      <c r="B3786" t="s">
        <v>27</v>
      </c>
      <c r="C3786">
        <v>410.95</v>
      </c>
      <c r="D3786">
        <v>77.5</v>
      </c>
      <c r="E3786" t="s">
        <v>9</v>
      </c>
      <c r="F3786">
        <v>31.3</v>
      </c>
      <c r="G3786" t="s">
        <v>20</v>
      </c>
      <c r="H3786" t="s">
        <v>12</v>
      </c>
    </row>
    <row r="3787" spans="1:8" x14ac:dyDescent="0.25">
      <c r="A3787" s="1">
        <v>45665.708333333336</v>
      </c>
      <c r="B3787" t="s">
        <v>27</v>
      </c>
      <c r="C3787">
        <v>337.5</v>
      </c>
      <c r="D3787">
        <v>90.93</v>
      </c>
      <c r="E3787" t="s">
        <v>14</v>
      </c>
      <c r="F3787">
        <v>32.92</v>
      </c>
      <c r="G3787" t="s">
        <v>20</v>
      </c>
      <c r="H3787" t="s">
        <v>13</v>
      </c>
    </row>
    <row r="3788" spans="1:8" x14ac:dyDescent="0.25">
      <c r="A3788" s="1">
        <v>45665.75</v>
      </c>
      <c r="B3788" t="s">
        <v>27</v>
      </c>
      <c r="C3788">
        <v>364.58</v>
      </c>
      <c r="D3788">
        <v>35.130000000000003</v>
      </c>
      <c r="E3788" t="s">
        <v>9</v>
      </c>
      <c r="F3788">
        <v>73.75</v>
      </c>
      <c r="G3788" t="s">
        <v>20</v>
      </c>
      <c r="H3788" t="s">
        <v>12</v>
      </c>
    </row>
    <row r="3789" spans="1:8" x14ac:dyDescent="0.25">
      <c r="A3789" s="1">
        <v>45665.791666666664</v>
      </c>
      <c r="B3789" t="s">
        <v>27</v>
      </c>
      <c r="C3789">
        <v>217.06</v>
      </c>
      <c r="D3789">
        <v>56.3</v>
      </c>
      <c r="E3789" t="s">
        <v>9</v>
      </c>
      <c r="F3789">
        <v>33.200000000000003</v>
      </c>
      <c r="G3789" t="s">
        <v>20</v>
      </c>
      <c r="H3789" t="s">
        <v>13</v>
      </c>
    </row>
    <row r="3790" spans="1:8" x14ac:dyDescent="0.25">
      <c r="A3790" s="1">
        <v>45665.833333333336</v>
      </c>
      <c r="B3790" t="s">
        <v>27</v>
      </c>
      <c r="C3790">
        <v>294.48</v>
      </c>
      <c r="D3790">
        <v>81.14</v>
      </c>
      <c r="E3790" t="s">
        <v>9</v>
      </c>
      <c r="F3790">
        <v>46.31</v>
      </c>
      <c r="G3790" t="s">
        <v>20</v>
      </c>
      <c r="H3790" t="s">
        <v>13</v>
      </c>
    </row>
    <row r="3791" spans="1:8" x14ac:dyDescent="0.25">
      <c r="A3791" s="1">
        <v>45665.875</v>
      </c>
      <c r="B3791" t="s">
        <v>27</v>
      </c>
      <c r="C3791">
        <v>231.66</v>
      </c>
      <c r="D3791">
        <v>63.28</v>
      </c>
      <c r="E3791" t="s">
        <v>9</v>
      </c>
      <c r="F3791">
        <v>75.180000000000007</v>
      </c>
      <c r="G3791" t="s">
        <v>20</v>
      </c>
      <c r="H3791" t="s">
        <v>12</v>
      </c>
    </row>
    <row r="3792" spans="1:8" x14ac:dyDescent="0.25">
      <c r="A3792" s="1">
        <v>45665.916666666664</v>
      </c>
      <c r="B3792" t="s">
        <v>27</v>
      </c>
      <c r="C3792">
        <v>415.57</v>
      </c>
      <c r="D3792">
        <v>60.48</v>
      </c>
      <c r="E3792" t="s">
        <v>9</v>
      </c>
      <c r="F3792">
        <v>41.41</v>
      </c>
      <c r="G3792" t="s">
        <v>20</v>
      </c>
      <c r="H3792" t="s">
        <v>12</v>
      </c>
    </row>
    <row r="3793" spans="1:8" x14ac:dyDescent="0.25">
      <c r="A3793" s="1">
        <v>45665.958333333336</v>
      </c>
      <c r="B3793" t="s">
        <v>27</v>
      </c>
      <c r="C3793">
        <v>370.74</v>
      </c>
      <c r="D3793">
        <v>93.81</v>
      </c>
      <c r="E3793" t="s">
        <v>14</v>
      </c>
      <c r="F3793">
        <v>62.48</v>
      </c>
      <c r="G3793" t="s">
        <v>20</v>
      </c>
      <c r="H3793" t="s">
        <v>11</v>
      </c>
    </row>
    <row r="3794" spans="1:8" x14ac:dyDescent="0.25">
      <c r="A3794" s="1">
        <v>45666</v>
      </c>
      <c r="B3794" t="s">
        <v>27</v>
      </c>
      <c r="C3794">
        <v>340.82</v>
      </c>
      <c r="D3794">
        <v>59.68</v>
      </c>
      <c r="E3794" t="s">
        <v>9</v>
      </c>
      <c r="F3794">
        <v>52.43</v>
      </c>
      <c r="G3794" t="s">
        <v>20</v>
      </c>
      <c r="H3794" t="s">
        <v>12</v>
      </c>
    </row>
    <row r="3795" spans="1:8" x14ac:dyDescent="0.25">
      <c r="A3795" s="1">
        <v>45666.041666666664</v>
      </c>
      <c r="B3795" t="s">
        <v>27</v>
      </c>
      <c r="C3795">
        <v>196.7</v>
      </c>
      <c r="D3795">
        <v>57.88</v>
      </c>
      <c r="E3795" t="s">
        <v>9</v>
      </c>
      <c r="F3795">
        <v>40.21</v>
      </c>
      <c r="G3795" t="s">
        <v>20</v>
      </c>
      <c r="H3795" t="s">
        <v>12</v>
      </c>
    </row>
    <row r="3796" spans="1:8" x14ac:dyDescent="0.25">
      <c r="A3796" s="1">
        <v>45666.083333333336</v>
      </c>
      <c r="B3796" t="s">
        <v>27</v>
      </c>
      <c r="C3796">
        <v>387.98</v>
      </c>
      <c r="D3796">
        <v>19.54</v>
      </c>
      <c r="E3796" t="s">
        <v>9</v>
      </c>
      <c r="F3796">
        <v>81.3</v>
      </c>
      <c r="G3796" t="s">
        <v>20</v>
      </c>
      <c r="H3796" t="s">
        <v>13</v>
      </c>
    </row>
    <row r="3797" spans="1:8" x14ac:dyDescent="0.25">
      <c r="A3797" s="1">
        <v>45666.125</v>
      </c>
      <c r="B3797" t="s">
        <v>27</v>
      </c>
      <c r="C3797">
        <v>243.02</v>
      </c>
      <c r="D3797">
        <v>75.739999999999995</v>
      </c>
      <c r="E3797" t="s">
        <v>9</v>
      </c>
      <c r="F3797">
        <v>87.19</v>
      </c>
      <c r="G3797" t="s">
        <v>20</v>
      </c>
      <c r="H3797" t="s">
        <v>12</v>
      </c>
    </row>
    <row r="3798" spans="1:8" x14ac:dyDescent="0.25">
      <c r="A3798" s="1">
        <v>45666.166666666664</v>
      </c>
      <c r="B3798" t="s">
        <v>27</v>
      </c>
      <c r="C3798">
        <v>74.42</v>
      </c>
      <c r="D3798">
        <v>58.62</v>
      </c>
      <c r="E3798" t="s">
        <v>9</v>
      </c>
      <c r="F3798">
        <v>73.11</v>
      </c>
      <c r="G3798" t="s">
        <v>20</v>
      </c>
      <c r="H3798" t="s">
        <v>13</v>
      </c>
    </row>
    <row r="3799" spans="1:8" x14ac:dyDescent="0.25">
      <c r="A3799" s="1">
        <v>45666.208333333336</v>
      </c>
      <c r="B3799" t="s">
        <v>27</v>
      </c>
      <c r="C3799">
        <v>385.66</v>
      </c>
      <c r="D3799">
        <v>66.06</v>
      </c>
      <c r="E3799" t="s">
        <v>9</v>
      </c>
      <c r="F3799">
        <v>44.97</v>
      </c>
      <c r="G3799" t="s">
        <v>20</v>
      </c>
      <c r="H3799" t="s">
        <v>12</v>
      </c>
    </row>
    <row r="3800" spans="1:8" x14ac:dyDescent="0.25">
      <c r="A3800" s="1">
        <v>45666.25</v>
      </c>
      <c r="B3800" t="s">
        <v>27</v>
      </c>
      <c r="C3800">
        <v>290.12</v>
      </c>
      <c r="D3800">
        <v>41.23</v>
      </c>
      <c r="E3800" t="s">
        <v>9</v>
      </c>
      <c r="F3800">
        <v>49.92</v>
      </c>
      <c r="G3800" t="s">
        <v>20</v>
      </c>
      <c r="H3800" t="s">
        <v>13</v>
      </c>
    </row>
    <row r="3801" spans="1:8" x14ac:dyDescent="0.25">
      <c r="A3801" s="1">
        <v>45666.291666666664</v>
      </c>
      <c r="B3801" t="s">
        <v>27</v>
      </c>
      <c r="C3801">
        <v>331.72</v>
      </c>
      <c r="D3801">
        <v>26.85</v>
      </c>
      <c r="E3801" t="s">
        <v>9</v>
      </c>
      <c r="F3801">
        <v>42.37</v>
      </c>
      <c r="G3801" t="s">
        <v>20</v>
      </c>
      <c r="H3801" t="s">
        <v>13</v>
      </c>
    </row>
    <row r="3802" spans="1:8" x14ac:dyDescent="0.25">
      <c r="A3802" s="1">
        <v>45666.333333333336</v>
      </c>
      <c r="B3802" t="s">
        <v>27</v>
      </c>
      <c r="C3802">
        <v>213.95</v>
      </c>
      <c r="D3802">
        <v>82.81</v>
      </c>
      <c r="E3802" t="s">
        <v>9</v>
      </c>
      <c r="F3802">
        <v>75.66</v>
      </c>
      <c r="G3802" t="s">
        <v>20</v>
      </c>
      <c r="H3802" t="s">
        <v>11</v>
      </c>
    </row>
    <row r="3803" spans="1:8" x14ac:dyDescent="0.25">
      <c r="A3803" s="1">
        <v>45666.375</v>
      </c>
      <c r="B3803" t="s">
        <v>27</v>
      </c>
      <c r="C3803">
        <v>235.88</v>
      </c>
      <c r="D3803">
        <v>29.93</v>
      </c>
      <c r="E3803" t="s">
        <v>9</v>
      </c>
      <c r="F3803">
        <v>87.25</v>
      </c>
      <c r="G3803" t="s">
        <v>20</v>
      </c>
      <c r="H3803" t="s">
        <v>12</v>
      </c>
    </row>
    <row r="3804" spans="1:8" x14ac:dyDescent="0.25">
      <c r="A3804" s="1">
        <v>45666.416666666664</v>
      </c>
      <c r="B3804" t="s">
        <v>27</v>
      </c>
      <c r="C3804">
        <v>389.46</v>
      </c>
      <c r="D3804">
        <v>71.819999999999993</v>
      </c>
      <c r="E3804" t="s">
        <v>9</v>
      </c>
      <c r="F3804">
        <v>82.42</v>
      </c>
      <c r="G3804" t="s">
        <v>20</v>
      </c>
      <c r="H3804" t="s">
        <v>13</v>
      </c>
    </row>
    <row r="3805" spans="1:8" x14ac:dyDescent="0.25">
      <c r="A3805" s="1">
        <v>45666.458333333336</v>
      </c>
      <c r="B3805" t="s">
        <v>27</v>
      </c>
      <c r="C3805">
        <v>64.599999999999994</v>
      </c>
      <c r="D3805">
        <v>93</v>
      </c>
      <c r="E3805" t="s">
        <v>14</v>
      </c>
      <c r="F3805">
        <v>82.23</v>
      </c>
      <c r="G3805" t="s">
        <v>20</v>
      </c>
      <c r="H3805" t="s">
        <v>11</v>
      </c>
    </row>
    <row r="3806" spans="1:8" x14ac:dyDescent="0.25">
      <c r="A3806" s="1">
        <v>45666.5</v>
      </c>
      <c r="B3806" t="s">
        <v>27</v>
      </c>
      <c r="C3806">
        <v>461.61</v>
      </c>
      <c r="D3806">
        <v>89.22</v>
      </c>
      <c r="E3806" t="s">
        <v>14</v>
      </c>
      <c r="F3806">
        <v>71.010000000000005</v>
      </c>
      <c r="G3806" t="s">
        <v>20</v>
      </c>
      <c r="H3806" t="s">
        <v>13</v>
      </c>
    </row>
    <row r="3807" spans="1:8" x14ac:dyDescent="0.25">
      <c r="A3807" s="1">
        <v>45666.541666666664</v>
      </c>
      <c r="B3807" t="s">
        <v>27</v>
      </c>
      <c r="C3807">
        <v>341.85</v>
      </c>
      <c r="D3807">
        <v>16.11</v>
      </c>
      <c r="E3807" t="s">
        <v>9</v>
      </c>
      <c r="F3807">
        <v>80.89</v>
      </c>
      <c r="G3807" t="s">
        <v>20</v>
      </c>
      <c r="H3807" t="s">
        <v>13</v>
      </c>
    </row>
    <row r="3808" spans="1:8" x14ac:dyDescent="0.25">
      <c r="A3808" s="1">
        <v>45666.583333333336</v>
      </c>
      <c r="B3808" t="s">
        <v>27</v>
      </c>
      <c r="C3808">
        <v>498.23</v>
      </c>
      <c r="D3808">
        <v>83.46</v>
      </c>
      <c r="E3808" t="s">
        <v>9</v>
      </c>
      <c r="F3808">
        <v>33.83</v>
      </c>
      <c r="G3808" t="s">
        <v>20</v>
      </c>
      <c r="H3808" t="s">
        <v>11</v>
      </c>
    </row>
    <row r="3809" spans="1:8" x14ac:dyDescent="0.25">
      <c r="A3809" s="1">
        <v>45666.625</v>
      </c>
      <c r="B3809" t="s">
        <v>27</v>
      </c>
      <c r="C3809">
        <v>196.86</v>
      </c>
      <c r="D3809">
        <v>64.739999999999995</v>
      </c>
      <c r="E3809" t="s">
        <v>9</v>
      </c>
      <c r="F3809">
        <v>73.14</v>
      </c>
      <c r="G3809" t="s">
        <v>20</v>
      </c>
      <c r="H3809" t="s">
        <v>13</v>
      </c>
    </row>
    <row r="3810" spans="1:8" x14ac:dyDescent="0.25">
      <c r="A3810" s="1">
        <v>45666.666666666664</v>
      </c>
      <c r="B3810" t="s">
        <v>27</v>
      </c>
      <c r="C3810">
        <v>193.85</v>
      </c>
      <c r="D3810">
        <v>51.53</v>
      </c>
      <c r="E3810" t="s">
        <v>9</v>
      </c>
      <c r="F3810">
        <v>38.81</v>
      </c>
      <c r="G3810" t="s">
        <v>20</v>
      </c>
      <c r="H3810" t="s">
        <v>12</v>
      </c>
    </row>
    <row r="3811" spans="1:8" x14ac:dyDescent="0.25">
      <c r="A3811" s="1">
        <v>45666.708333333336</v>
      </c>
      <c r="B3811" t="s">
        <v>27</v>
      </c>
      <c r="C3811">
        <v>450.14</v>
      </c>
      <c r="D3811">
        <v>39.270000000000003</v>
      </c>
      <c r="E3811" t="s">
        <v>9</v>
      </c>
      <c r="F3811">
        <v>32.549999999999997</v>
      </c>
      <c r="G3811" t="s">
        <v>20</v>
      </c>
      <c r="H3811" t="s">
        <v>12</v>
      </c>
    </row>
    <row r="3812" spans="1:8" x14ac:dyDescent="0.25">
      <c r="A3812" s="1">
        <v>45666.75</v>
      </c>
      <c r="B3812" t="s">
        <v>27</v>
      </c>
      <c r="C3812">
        <v>106.3</v>
      </c>
      <c r="D3812">
        <v>46.65</v>
      </c>
      <c r="E3812" t="s">
        <v>9</v>
      </c>
      <c r="F3812">
        <v>89.82</v>
      </c>
      <c r="G3812" t="s">
        <v>20</v>
      </c>
      <c r="H3812" t="s">
        <v>12</v>
      </c>
    </row>
    <row r="3813" spans="1:8" x14ac:dyDescent="0.25">
      <c r="A3813" s="1">
        <v>45666.791666666664</v>
      </c>
      <c r="B3813" t="s">
        <v>27</v>
      </c>
      <c r="C3813">
        <v>285.69</v>
      </c>
      <c r="D3813">
        <v>70.11</v>
      </c>
      <c r="E3813" t="s">
        <v>9</v>
      </c>
      <c r="F3813">
        <v>32.64</v>
      </c>
      <c r="G3813" t="s">
        <v>20</v>
      </c>
      <c r="H3813" t="s">
        <v>11</v>
      </c>
    </row>
    <row r="3814" spans="1:8" x14ac:dyDescent="0.25">
      <c r="A3814" s="1">
        <v>45666.833333333336</v>
      </c>
      <c r="B3814" t="s">
        <v>27</v>
      </c>
      <c r="C3814">
        <v>64.510000000000005</v>
      </c>
      <c r="D3814">
        <v>74.89</v>
      </c>
      <c r="E3814" t="s">
        <v>9</v>
      </c>
      <c r="F3814">
        <v>69.33</v>
      </c>
      <c r="G3814" t="s">
        <v>20</v>
      </c>
      <c r="H3814" t="s">
        <v>12</v>
      </c>
    </row>
    <row r="3815" spans="1:8" x14ac:dyDescent="0.25">
      <c r="A3815" s="1">
        <v>45666.875</v>
      </c>
      <c r="B3815" t="s">
        <v>27</v>
      </c>
      <c r="C3815">
        <v>272.52999999999997</v>
      </c>
      <c r="D3815">
        <v>94.3</v>
      </c>
      <c r="E3815" t="s">
        <v>14</v>
      </c>
      <c r="F3815">
        <v>32.630000000000003</v>
      </c>
      <c r="G3815" t="s">
        <v>20</v>
      </c>
      <c r="H3815" t="s">
        <v>11</v>
      </c>
    </row>
    <row r="3816" spans="1:8" x14ac:dyDescent="0.25">
      <c r="A3816" s="1">
        <v>45666.916666666664</v>
      </c>
      <c r="B3816" t="s">
        <v>27</v>
      </c>
      <c r="C3816">
        <v>425.69</v>
      </c>
      <c r="D3816">
        <v>47.95</v>
      </c>
      <c r="E3816" t="s">
        <v>9</v>
      </c>
      <c r="F3816">
        <v>55.29</v>
      </c>
      <c r="G3816" t="s">
        <v>20</v>
      </c>
      <c r="H3816" t="s">
        <v>12</v>
      </c>
    </row>
    <row r="3817" spans="1:8" x14ac:dyDescent="0.25">
      <c r="A3817" s="1">
        <v>45666.958333333336</v>
      </c>
      <c r="B3817" t="s">
        <v>27</v>
      </c>
      <c r="C3817">
        <v>302</v>
      </c>
      <c r="D3817">
        <v>17.649999999999999</v>
      </c>
      <c r="E3817" t="s">
        <v>9</v>
      </c>
      <c r="F3817">
        <v>54.47</v>
      </c>
      <c r="G3817" t="s">
        <v>20</v>
      </c>
      <c r="H3817" t="s">
        <v>12</v>
      </c>
    </row>
    <row r="3818" spans="1:8" x14ac:dyDescent="0.25">
      <c r="A3818" s="1">
        <v>45667</v>
      </c>
      <c r="B3818" t="s">
        <v>27</v>
      </c>
      <c r="C3818">
        <v>446.88</v>
      </c>
      <c r="D3818">
        <v>27.1</v>
      </c>
      <c r="E3818" t="s">
        <v>9</v>
      </c>
      <c r="F3818">
        <v>40.86</v>
      </c>
      <c r="G3818" t="s">
        <v>20</v>
      </c>
      <c r="H3818" t="s">
        <v>11</v>
      </c>
    </row>
    <row r="3819" spans="1:8" x14ac:dyDescent="0.25">
      <c r="A3819" s="1">
        <v>45667.041666666664</v>
      </c>
      <c r="B3819" t="s">
        <v>27</v>
      </c>
      <c r="C3819">
        <v>396.52</v>
      </c>
      <c r="D3819">
        <v>65.44</v>
      </c>
      <c r="E3819" t="s">
        <v>9</v>
      </c>
      <c r="F3819">
        <v>44.23</v>
      </c>
      <c r="G3819" t="s">
        <v>20</v>
      </c>
      <c r="H3819" t="s">
        <v>12</v>
      </c>
    </row>
    <row r="3820" spans="1:8" x14ac:dyDescent="0.25">
      <c r="A3820" s="1">
        <v>45667.083333333336</v>
      </c>
      <c r="B3820" t="s">
        <v>27</v>
      </c>
      <c r="C3820">
        <v>405.75</v>
      </c>
      <c r="D3820">
        <v>33.03</v>
      </c>
      <c r="E3820" t="s">
        <v>9</v>
      </c>
      <c r="F3820">
        <v>88.8</v>
      </c>
      <c r="G3820" t="s">
        <v>20</v>
      </c>
      <c r="H3820" t="s">
        <v>13</v>
      </c>
    </row>
    <row r="3821" spans="1:8" x14ac:dyDescent="0.25">
      <c r="A3821" s="1">
        <v>45667.125</v>
      </c>
      <c r="B3821" t="s">
        <v>27</v>
      </c>
      <c r="C3821">
        <v>411.14</v>
      </c>
      <c r="D3821">
        <v>81.16</v>
      </c>
      <c r="E3821" t="s">
        <v>9</v>
      </c>
      <c r="F3821">
        <v>87.08</v>
      </c>
      <c r="G3821" t="s">
        <v>20</v>
      </c>
      <c r="H3821" t="s">
        <v>11</v>
      </c>
    </row>
    <row r="3822" spans="1:8" x14ac:dyDescent="0.25">
      <c r="A3822" s="1">
        <v>45667.166666666664</v>
      </c>
      <c r="B3822" t="s">
        <v>27</v>
      </c>
      <c r="C3822">
        <v>87.47</v>
      </c>
      <c r="D3822">
        <v>65.37</v>
      </c>
      <c r="E3822" t="s">
        <v>9</v>
      </c>
      <c r="F3822">
        <v>81.48</v>
      </c>
      <c r="G3822" t="s">
        <v>20</v>
      </c>
      <c r="H3822" t="s">
        <v>11</v>
      </c>
    </row>
    <row r="3823" spans="1:8" x14ac:dyDescent="0.25">
      <c r="A3823" s="1">
        <v>45667.208333333336</v>
      </c>
      <c r="B3823" t="s">
        <v>27</v>
      </c>
      <c r="C3823">
        <v>427.73</v>
      </c>
      <c r="D3823">
        <v>75.760000000000005</v>
      </c>
      <c r="E3823" t="s">
        <v>9</v>
      </c>
      <c r="F3823">
        <v>73.25</v>
      </c>
      <c r="G3823" t="s">
        <v>20</v>
      </c>
      <c r="H3823" t="s">
        <v>12</v>
      </c>
    </row>
    <row r="3824" spans="1:8" x14ac:dyDescent="0.25">
      <c r="A3824" s="1">
        <v>45667.25</v>
      </c>
      <c r="B3824" t="s">
        <v>27</v>
      </c>
      <c r="C3824">
        <v>176.37</v>
      </c>
      <c r="D3824">
        <v>64.58</v>
      </c>
      <c r="E3824" t="s">
        <v>9</v>
      </c>
      <c r="F3824">
        <v>51.66</v>
      </c>
      <c r="G3824" t="s">
        <v>20</v>
      </c>
      <c r="H3824" t="s">
        <v>12</v>
      </c>
    </row>
    <row r="3825" spans="1:8" x14ac:dyDescent="0.25">
      <c r="A3825" s="1">
        <v>45667.291666666664</v>
      </c>
      <c r="B3825" t="s">
        <v>27</v>
      </c>
      <c r="C3825">
        <v>190.85</v>
      </c>
      <c r="D3825">
        <v>27.01</v>
      </c>
      <c r="E3825" t="s">
        <v>9</v>
      </c>
      <c r="F3825">
        <v>83.75</v>
      </c>
      <c r="G3825" t="s">
        <v>20</v>
      </c>
      <c r="H3825" t="s">
        <v>13</v>
      </c>
    </row>
    <row r="3826" spans="1:8" x14ac:dyDescent="0.25">
      <c r="A3826" s="1">
        <v>45667.333333333336</v>
      </c>
      <c r="B3826" t="s">
        <v>27</v>
      </c>
      <c r="C3826">
        <v>56.39</v>
      </c>
      <c r="D3826">
        <v>49.51</v>
      </c>
      <c r="E3826" t="s">
        <v>9</v>
      </c>
      <c r="F3826">
        <v>73.73</v>
      </c>
      <c r="G3826" t="s">
        <v>20</v>
      </c>
      <c r="H3826" t="s">
        <v>11</v>
      </c>
    </row>
    <row r="3827" spans="1:8" x14ac:dyDescent="0.25">
      <c r="A3827" s="1">
        <v>45667.375</v>
      </c>
      <c r="B3827" t="s">
        <v>27</v>
      </c>
      <c r="C3827">
        <v>201.9</v>
      </c>
      <c r="D3827">
        <v>44.91</v>
      </c>
      <c r="E3827" t="s">
        <v>9</v>
      </c>
      <c r="F3827">
        <v>88.38</v>
      </c>
      <c r="G3827" t="s">
        <v>20</v>
      </c>
      <c r="H3827" t="s">
        <v>13</v>
      </c>
    </row>
    <row r="3828" spans="1:8" x14ac:dyDescent="0.25">
      <c r="A3828" s="1">
        <v>45667.416666666664</v>
      </c>
      <c r="B3828" t="s">
        <v>27</v>
      </c>
      <c r="C3828">
        <v>421.49</v>
      </c>
      <c r="D3828">
        <v>28.35</v>
      </c>
      <c r="E3828" t="s">
        <v>9</v>
      </c>
      <c r="F3828">
        <v>33.340000000000003</v>
      </c>
      <c r="G3828" t="s">
        <v>20</v>
      </c>
      <c r="H3828" t="s">
        <v>13</v>
      </c>
    </row>
    <row r="3829" spans="1:8" x14ac:dyDescent="0.25">
      <c r="A3829" s="1">
        <v>45667.458333333336</v>
      </c>
      <c r="B3829" t="s">
        <v>27</v>
      </c>
      <c r="C3829">
        <v>483.71</v>
      </c>
      <c r="D3829">
        <v>46.04</v>
      </c>
      <c r="E3829" t="s">
        <v>9</v>
      </c>
      <c r="F3829">
        <v>31.58</v>
      </c>
      <c r="G3829" t="s">
        <v>20</v>
      </c>
      <c r="H3829" t="s">
        <v>13</v>
      </c>
    </row>
    <row r="3830" spans="1:8" x14ac:dyDescent="0.25">
      <c r="A3830" s="1">
        <v>45667.5</v>
      </c>
      <c r="B3830" t="s">
        <v>27</v>
      </c>
      <c r="C3830">
        <v>337.1</v>
      </c>
      <c r="D3830">
        <v>36.880000000000003</v>
      </c>
      <c r="E3830" t="s">
        <v>9</v>
      </c>
      <c r="F3830">
        <v>81.97</v>
      </c>
      <c r="G3830" t="s">
        <v>20</v>
      </c>
      <c r="H3830" t="s">
        <v>11</v>
      </c>
    </row>
    <row r="3831" spans="1:8" x14ac:dyDescent="0.25">
      <c r="A3831" s="1">
        <v>45667.541666666664</v>
      </c>
      <c r="B3831" t="s">
        <v>27</v>
      </c>
      <c r="C3831">
        <v>84.02</v>
      </c>
      <c r="D3831">
        <v>37.200000000000003</v>
      </c>
      <c r="E3831" t="s">
        <v>9</v>
      </c>
      <c r="F3831">
        <v>35.29</v>
      </c>
      <c r="G3831" t="s">
        <v>20</v>
      </c>
      <c r="H3831" t="s">
        <v>11</v>
      </c>
    </row>
    <row r="3832" spans="1:8" x14ac:dyDescent="0.25">
      <c r="A3832" s="1">
        <v>45667.583333333336</v>
      </c>
      <c r="B3832" t="s">
        <v>27</v>
      </c>
      <c r="C3832">
        <v>354.55</v>
      </c>
      <c r="D3832">
        <v>73.63</v>
      </c>
      <c r="E3832" t="s">
        <v>9</v>
      </c>
      <c r="F3832">
        <v>44.57</v>
      </c>
      <c r="G3832" t="s">
        <v>20</v>
      </c>
      <c r="H3832" t="s">
        <v>11</v>
      </c>
    </row>
    <row r="3833" spans="1:8" x14ac:dyDescent="0.25">
      <c r="A3833" s="1">
        <v>45667.625</v>
      </c>
      <c r="B3833" t="s">
        <v>27</v>
      </c>
      <c r="C3833">
        <v>486.96</v>
      </c>
      <c r="D3833">
        <v>55.29</v>
      </c>
      <c r="E3833" t="s">
        <v>9</v>
      </c>
      <c r="F3833">
        <v>68.319999999999993</v>
      </c>
      <c r="G3833" t="s">
        <v>20</v>
      </c>
      <c r="H3833" t="s">
        <v>11</v>
      </c>
    </row>
    <row r="3834" spans="1:8" x14ac:dyDescent="0.25">
      <c r="A3834" s="1">
        <v>45667.666666666664</v>
      </c>
      <c r="B3834" t="s">
        <v>27</v>
      </c>
      <c r="C3834">
        <v>244.34</v>
      </c>
      <c r="D3834">
        <v>62.65</v>
      </c>
      <c r="E3834" t="s">
        <v>9</v>
      </c>
      <c r="F3834">
        <v>30.44</v>
      </c>
      <c r="G3834" t="s">
        <v>20</v>
      </c>
      <c r="H3834" t="s">
        <v>13</v>
      </c>
    </row>
    <row r="3835" spans="1:8" x14ac:dyDescent="0.25">
      <c r="A3835" s="1">
        <v>45667.708333333336</v>
      </c>
      <c r="B3835" t="s">
        <v>27</v>
      </c>
      <c r="C3835">
        <v>478.36</v>
      </c>
      <c r="D3835">
        <v>47.08</v>
      </c>
      <c r="E3835" t="s">
        <v>9</v>
      </c>
      <c r="F3835">
        <v>39.78</v>
      </c>
      <c r="G3835" t="s">
        <v>20</v>
      </c>
      <c r="H3835" t="s">
        <v>12</v>
      </c>
    </row>
    <row r="3836" spans="1:8" x14ac:dyDescent="0.25">
      <c r="A3836" s="1">
        <v>45667.75</v>
      </c>
      <c r="B3836" t="s">
        <v>27</v>
      </c>
      <c r="C3836">
        <v>354.85</v>
      </c>
      <c r="D3836">
        <v>94.78</v>
      </c>
      <c r="E3836" t="s">
        <v>14</v>
      </c>
      <c r="F3836">
        <v>31.83</v>
      </c>
      <c r="G3836" t="s">
        <v>20</v>
      </c>
      <c r="H3836" t="s">
        <v>12</v>
      </c>
    </row>
    <row r="3837" spans="1:8" x14ac:dyDescent="0.25">
      <c r="A3837" s="1">
        <v>45667.791666666664</v>
      </c>
      <c r="B3837" t="s">
        <v>27</v>
      </c>
      <c r="C3837">
        <v>84.66</v>
      </c>
      <c r="D3837">
        <v>46.27</v>
      </c>
      <c r="E3837" t="s">
        <v>9</v>
      </c>
      <c r="F3837">
        <v>79.3</v>
      </c>
      <c r="G3837" t="s">
        <v>20</v>
      </c>
      <c r="H3837" t="s">
        <v>12</v>
      </c>
    </row>
    <row r="3838" spans="1:8" x14ac:dyDescent="0.25">
      <c r="A3838" s="1">
        <v>45667.833333333336</v>
      </c>
      <c r="B3838" t="s">
        <v>27</v>
      </c>
      <c r="C3838">
        <v>381.64</v>
      </c>
      <c r="D3838">
        <v>86.65</v>
      </c>
      <c r="E3838" t="s">
        <v>14</v>
      </c>
      <c r="F3838">
        <v>49.37</v>
      </c>
      <c r="G3838" t="s">
        <v>20</v>
      </c>
      <c r="H3838" t="s">
        <v>12</v>
      </c>
    </row>
    <row r="3839" spans="1:8" x14ac:dyDescent="0.25">
      <c r="A3839" s="1">
        <v>45667.875</v>
      </c>
      <c r="B3839" t="s">
        <v>27</v>
      </c>
      <c r="C3839">
        <v>78.89</v>
      </c>
      <c r="D3839">
        <v>37.74</v>
      </c>
      <c r="E3839" t="s">
        <v>9</v>
      </c>
      <c r="F3839">
        <v>64.91</v>
      </c>
      <c r="G3839" t="s">
        <v>20</v>
      </c>
      <c r="H3839" t="s">
        <v>11</v>
      </c>
    </row>
    <row r="3840" spans="1:8" x14ac:dyDescent="0.25">
      <c r="A3840" s="1">
        <v>45667.916666666664</v>
      </c>
      <c r="B3840" t="s">
        <v>27</v>
      </c>
      <c r="C3840">
        <v>364.38</v>
      </c>
      <c r="D3840">
        <v>41.52</v>
      </c>
      <c r="E3840" t="s">
        <v>9</v>
      </c>
      <c r="F3840">
        <v>52.79</v>
      </c>
      <c r="G3840" t="s">
        <v>20</v>
      </c>
      <c r="H3840" t="s">
        <v>11</v>
      </c>
    </row>
    <row r="3841" spans="1:8" x14ac:dyDescent="0.25">
      <c r="A3841" s="1">
        <v>45667.958333333336</v>
      </c>
      <c r="B3841" t="s">
        <v>27</v>
      </c>
      <c r="C3841">
        <v>56.72</v>
      </c>
      <c r="D3841">
        <v>77.86</v>
      </c>
      <c r="E3841" t="s">
        <v>9</v>
      </c>
      <c r="F3841">
        <v>78.8</v>
      </c>
      <c r="G3841" t="s">
        <v>20</v>
      </c>
      <c r="H3841" t="s">
        <v>12</v>
      </c>
    </row>
    <row r="3842" spans="1:8" x14ac:dyDescent="0.25">
      <c r="A3842" s="1">
        <v>45668</v>
      </c>
      <c r="B3842" t="s">
        <v>27</v>
      </c>
      <c r="C3842">
        <v>67.569999999999993</v>
      </c>
      <c r="D3842">
        <v>74.16</v>
      </c>
      <c r="E3842" t="s">
        <v>9</v>
      </c>
      <c r="F3842">
        <v>49.85</v>
      </c>
      <c r="G3842" t="s">
        <v>20</v>
      </c>
      <c r="H3842" t="s">
        <v>12</v>
      </c>
    </row>
    <row r="3843" spans="1:8" x14ac:dyDescent="0.25">
      <c r="A3843" s="1">
        <v>45668.041666666664</v>
      </c>
      <c r="B3843" t="s">
        <v>27</v>
      </c>
      <c r="C3843">
        <v>368.44</v>
      </c>
      <c r="D3843">
        <v>57.33</v>
      </c>
      <c r="E3843" t="s">
        <v>9</v>
      </c>
      <c r="F3843">
        <v>76.64</v>
      </c>
      <c r="G3843" t="s">
        <v>20</v>
      </c>
      <c r="H3843" t="s">
        <v>11</v>
      </c>
    </row>
    <row r="3844" spans="1:8" x14ac:dyDescent="0.25">
      <c r="A3844" s="1">
        <v>45668.083333333336</v>
      </c>
      <c r="B3844" t="s">
        <v>27</v>
      </c>
      <c r="C3844">
        <v>388.04</v>
      </c>
      <c r="D3844">
        <v>26.19</v>
      </c>
      <c r="E3844" t="s">
        <v>9</v>
      </c>
      <c r="F3844">
        <v>77.930000000000007</v>
      </c>
      <c r="G3844" t="s">
        <v>20</v>
      </c>
      <c r="H3844" t="s">
        <v>13</v>
      </c>
    </row>
    <row r="3845" spans="1:8" x14ac:dyDescent="0.25">
      <c r="A3845" s="1">
        <v>45668.125</v>
      </c>
      <c r="B3845" t="s">
        <v>27</v>
      </c>
      <c r="C3845">
        <v>55.73</v>
      </c>
      <c r="D3845">
        <v>87.03</v>
      </c>
      <c r="E3845" t="s">
        <v>14</v>
      </c>
      <c r="F3845">
        <v>62.74</v>
      </c>
      <c r="G3845" t="s">
        <v>20</v>
      </c>
      <c r="H3845" t="s">
        <v>11</v>
      </c>
    </row>
    <row r="3846" spans="1:8" x14ac:dyDescent="0.25">
      <c r="A3846" s="1">
        <v>45668.166666666664</v>
      </c>
      <c r="B3846" t="s">
        <v>27</v>
      </c>
      <c r="C3846">
        <v>73.180000000000007</v>
      </c>
      <c r="D3846">
        <v>90.95</v>
      </c>
      <c r="E3846" t="s">
        <v>14</v>
      </c>
      <c r="F3846">
        <v>72.16</v>
      </c>
      <c r="G3846" t="s">
        <v>20</v>
      </c>
      <c r="H3846" t="s">
        <v>13</v>
      </c>
    </row>
    <row r="3847" spans="1:8" x14ac:dyDescent="0.25">
      <c r="A3847" s="1">
        <v>45668.208333333336</v>
      </c>
      <c r="B3847" t="s">
        <v>27</v>
      </c>
      <c r="C3847">
        <v>193.93</v>
      </c>
      <c r="D3847">
        <v>83.79</v>
      </c>
      <c r="E3847" t="s">
        <v>9</v>
      </c>
      <c r="F3847">
        <v>84.17</v>
      </c>
      <c r="G3847" t="s">
        <v>20</v>
      </c>
      <c r="H3847" t="s">
        <v>11</v>
      </c>
    </row>
    <row r="3848" spans="1:8" x14ac:dyDescent="0.25">
      <c r="A3848" s="1">
        <v>45668.25</v>
      </c>
      <c r="B3848" t="s">
        <v>27</v>
      </c>
      <c r="C3848">
        <v>413.93</v>
      </c>
      <c r="D3848">
        <v>80.349999999999994</v>
      </c>
      <c r="E3848" t="s">
        <v>9</v>
      </c>
      <c r="F3848">
        <v>64.37</v>
      </c>
      <c r="G3848" t="s">
        <v>20</v>
      </c>
      <c r="H3848" t="s">
        <v>13</v>
      </c>
    </row>
    <row r="3849" spans="1:8" x14ac:dyDescent="0.25">
      <c r="A3849" s="1">
        <v>45668.291666666664</v>
      </c>
      <c r="B3849" t="s">
        <v>27</v>
      </c>
      <c r="C3849">
        <v>403.64</v>
      </c>
      <c r="D3849">
        <v>76.3</v>
      </c>
      <c r="E3849" t="s">
        <v>9</v>
      </c>
      <c r="F3849">
        <v>51.02</v>
      </c>
      <c r="G3849" t="s">
        <v>20</v>
      </c>
      <c r="H3849" t="s">
        <v>12</v>
      </c>
    </row>
    <row r="3850" spans="1:8" x14ac:dyDescent="0.25">
      <c r="A3850" s="1">
        <v>45668.333333333336</v>
      </c>
      <c r="B3850" t="s">
        <v>27</v>
      </c>
      <c r="C3850">
        <v>305.29000000000002</v>
      </c>
      <c r="D3850">
        <v>32.72</v>
      </c>
      <c r="E3850" t="s">
        <v>9</v>
      </c>
      <c r="F3850">
        <v>68.97</v>
      </c>
      <c r="G3850" t="s">
        <v>20</v>
      </c>
      <c r="H3850" t="s">
        <v>11</v>
      </c>
    </row>
    <row r="3851" spans="1:8" x14ac:dyDescent="0.25">
      <c r="A3851" s="1">
        <v>45668.375</v>
      </c>
      <c r="B3851" t="s">
        <v>27</v>
      </c>
      <c r="C3851">
        <v>370.81</v>
      </c>
      <c r="D3851">
        <v>76.98</v>
      </c>
      <c r="E3851" t="s">
        <v>9</v>
      </c>
      <c r="F3851">
        <v>46.29</v>
      </c>
      <c r="G3851" t="s">
        <v>20</v>
      </c>
      <c r="H3851" t="s">
        <v>11</v>
      </c>
    </row>
    <row r="3852" spans="1:8" x14ac:dyDescent="0.25">
      <c r="A3852" s="1">
        <v>45668.416666666664</v>
      </c>
      <c r="B3852" t="s">
        <v>27</v>
      </c>
      <c r="C3852">
        <v>444.29</v>
      </c>
      <c r="D3852">
        <v>56.59</v>
      </c>
      <c r="E3852" t="s">
        <v>9</v>
      </c>
      <c r="F3852">
        <v>82.01</v>
      </c>
      <c r="G3852" t="s">
        <v>20</v>
      </c>
      <c r="H3852" t="s">
        <v>11</v>
      </c>
    </row>
    <row r="3853" spans="1:8" x14ac:dyDescent="0.25">
      <c r="A3853" s="1">
        <v>45668.458333333336</v>
      </c>
      <c r="B3853" t="s">
        <v>27</v>
      </c>
      <c r="C3853">
        <v>74.06</v>
      </c>
      <c r="D3853">
        <v>55.29</v>
      </c>
      <c r="E3853" t="s">
        <v>9</v>
      </c>
      <c r="F3853">
        <v>52.08</v>
      </c>
      <c r="G3853" t="s">
        <v>20</v>
      </c>
      <c r="H3853" t="s">
        <v>11</v>
      </c>
    </row>
    <row r="3854" spans="1:8" x14ac:dyDescent="0.25">
      <c r="A3854" s="1">
        <v>45668.5</v>
      </c>
      <c r="B3854" t="s">
        <v>27</v>
      </c>
      <c r="C3854">
        <v>85.49</v>
      </c>
      <c r="D3854">
        <v>86.65</v>
      </c>
      <c r="E3854" t="s">
        <v>14</v>
      </c>
      <c r="F3854">
        <v>84.69</v>
      </c>
      <c r="G3854" t="s">
        <v>20</v>
      </c>
      <c r="H3854" t="s">
        <v>11</v>
      </c>
    </row>
    <row r="3855" spans="1:8" x14ac:dyDescent="0.25">
      <c r="A3855" s="1">
        <v>45668.541666666664</v>
      </c>
      <c r="B3855" t="s">
        <v>27</v>
      </c>
      <c r="C3855">
        <v>133.13999999999999</v>
      </c>
      <c r="D3855">
        <v>69.19</v>
      </c>
      <c r="E3855" t="s">
        <v>9</v>
      </c>
      <c r="F3855">
        <v>85.48</v>
      </c>
      <c r="G3855" t="s">
        <v>20</v>
      </c>
      <c r="H3855" t="s">
        <v>13</v>
      </c>
    </row>
    <row r="3856" spans="1:8" x14ac:dyDescent="0.25">
      <c r="A3856" s="1">
        <v>45668.583333333336</v>
      </c>
      <c r="B3856" t="s">
        <v>27</v>
      </c>
      <c r="C3856">
        <v>108.87</v>
      </c>
      <c r="D3856">
        <v>25.11</v>
      </c>
      <c r="E3856" t="s">
        <v>9</v>
      </c>
      <c r="F3856">
        <v>76.37</v>
      </c>
      <c r="G3856" t="s">
        <v>20</v>
      </c>
      <c r="H3856" t="s">
        <v>13</v>
      </c>
    </row>
    <row r="3857" spans="1:8" x14ac:dyDescent="0.25">
      <c r="A3857" s="1">
        <v>45668.625</v>
      </c>
      <c r="B3857" t="s">
        <v>27</v>
      </c>
      <c r="C3857">
        <v>403.12</v>
      </c>
      <c r="D3857">
        <v>81.61</v>
      </c>
      <c r="E3857" t="s">
        <v>9</v>
      </c>
      <c r="F3857">
        <v>46.59</v>
      </c>
      <c r="G3857" t="s">
        <v>20</v>
      </c>
      <c r="H3857" t="s">
        <v>13</v>
      </c>
    </row>
    <row r="3858" spans="1:8" x14ac:dyDescent="0.25">
      <c r="A3858" s="1">
        <v>45668.666666666664</v>
      </c>
      <c r="B3858" t="s">
        <v>27</v>
      </c>
      <c r="C3858">
        <v>256.64</v>
      </c>
      <c r="D3858">
        <v>94.62</v>
      </c>
      <c r="E3858" t="s">
        <v>14</v>
      </c>
      <c r="F3858">
        <v>86.95</v>
      </c>
      <c r="G3858" t="s">
        <v>20</v>
      </c>
      <c r="H3858" t="s">
        <v>12</v>
      </c>
    </row>
    <row r="3859" spans="1:8" x14ac:dyDescent="0.25">
      <c r="A3859" s="1">
        <v>45668.708333333336</v>
      </c>
      <c r="B3859" t="s">
        <v>27</v>
      </c>
      <c r="C3859">
        <v>249.83</v>
      </c>
      <c r="D3859">
        <v>50.86</v>
      </c>
      <c r="E3859" t="s">
        <v>9</v>
      </c>
      <c r="F3859">
        <v>76.489999999999995</v>
      </c>
      <c r="G3859" t="s">
        <v>20</v>
      </c>
      <c r="H3859" t="s">
        <v>12</v>
      </c>
    </row>
    <row r="3860" spans="1:8" x14ac:dyDescent="0.25">
      <c r="A3860" s="1">
        <v>45668.75</v>
      </c>
      <c r="B3860" t="s">
        <v>27</v>
      </c>
      <c r="C3860">
        <v>442.95</v>
      </c>
      <c r="D3860">
        <v>27.82</v>
      </c>
      <c r="E3860" t="s">
        <v>9</v>
      </c>
      <c r="F3860">
        <v>43.18</v>
      </c>
      <c r="G3860" t="s">
        <v>20</v>
      </c>
      <c r="H3860" t="s">
        <v>12</v>
      </c>
    </row>
    <row r="3861" spans="1:8" x14ac:dyDescent="0.25">
      <c r="A3861" s="1">
        <v>45668.791666666664</v>
      </c>
      <c r="B3861" t="s">
        <v>27</v>
      </c>
      <c r="C3861">
        <v>281.26</v>
      </c>
      <c r="D3861">
        <v>61.07</v>
      </c>
      <c r="E3861" t="s">
        <v>9</v>
      </c>
      <c r="F3861">
        <v>39.78</v>
      </c>
      <c r="G3861" t="s">
        <v>20</v>
      </c>
      <c r="H3861" t="s">
        <v>13</v>
      </c>
    </row>
    <row r="3862" spans="1:8" x14ac:dyDescent="0.25">
      <c r="A3862" s="1">
        <v>45668.833333333336</v>
      </c>
      <c r="B3862" t="s">
        <v>27</v>
      </c>
      <c r="C3862">
        <v>134.83000000000001</v>
      </c>
      <c r="D3862">
        <v>32.049999999999997</v>
      </c>
      <c r="E3862" t="s">
        <v>9</v>
      </c>
      <c r="F3862">
        <v>78.16</v>
      </c>
      <c r="G3862" t="s">
        <v>20</v>
      </c>
      <c r="H3862" t="s">
        <v>12</v>
      </c>
    </row>
    <row r="3863" spans="1:8" x14ac:dyDescent="0.25">
      <c r="A3863" s="1">
        <v>45668.875</v>
      </c>
      <c r="B3863" t="s">
        <v>27</v>
      </c>
      <c r="C3863">
        <v>136.44</v>
      </c>
      <c r="D3863">
        <v>35.549999999999997</v>
      </c>
      <c r="E3863" t="s">
        <v>9</v>
      </c>
      <c r="F3863">
        <v>53.04</v>
      </c>
      <c r="G3863" t="s">
        <v>20</v>
      </c>
      <c r="H3863" t="s">
        <v>12</v>
      </c>
    </row>
    <row r="3864" spans="1:8" x14ac:dyDescent="0.25">
      <c r="A3864" s="1">
        <v>45668.916666666664</v>
      </c>
      <c r="B3864" t="s">
        <v>27</v>
      </c>
      <c r="C3864">
        <v>352.89</v>
      </c>
      <c r="D3864">
        <v>17.309999999999999</v>
      </c>
      <c r="E3864" t="s">
        <v>9</v>
      </c>
      <c r="F3864">
        <v>51.04</v>
      </c>
      <c r="G3864" t="s">
        <v>20</v>
      </c>
      <c r="H3864" t="s">
        <v>12</v>
      </c>
    </row>
    <row r="3865" spans="1:8" x14ac:dyDescent="0.25">
      <c r="A3865" s="1">
        <v>45668.958333333336</v>
      </c>
      <c r="B3865" t="s">
        <v>27</v>
      </c>
      <c r="C3865">
        <v>158.83000000000001</v>
      </c>
      <c r="D3865">
        <v>20.39</v>
      </c>
      <c r="E3865" t="s">
        <v>9</v>
      </c>
      <c r="F3865">
        <v>31.46</v>
      </c>
      <c r="G3865" t="s">
        <v>20</v>
      </c>
      <c r="H3865" t="s">
        <v>12</v>
      </c>
    </row>
    <row r="3866" spans="1:8" x14ac:dyDescent="0.25">
      <c r="A3866" s="1">
        <v>45669</v>
      </c>
      <c r="B3866" t="s">
        <v>27</v>
      </c>
      <c r="C3866">
        <v>91.22</v>
      </c>
      <c r="D3866">
        <v>41.25</v>
      </c>
      <c r="E3866" t="s">
        <v>9</v>
      </c>
      <c r="F3866">
        <v>76.38</v>
      </c>
      <c r="G3866" t="s">
        <v>20</v>
      </c>
      <c r="H3866" t="s">
        <v>12</v>
      </c>
    </row>
    <row r="3867" spans="1:8" x14ac:dyDescent="0.25">
      <c r="A3867" s="1">
        <v>45669.041666666664</v>
      </c>
      <c r="B3867" t="s">
        <v>27</v>
      </c>
      <c r="C3867">
        <v>327.75</v>
      </c>
      <c r="D3867">
        <v>54.75</v>
      </c>
      <c r="E3867" t="s">
        <v>9</v>
      </c>
      <c r="F3867">
        <v>81.180000000000007</v>
      </c>
      <c r="G3867" t="s">
        <v>20</v>
      </c>
      <c r="H3867" t="s">
        <v>11</v>
      </c>
    </row>
    <row r="3868" spans="1:8" x14ac:dyDescent="0.25">
      <c r="A3868" s="1">
        <v>45669.083333333336</v>
      </c>
      <c r="B3868" t="s">
        <v>27</v>
      </c>
      <c r="C3868">
        <v>448.27</v>
      </c>
      <c r="D3868">
        <v>46.35</v>
      </c>
      <c r="E3868" t="s">
        <v>9</v>
      </c>
      <c r="F3868">
        <v>54.05</v>
      </c>
      <c r="G3868" t="s">
        <v>20</v>
      </c>
      <c r="H3868" t="s">
        <v>11</v>
      </c>
    </row>
    <row r="3869" spans="1:8" x14ac:dyDescent="0.25">
      <c r="A3869" s="1">
        <v>45669.125</v>
      </c>
      <c r="B3869" t="s">
        <v>27</v>
      </c>
      <c r="C3869">
        <v>329.88</v>
      </c>
      <c r="D3869">
        <v>92.28</v>
      </c>
      <c r="E3869" t="s">
        <v>14</v>
      </c>
      <c r="F3869">
        <v>52.29</v>
      </c>
      <c r="G3869" t="s">
        <v>20</v>
      </c>
      <c r="H3869" t="s">
        <v>12</v>
      </c>
    </row>
    <row r="3870" spans="1:8" x14ac:dyDescent="0.25">
      <c r="A3870" s="1">
        <v>45669.166666666664</v>
      </c>
      <c r="B3870" t="s">
        <v>27</v>
      </c>
      <c r="C3870">
        <v>193.69</v>
      </c>
      <c r="D3870">
        <v>20.05</v>
      </c>
      <c r="E3870" t="s">
        <v>9</v>
      </c>
      <c r="F3870">
        <v>39.14</v>
      </c>
      <c r="G3870" t="s">
        <v>20</v>
      </c>
      <c r="H3870" t="s">
        <v>12</v>
      </c>
    </row>
    <row r="3871" spans="1:8" x14ac:dyDescent="0.25">
      <c r="A3871" s="1">
        <v>45669.208333333336</v>
      </c>
      <c r="B3871" t="s">
        <v>27</v>
      </c>
      <c r="C3871">
        <v>484.1</v>
      </c>
      <c r="D3871">
        <v>77.400000000000006</v>
      </c>
      <c r="E3871" t="s">
        <v>9</v>
      </c>
      <c r="F3871">
        <v>47.92</v>
      </c>
      <c r="G3871" t="s">
        <v>20</v>
      </c>
      <c r="H3871" t="s">
        <v>11</v>
      </c>
    </row>
    <row r="3872" spans="1:8" x14ac:dyDescent="0.25">
      <c r="A3872" s="1">
        <v>45669.25</v>
      </c>
      <c r="B3872" t="s">
        <v>27</v>
      </c>
      <c r="C3872">
        <v>105.66</v>
      </c>
      <c r="D3872">
        <v>66.31</v>
      </c>
      <c r="E3872" t="s">
        <v>9</v>
      </c>
      <c r="F3872">
        <v>89.8</v>
      </c>
      <c r="G3872" t="s">
        <v>20</v>
      </c>
      <c r="H3872" t="s">
        <v>12</v>
      </c>
    </row>
    <row r="3873" spans="1:8" x14ac:dyDescent="0.25">
      <c r="A3873" s="1">
        <v>45669.291666666664</v>
      </c>
      <c r="B3873" t="s">
        <v>27</v>
      </c>
      <c r="C3873">
        <v>136.1</v>
      </c>
      <c r="D3873">
        <v>26.6</v>
      </c>
      <c r="E3873" t="s">
        <v>9</v>
      </c>
      <c r="F3873">
        <v>65.34</v>
      </c>
      <c r="G3873" t="s">
        <v>20</v>
      </c>
      <c r="H3873" t="s">
        <v>12</v>
      </c>
    </row>
    <row r="3874" spans="1:8" x14ac:dyDescent="0.25">
      <c r="A3874" s="1">
        <v>45669.333333333336</v>
      </c>
      <c r="B3874" t="s">
        <v>27</v>
      </c>
      <c r="C3874">
        <v>411.7</v>
      </c>
      <c r="D3874">
        <v>49.06</v>
      </c>
      <c r="E3874" t="s">
        <v>9</v>
      </c>
      <c r="F3874">
        <v>63.64</v>
      </c>
      <c r="G3874" t="s">
        <v>20</v>
      </c>
      <c r="H3874" t="s">
        <v>11</v>
      </c>
    </row>
    <row r="3875" spans="1:8" x14ac:dyDescent="0.25">
      <c r="A3875" s="1">
        <v>45669.375</v>
      </c>
      <c r="B3875" t="s">
        <v>27</v>
      </c>
      <c r="C3875">
        <v>191.65</v>
      </c>
      <c r="D3875">
        <v>46.69</v>
      </c>
      <c r="E3875" t="s">
        <v>9</v>
      </c>
      <c r="F3875">
        <v>44.54</v>
      </c>
      <c r="G3875" t="s">
        <v>20</v>
      </c>
      <c r="H3875" t="s">
        <v>13</v>
      </c>
    </row>
    <row r="3876" spans="1:8" x14ac:dyDescent="0.25">
      <c r="A3876" s="1">
        <v>45669.416666666664</v>
      </c>
      <c r="B3876" t="s">
        <v>27</v>
      </c>
      <c r="C3876">
        <v>288.43</v>
      </c>
      <c r="D3876">
        <v>26.55</v>
      </c>
      <c r="E3876" t="s">
        <v>9</v>
      </c>
      <c r="F3876">
        <v>66.75</v>
      </c>
      <c r="G3876" t="s">
        <v>20</v>
      </c>
      <c r="H3876" t="s">
        <v>12</v>
      </c>
    </row>
    <row r="3877" spans="1:8" x14ac:dyDescent="0.25">
      <c r="A3877" s="1">
        <v>45669.458333333336</v>
      </c>
      <c r="B3877" t="s">
        <v>27</v>
      </c>
      <c r="C3877">
        <v>124.5</v>
      </c>
      <c r="D3877">
        <v>49.23</v>
      </c>
      <c r="E3877" t="s">
        <v>9</v>
      </c>
      <c r="F3877">
        <v>67.89</v>
      </c>
      <c r="G3877" t="s">
        <v>20</v>
      </c>
      <c r="H3877" t="s">
        <v>12</v>
      </c>
    </row>
    <row r="3878" spans="1:8" x14ac:dyDescent="0.25">
      <c r="A3878" s="1">
        <v>45669.5</v>
      </c>
      <c r="B3878" t="s">
        <v>27</v>
      </c>
      <c r="C3878">
        <v>469.22</v>
      </c>
      <c r="D3878">
        <v>84.6</v>
      </c>
      <c r="E3878" t="s">
        <v>9</v>
      </c>
      <c r="F3878">
        <v>58.34</v>
      </c>
      <c r="G3878" t="s">
        <v>20</v>
      </c>
      <c r="H3878" t="s">
        <v>11</v>
      </c>
    </row>
    <row r="3879" spans="1:8" x14ac:dyDescent="0.25">
      <c r="A3879" s="1">
        <v>45669.541666666664</v>
      </c>
      <c r="B3879" t="s">
        <v>27</v>
      </c>
      <c r="C3879">
        <v>450.2</v>
      </c>
      <c r="D3879">
        <v>92.53</v>
      </c>
      <c r="E3879" t="s">
        <v>14</v>
      </c>
      <c r="F3879">
        <v>73.16</v>
      </c>
      <c r="G3879" t="s">
        <v>20</v>
      </c>
      <c r="H3879" t="s">
        <v>13</v>
      </c>
    </row>
    <row r="3880" spans="1:8" x14ac:dyDescent="0.25">
      <c r="A3880" s="1">
        <v>45669.583333333336</v>
      </c>
      <c r="B3880" t="s">
        <v>27</v>
      </c>
      <c r="C3880">
        <v>171.18</v>
      </c>
      <c r="D3880">
        <v>94.95</v>
      </c>
      <c r="E3880" t="s">
        <v>14</v>
      </c>
      <c r="F3880">
        <v>65.39</v>
      </c>
      <c r="G3880" t="s">
        <v>20</v>
      </c>
      <c r="H3880" t="s">
        <v>12</v>
      </c>
    </row>
    <row r="3881" spans="1:8" x14ac:dyDescent="0.25">
      <c r="A3881" s="1">
        <v>45669.625</v>
      </c>
      <c r="B3881" t="s">
        <v>27</v>
      </c>
      <c r="C3881">
        <v>52.76</v>
      </c>
      <c r="D3881">
        <v>65.099999999999994</v>
      </c>
      <c r="E3881" t="s">
        <v>9</v>
      </c>
      <c r="F3881">
        <v>66.87</v>
      </c>
      <c r="G3881" t="s">
        <v>20</v>
      </c>
      <c r="H3881" t="s">
        <v>11</v>
      </c>
    </row>
    <row r="3882" spans="1:8" x14ac:dyDescent="0.25">
      <c r="A3882" s="1">
        <v>45669.666666666664</v>
      </c>
      <c r="B3882" t="s">
        <v>27</v>
      </c>
      <c r="C3882">
        <v>149.11000000000001</v>
      </c>
      <c r="D3882">
        <v>67.91</v>
      </c>
      <c r="E3882" t="s">
        <v>9</v>
      </c>
      <c r="F3882">
        <v>83.71</v>
      </c>
      <c r="G3882" t="s">
        <v>20</v>
      </c>
      <c r="H3882" t="s">
        <v>13</v>
      </c>
    </row>
    <row r="3883" spans="1:8" x14ac:dyDescent="0.25">
      <c r="A3883" s="1">
        <v>45669.708333333336</v>
      </c>
      <c r="B3883" t="s">
        <v>27</v>
      </c>
      <c r="C3883">
        <v>148.9</v>
      </c>
      <c r="D3883">
        <v>70.05</v>
      </c>
      <c r="E3883" t="s">
        <v>9</v>
      </c>
      <c r="F3883">
        <v>42.1</v>
      </c>
      <c r="G3883" t="s">
        <v>20</v>
      </c>
      <c r="H3883" t="s">
        <v>11</v>
      </c>
    </row>
    <row r="3884" spans="1:8" x14ac:dyDescent="0.25">
      <c r="A3884" s="1">
        <v>45669.75</v>
      </c>
      <c r="B3884" t="s">
        <v>27</v>
      </c>
      <c r="C3884">
        <v>283.26</v>
      </c>
      <c r="D3884">
        <v>75.67</v>
      </c>
      <c r="E3884" t="s">
        <v>9</v>
      </c>
      <c r="F3884">
        <v>76.36</v>
      </c>
      <c r="G3884" t="s">
        <v>20</v>
      </c>
      <c r="H3884" t="s">
        <v>12</v>
      </c>
    </row>
    <row r="3885" spans="1:8" x14ac:dyDescent="0.25">
      <c r="A3885" s="1">
        <v>45669.791666666664</v>
      </c>
      <c r="B3885" t="s">
        <v>27</v>
      </c>
      <c r="C3885">
        <v>405.72</v>
      </c>
      <c r="D3885">
        <v>31.35</v>
      </c>
      <c r="E3885" t="s">
        <v>9</v>
      </c>
      <c r="F3885">
        <v>50.64</v>
      </c>
      <c r="G3885" t="s">
        <v>20</v>
      </c>
      <c r="H3885" t="s">
        <v>11</v>
      </c>
    </row>
    <row r="3886" spans="1:8" x14ac:dyDescent="0.25">
      <c r="A3886" s="1">
        <v>45669.833333333336</v>
      </c>
      <c r="B3886" t="s">
        <v>27</v>
      </c>
      <c r="C3886">
        <v>340.18</v>
      </c>
      <c r="D3886">
        <v>71.94</v>
      </c>
      <c r="E3886" t="s">
        <v>9</v>
      </c>
      <c r="F3886">
        <v>35.79</v>
      </c>
      <c r="G3886" t="s">
        <v>20</v>
      </c>
      <c r="H3886" t="s">
        <v>11</v>
      </c>
    </row>
    <row r="3887" spans="1:8" x14ac:dyDescent="0.25">
      <c r="A3887" s="1">
        <v>45669.875</v>
      </c>
      <c r="B3887" t="s">
        <v>27</v>
      </c>
      <c r="C3887">
        <v>388.05</v>
      </c>
      <c r="D3887">
        <v>36.840000000000003</v>
      </c>
      <c r="E3887" t="s">
        <v>9</v>
      </c>
      <c r="F3887">
        <v>43.14</v>
      </c>
      <c r="G3887" t="s">
        <v>20</v>
      </c>
      <c r="H3887" t="s">
        <v>13</v>
      </c>
    </row>
    <row r="3888" spans="1:8" x14ac:dyDescent="0.25">
      <c r="A3888" s="1">
        <v>45669.916666666664</v>
      </c>
      <c r="B3888" t="s">
        <v>27</v>
      </c>
      <c r="C3888">
        <v>97.11</v>
      </c>
      <c r="D3888">
        <v>29.64</v>
      </c>
      <c r="E3888" t="s">
        <v>9</v>
      </c>
      <c r="F3888">
        <v>89.93</v>
      </c>
      <c r="G3888" t="s">
        <v>20</v>
      </c>
      <c r="H3888" t="s">
        <v>11</v>
      </c>
    </row>
    <row r="3889" spans="1:8" x14ac:dyDescent="0.25">
      <c r="A3889" s="1">
        <v>45669.958333333336</v>
      </c>
      <c r="B3889" t="s">
        <v>27</v>
      </c>
      <c r="C3889">
        <v>74</v>
      </c>
      <c r="D3889">
        <v>24.82</v>
      </c>
      <c r="E3889" t="s">
        <v>9</v>
      </c>
      <c r="F3889">
        <v>43.91</v>
      </c>
      <c r="G3889" t="s">
        <v>20</v>
      </c>
      <c r="H3889" t="s">
        <v>12</v>
      </c>
    </row>
    <row r="3890" spans="1:8" x14ac:dyDescent="0.25">
      <c r="A3890" s="1">
        <v>45670</v>
      </c>
      <c r="B3890" t="s">
        <v>27</v>
      </c>
      <c r="C3890">
        <v>389.83</v>
      </c>
      <c r="D3890">
        <v>62.35</v>
      </c>
      <c r="E3890" t="s">
        <v>9</v>
      </c>
      <c r="F3890">
        <v>30.64</v>
      </c>
      <c r="G3890" t="s">
        <v>20</v>
      </c>
      <c r="H3890" t="s">
        <v>11</v>
      </c>
    </row>
    <row r="3891" spans="1:8" x14ac:dyDescent="0.25">
      <c r="A3891" s="1">
        <v>45670.041666666664</v>
      </c>
      <c r="B3891" t="s">
        <v>27</v>
      </c>
      <c r="C3891">
        <v>434.78</v>
      </c>
      <c r="D3891">
        <v>66.78</v>
      </c>
      <c r="E3891" t="s">
        <v>9</v>
      </c>
      <c r="F3891">
        <v>32.619999999999997</v>
      </c>
      <c r="G3891" t="s">
        <v>20</v>
      </c>
      <c r="H3891" t="s">
        <v>12</v>
      </c>
    </row>
    <row r="3892" spans="1:8" x14ac:dyDescent="0.25">
      <c r="A3892" s="1">
        <v>45670.083333333336</v>
      </c>
      <c r="B3892" t="s">
        <v>27</v>
      </c>
      <c r="C3892">
        <v>347.03</v>
      </c>
      <c r="D3892">
        <v>93.25</v>
      </c>
      <c r="E3892" t="s">
        <v>14</v>
      </c>
      <c r="F3892">
        <v>87.11</v>
      </c>
      <c r="G3892" t="s">
        <v>20</v>
      </c>
      <c r="H3892" t="s">
        <v>13</v>
      </c>
    </row>
    <row r="3893" spans="1:8" x14ac:dyDescent="0.25">
      <c r="A3893" s="1">
        <v>45670.125</v>
      </c>
      <c r="B3893" t="s">
        <v>27</v>
      </c>
      <c r="C3893">
        <v>208.11</v>
      </c>
      <c r="D3893">
        <v>23.61</v>
      </c>
      <c r="E3893" t="s">
        <v>9</v>
      </c>
      <c r="F3893">
        <v>38.81</v>
      </c>
      <c r="G3893" t="s">
        <v>20</v>
      </c>
      <c r="H3893" t="s">
        <v>11</v>
      </c>
    </row>
    <row r="3894" spans="1:8" x14ac:dyDescent="0.25">
      <c r="A3894" s="1">
        <v>45670.166666666664</v>
      </c>
      <c r="B3894" t="s">
        <v>27</v>
      </c>
      <c r="C3894">
        <v>265.74</v>
      </c>
      <c r="D3894">
        <v>35.17</v>
      </c>
      <c r="E3894" t="s">
        <v>9</v>
      </c>
      <c r="F3894">
        <v>38.229999999999997</v>
      </c>
      <c r="G3894" t="s">
        <v>20</v>
      </c>
      <c r="H3894" t="s">
        <v>13</v>
      </c>
    </row>
    <row r="3895" spans="1:8" x14ac:dyDescent="0.25">
      <c r="A3895" s="1">
        <v>45670.208333333336</v>
      </c>
      <c r="B3895" t="s">
        <v>27</v>
      </c>
      <c r="C3895">
        <v>375.96</v>
      </c>
      <c r="D3895">
        <v>20.7</v>
      </c>
      <c r="E3895" t="s">
        <v>9</v>
      </c>
      <c r="F3895">
        <v>65.47</v>
      </c>
      <c r="G3895" t="s">
        <v>20</v>
      </c>
      <c r="H3895" t="s">
        <v>11</v>
      </c>
    </row>
    <row r="3896" spans="1:8" x14ac:dyDescent="0.25">
      <c r="A3896" s="1">
        <v>45670.25</v>
      </c>
      <c r="B3896" t="s">
        <v>27</v>
      </c>
      <c r="C3896">
        <v>141.91</v>
      </c>
      <c r="D3896">
        <v>72.3</v>
      </c>
      <c r="E3896" t="s">
        <v>9</v>
      </c>
      <c r="F3896">
        <v>47.35</v>
      </c>
      <c r="G3896" t="s">
        <v>20</v>
      </c>
      <c r="H3896" t="s">
        <v>13</v>
      </c>
    </row>
    <row r="3897" spans="1:8" x14ac:dyDescent="0.25">
      <c r="A3897" s="1">
        <v>45670.291666666664</v>
      </c>
      <c r="B3897" t="s">
        <v>27</v>
      </c>
      <c r="C3897">
        <v>398.81</v>
      </c>
      <c r="D3897">
        <v>29.64</v>
      </c>
      <c r="E3897" t="s">
        <v>9</v>
      </c>
      <c r="F3897">
        <v>63.74</v>
      </c>
      <c r="G3897" t="s">
        <v>20</v>
      </c>
      <c r="H3897" t="s">
        <v>13</v>
      </c>
    </row>
    <row r="3898" spans="1:8" x14ac:dyDescent="0.25">
      <c r="A3898" s="1">
        <v>45670.333333333336</v>
      </c>
      <c r="B3898" t="s">
        <v>27</v>
      </c>
      <c r="C3898">
        <v>96.77</v>
      </c>
      <c r="D3898">
        <v>18.09</v>
      </c>
      <c r="E3898" t="s">
        <v>9</v>
      </c>
      <c r="F3898">
        <v>81.510000000000005</v>
      </c>
      <c r="G3898" t="s">
        <v>20</v>
      </c>
      <c r="H3898" t="s">
        <v>11</v>
      </c>
    </row>
    <row r="3899" spans="1:8" x14ac:dyDescent="0.25">
      <c r="A3899" s="1">
        <v>45670.375</v>
      </c>
      <c r="B3899" t="s">
        <v>27</v>
      </c>
      <c r="C3899">
        <v>89.93</v>
      </c>
      <c r="D3899">
        <v>33.35</v>
      </c>
      <c r="E3899" t="s">
        <v>9</v>
      </c>
      <c r="F3899">
        <v>83.26</v>
      </c>
      <c r="G3899" t="s">
        <v>20</v>
      </c>
      <c r="H3899" t="s">
        <v>13</v>
      </c>
    </row>
    <row r="3900" spans="1:8" x14ac:dyDescent="0.25">
      <c r="A3900" s="1">
        <v>45670.416666666664</v>
      </c>
      <c r="B3900" t="s">
        <v>27</v>
      </c>
      <c r="C3900">
        <v>380.92</v>
      </c>
      <c r="D3900">
        <v>81.5</v>
      </c>
      <c r="E3900" t="s">
        <v>9</v>
      </c>
      <c r="F3900">
        <v>84.21</v>
      </c>
      <c r="G3900" t="s">
        <v>20</v>
      </c>
      <c r="H3900" t="s">
        <v>12</v>
      </c>
    </row>
    <row r="3901" spans="1:8" x14ac:dyDescent="0.25">
      <c r="A3901" s="1">
        <v>45670.458333333336</v>
      </c>
      <c r="B3901" t="s">
        <v>27</v>
      </c>
      <c r="C3901">
        <v>200.01</v>
      </c>
      <c r="D3901">
        <v>73.849999999999994</v>
      </c>
      <c r="E3901" t="s">
        <v>9</v>
      </c>
      <c r="F3901">
        <v>45.1</v>
      </c>
      <c r="G3901" t="s">
        <v>20</v>
      </c>
      <c r="H3901" t="s">
        <v>12</v>
      </c>
    </row>
    <row r="3902" spans="1:8" x14ac:dyDescent="0.25">
      <c r="A3902" s="1">
        <v>45670.5</v>
      </c>
      <c r="B3902" t="s">
        <v>27</v>
      </c>
      <c r="C3902">
        <v>123.9</v>
      </c>
      <c r="D3902">
        <v>19.739999999999998</v>
      </c>
      <c r="E3902" t="s">
        <v>9</v>
      </c>
      <c r="F3902">
        <v>49.19</v>
      </c>
      <c r="G3902" t="s">
        <v>20</v>
      </c>
      <c r="H3902" t="s">
        <v>11</v>
      </c>
    </row>
    <row r="3903" spans="1:8" x14ac:dyDescent="0.25">
      <c r="A3903" s="1">
        <v>45670.541666666664</v>
      </c>
      <c r="B3903" t="s">
        <v>27</v>
      </c>
      <c r="C3903">
        <v>425.79</v>
      </c>
      <c r="D3903">
        <v>60.39</v>
      </c>
      <c r="E3903" t="s">
        <v>9</v>
      </c>
      <c r="F3903">
        <v>39.33</v>
      </c>
      <c r="G3903" t="s">
        <v>20</v>
      </c>
      <c r="H3903" t="s">
        <v>12</v>
      </c>
    </row>
    <row r="3904" spans="1:8" x14ac:dyDescent="0.25">
      <c r="A3904" s="1">
        <v>45670.583333333336</v>
      </c>
      <c r="B3904" t="s">
        <v>27</v>
      </c>
      <c r="C3904">
        <v>362.03</v>
      </c>
      <c r="D3904">
        <v>30.56</v>
      </c>
      <c r="E3904" t="s">
        <v>9</v>
      </c>
      <c r="F3904">
        <v>33.51</v>
      </c>
      <c r="G3904" t="s">
        <v>20</v>
      </c>
      <c r="H3904" t="s">
        <v>11</v>
      </c>
    </row>
    <row r="3905" spans="1:8" x14ac:dyDescent="0.25">
      <c r="A3905" s="1">
        <v>45670.625</v>
      </c>
      <c r="B3905" t="s">
        <v>27</v>
      </c>
      <c r="C3905">
        <v>348.57</v>
      </c>
      <c r="D3905">
        <v>55</v>
      </c>
      <c r="E3905" t="s">
        <v>9</v>
      </c>
      <c r="F3905">
        <v>45.04</v>
      </c>
      <c r="G3905" t="s">
        <v>20</v>
      </c>
      <c r="H3905" t="s">
        <v>11</v>
      </c>
    </row>
    <row r="3906" spans="1:8" x14ac:dyDescent="0.25">
      <c r="A3906" s="1">
        <v>45670.666666666664</v>
      </c>
      <c r="B3906" t="s">
        <v>27</v>
      </c>
      <c r="C3906">
        <v>453.36</v>
      </c>
      <c r="D3906">
        <v>44.94</v>
      </c>
      <c r="E3906" t="s">
        <v>9</v>
      </c>
      <c r="F3906">
        <v>71.36</v>
      </c>
      <c r="G3906" t="s">
        <v>20</v>
      </c>
      <c r="H3906" t="s">
        <v>12</v>
      </c>
    </row>
    <row r="3907" spans="1:8" x14ac:dyDescent="0.25">
      <c r="A3907" s="1">
        <v>45670.708333333336</v>
      </c>
      <c r="B3907" t="s">
        <v>27</v>
      </c>
      <c r="C3907">
        <v>96.5</v>
      </c>
      <c r="D3907">
        <v>35.82</v>
      </c>
      <c r="E3907" t="s">
        <v>9</v>
      </c>
      <c r="F3907">
        <v>64.17</v>
      </c>
      <c r="G3907" t="s">
        <v>20</v>
      </c>
      <c r="H3907" t="s">
        <v>13</v>
      </c>
    </row>
    <row r="3908" spans="1:8" x14ac:dyDescent="0.25">
      <c r="A3908" s="1">
        <v>45670.75</v>
      </c>
      <c r="B3908" t="s">
        <v>27</v>
      </c>
      <c r="C3908">
        <v>216.88</v>
      </c>
      <c r="D3908">
        <v>74.41</v>
      </c>
      <c r="E3908" t="s">
        <v>9</v>
      </c>
      <c r="F3908">
        <v>40.369999999999997</v>
      </c>
      <c r="G3908" t="s">
        <v>20</v>
      </c>
      <c r="H3908" t="s">
        <v>13</v>
      </c>
    </row>
    <row r="3909" spans="1:8" x14ac:dyDescent="0.25">
      <c r="A3909" s="1">
        <v>45670.791666666664</v>
      </c>
      <c r="B3909" t="s">
        <v>27</v>
      </c>
      <c r="C3909">
        <v>463.34</v>
      </c>
      <c r="D3909">
        <v>47.95</v>
      </c>
      <c r="E3909" t="s">
        <v>9</v>
      </c>
      <c r="F3909">
        <v>43.39</v>
      </c>
      <c r="G3909" t="s">
        <v>20</v>
      </c>
      <c r="H3909" t="s">
        <v>11</v>
      </c>
    </row>
    <row r="3910" spans="1:8" x14ac:dyDescent="0.25">
      <c r="A3910" s="1">
        <v>45670.833333333336</v>
      </c>
      <c r="B3910" t="s">
        <v>27</v>
      </c>
      <c r="C3910">
        <v>286.18</v>
      </c>
      <c r="D3910">
        <v>37.06</v>
      </c>
      <c r="E3910" t="s">
        <v>9</v>
      </c>
      <c r="F3910">
        <v>78.569999999999993</v>
      </c>
      <c r="G3910" t="s">
        <v>20</v>
      </c>
      <c r="H3910" t="s">
        <v>12</v>
      </c>
    </row>
    <row r="3911" spans="1:8" x14ac:dyDescent="0.25">
      <c r="A3911" s="1">
        <v>45670.875</v>
      </c>
      <c r="B3911" t="s">
        <v>27</v>
      </c>
      <c r="C3911">
        <v>321.35000000000002</v>
      </c>
      <c r="D3911">
        <v>50.49</v>
      </c>
      <c r="E3911" t="s">
        <v>9</v>
      </c>
      <c r="F3911">
        <v>41.5</v>
      </c>
      <c r="G3911" t="s">
        <v>20</v>
      </c>
      <c r="H3911" t="s">
        <v>13</v>
      </c>
    </row>
    <row r="3912" spans="1:8" x14ac:dyDescent="0.25">
      <c r="A3912" s="1">
        <v>45670.916666666664</v>
      </c>
      <c r="B3912" t="s">
        <v>27</v>
      </c>
      <c r="C3912">
        <v>358.81</v>
      </c>
      <c r="D3912">
        <v>66.849999999999994</v>
      </c>
      <c r="E3912" t="s">
        <v>9</v>
      </c>
      <c r="F3912">
        <v>54.94</v>
      </c>
      <c r="G3912" t="s">
        <v>20</v>
      </c>
      <c r="H3912" t="s">
        <v>11</v>
      </c>
    </row>
    <row r="3913" spans="1:8" x14ac:dyDescent="0.25">
      <c r="A3913" s="1">
        <v>45670.958333333336</v>
      </c>
      <c r="B3913" t="s">
        <v>27</v>
      </c>
      <c r="C3913">
        <v>499.12</v>
      </c>
      <c r="D3913">
        <v>50.95</v>
      </c>
      <c r="E3913" t="s">
        <v>9</v>
      </c>
      <c r="F3913">
        <v>55.5</v>
      </c>
      <c r="G3913" t="s">
        <v>20</v>
      </c>
      <c r="H3913" t="s">
        <v>11</v>
      </c>
    </row>
    <row r="3914" spans="1:8" x14ac:dyDescent="0.25">
      <c r="A3914" s="1">
        <v>45671</v>
      </c>
      <c r="B3914" t="s">
        <v>27</v>
      </c>
      <c r="C3914">
        <v>314.97000000000003</v>
      </c>
      <c r="D3914">
        <v>29.62</v>
      </c>
      <c r="E3914" t="s">
        <v>9</v>
      </c>
      <c r="F3914">
        <v>37.950000000000003</v>
      </c>
      <c r="G3914" t="s">
        <v>20</v>
      </c>
      <c r="H3914" t="s">
        <v>11</v>
      </c>
    </row>
    <row r="3915" spans="1:8" x14ac:dyDescent="0.25">
      <c r="A3915" s="1">
        <v>45671.041666666664</v>
      </c>
      <c r="B3915" t="s">
        <v>27</v>
      </c>
      <c r="C3915">
        <v>441.85</v>
      </c>
      <c r="D3915">
        <v>39.65</v>
      </c>
      <c r="E3915" t="s">
        <v>9</v>
      </c>
      <c r="F3915">
        <v>48.31</v>
      </c>
      <c r="G3915" t="s">
        <v>20</v>
      </c>
      <c r="H3915" t="s">
        <v>11</v>
      </c>
    </row>
    <row r="3916" spans="1:8" x14ac:dyDescent="0.25">
      <c r="A3916" s="1">
        <v>45671.083333333336</v>
      </c>
      <c r="B3916" t="s">
        <v>27</v>
      </c>
      <c r="C3916">
        <v>444.66</v>
      </c>
      <c r="D3916">
        <v>44.11</v>
      </c>
      <c r="E3916" t="s">
        <v>9</v>
      </c>
      <c r="F3916">
        <v>64.36</v>
      </c>
      <c r="G3916" t="s">
        <v>20</v>
      </c>
      <c r="H3916" t="s">
        <v>12</v>
      </c>
    </row>
    <row r="3917" spans="1:8" x14ac:dyDescent="0.25">
      <c r="A3917" s="1">
        <v>45671.125</v>
      </c>
      <c r="B3917" t="s">
        <v>27</v>
      </c>
      <c r="C3917">
        <v>100.49</v>
      </c>
      <c r="D3917">
        <v>81.52</v>
      </c>
      <c r="E3917" t="s">
        <v>9</v>
      </c>
      <c r="F3917">
        <v>65.040000000000006</v>
      </c>
      <c r="G3917" t="s">
        <v>20</v>
      </c>
      <c r="H3917" t="s">
        <v>11</v>
      </c>
    </row>
    <row r="3918" spans="1:8" x14ac:dyDescent="0.25">
      <c r="A3918" s="1">
        <v>45671.166666666664</v>
      </c>
      <c r="B3918" t="s">
        <v>27</v>
      </c>
      <c r="C3918">
        <v>365.42</v>
      </c>
      <c r="D3918">
        <v>48.92</v>
      </c>
      <c r="E3918" t="s">
        <v>9</v>
      </c>
      <c r="F3918">
        <v>53.57</v>
      </c>
      <c r="G3918" t="s">
        <v>20</v>
      </c>
      <c r="H3918" t="s">
        <v>13</v>
      </c>
    </row>
    <row r="3919" spans="1:8" x14ac:dyDescent="0.25">
      <c r="A3919" s="1">
        <v>45671.208333333336</v>
      </c>
      <c r="B3919" t="s">
        <v>27</v>
      </c>
      <c r="C3919">
        <v>159.16999999999999</v>
      </c>
      <c r="D3919">
        <v>57.33</v>
      </c>
      <c r="E3919" t="s">
        <v>9</v>
      </c>
      <c r="F3919">
        <v>71.08</v>
      </c>
      <c r="G3919" t="s">
        <v>20</v>
      </c>
      <c r="H3919" t="s">
        <v>12</v>
      </c>
    </row>
    <row r="3920" spans="1:8" x14ac:dyDescent="0.25">
      <c r="A3920" s="1">
        <v>45671.25</v>
      </c>
      <c r="B3920" t="s">
        <v>27</v>
      </c>
      <c r="C3920">
        <v>438.36</v>
      </c>
      <c r="D3920">
        <v>84.43</v>
      </c>
      <c r="E3920" t="s">
        <v>9</v>
      </c>
      <c r="F3920">
        <v>58.24</v>
      </c>
      <c r="G3920" t="s">
        <v>20</v>
      </c>
      <c r="H3920" t="s">
        <v>11</v>
      </c>
    </row>
    <row r="3921" spans="1:8" x14ac:dyDescent="0.25">
      <c r="A3921" s="1">
        <v>45671.291666666664</v>
      </c>
      <c r="B3921" t="s">
        <v>27</v>
      </c>
      <c r="C3921">
        <v>84.01</v>
      </c>
      <c r="D3921">
        <v>14.27</v>
      </c>
      <c r="E3921" t="s">
        <v>9</v>
      </c>
      <c r="F3921">
        <v>52.84</v>
      </c>
      <c r="G3921" t="s">
        <v>20</v>
      </c>
      <c r="H3921" t="s">
        <v>13</v>
      </c>
    </row>
    <row r="3922" spans="1:8" x14ac:dyDescent="0.25">
      <c r="A3922" s="1">
        <v>45671.333333333336</v>
      </c>
      <c r="B3922" t="s">
        <v>27</v>
      </c>
      <c r="C3922">
        <v>333.14</v>
      </c>
      <c r="D3922">
        <v>52.59</v>
      </c>
      <c r="E3922" t="s">
        <v>9</v>
      </c>
      <c r="F3922">
        <v>37.49</v>
      </c>
      <c r="G3922" t="s">
        <v>20</v>
      </c>
      <c r="H3922" t="s">
        <v>13</v>
      </c>
    </row>
    <row r="3923" spans="1:8" x14ac:dyDescent="0.25">
      <c r="A3923" s="1">
        <v>45671.375</v>
      </c>
      <c r="B3923" t="s">
        <v>27</v>
      </c>
      <c r="C3923">
        <v>51.8</v>
      </c>
      <c r="D3923">
        <v>39.31</v>
      </c>
      <c r="E3923" t="s">
        <v>9</v>
      </c>
      <c r="F3923">
        <v>42.48</v>
      </c>
      <c r="G3923" t="s">
        <v>20</v>
      </c>
      <c r="H3923" t="s">
        <v>13</v>
      </c>
    </row>
    <row r="3924" spans="1:8" x14ac:dyDescent="0.25">
      <c r="A3924" s="1">
        <v>45671.416666666664</v>
      </c>
      <c r="B3924" t="s">
        <v>27</v>
      </c>
      <c r="C3924">
        <v>111.22</v>
      </c>
      <c r="D3924">
        <v>37.49</v>
      </c>
      <c r="E3924" t="s">
        <v>9</v>
      </c>
      <c r="F3924">
        <v>49.88</v>
      </c>
      <c r="G3924" t="s">
        <v>20</v>
      </c>
      <c r="H3924" t="s">
        <v>11</v>
      </c>
    </row>
    <row r="3925" spans="1:8" x14ac:dyDescent="0.25">
      <c r="A3925" s="1">
        <v>45671.458333333336</v>
      </c>
      <c r="B3925" t="s">
        <v>27</v>
      </c>
      <c r="C3925">
        <v>363.15</v>
      </c>
      <c r="D3925">
        <v>57.52</v>
      </c>
      <c r="E3925" t="s">
        <v>9</v>
      </c>
      <c r="F3925">
        <v>31.11</v>
      </c>
      <c r="G3925" t="s">
        <v>20</v>
      </c>
      <c r="H3925" t="s">
        <v>11</v>
      </c>
    </row>
    <row r="3926" spans="1:8" x14ac:dyDescent="0.25">
      <c r="A3926" s="1">
        <v>45671.5</v>
      </c>
      <c r="B3926" t="s">
        <v>27</v>
      </c>
      <c r="C3926">
        <v>102.61</v>
      </c>
      <c r="D3926">
        <v>26.49</v>
      </c>
      <c r="E3926" t="s">
        <v>9</v>
      </c>
      <c r="F3926">
        <v>80.13</v>
      </c>
      <c r="G3926" t="s">
        <v>20</v>
      </c>
      <c r="H3926" t="s">
        <v>11</v>
      </c>
    </row>
    <row r="3927" spans="1:8" x14ac:dyDescent="0.25">
      <c r="A3927" s="1">
        <v>45671.541666666664</v>
      </c>
      <c r="B3927" t="s">
        <v>27</v>
      </c>
      <c r="C3927">
        <v>267.85000000000002</v>
      </c>
      <c r="D3927">
        <v>87.62</v>
      </c>
      <c r="E3927" t="s">
        <v>14</v>
      </c>
      <c r="F3927">
        <v>31.77</v>
      </c>
      <c r="G3927" t="s">
        <v>20</v>
      </c>
      <c r="H3927" t="s">
        <v>12</v>
      </c>
    </row>
    <row r="3928" spans="1:8" x14ac:dyDescent="0.25">
      <c r="A3928" s="1">
        <v>45671.583333333336</v>
      </c>
      <c r="B3928" t="s">
        <v>27</v>
      </c>
      <c r="C3928">
        <v>420.52</v>
      </c>
      <c r="D3928">
        <v>64.89</v>
      </c>
      <c r="E3928" t="s">
        <v>9</v>
      </c>
      <c r="F3928">
        <v>88.9</v>
      </c>
      <c r="G3928" t="s">
        <v>20</v>
      </c>
      <c r="H3928" t="s">
        <v>12</v>
      </c>
    </row>
    <row r="3929" spans="1:8" x14ac:dyDescent="0.25">
      <c r="A3929" s="1">
        <v>45671.625</v>
      </c>
      <c r="B3929" t="s">
        <v>27</v>
      </c>
      <c r="C3929">
        <v>79.63</v>
      </c>
      <c r="D3929">
        <v>17.46</v>
      </c>
      <c r="E3929" t="s">
        <v>9</v>
      </c>
      <c r="F3929">
        <v>54.55</v>
      </c>
      <c r="G3929" t="s">
        <v>20</v>
      </c>
      <c r="H3929" t="s">
        <v>13</v>
      </c>
    </row>
    <row r="3930" spans="1:8" x14ac:dyDescent="0.25">
      <c r="A3930" s="1">
        <v>45671.666666666664</v>
      </c>
      <c r="B3930" t="s">
        <v>27</v>
      </c>
      <c r="C3930">
        <v>218.12</v>
      </c>
      <c r="D3930">
        <v>93.61</v>
      </c>
      <c r="E3930" t="s">
        <v>14</v>
      </c>
      <c r="F3930">
        <v>32.15</v>
      </c>
      <c r="G3930" t="s">
        <v>20</v>
      </c>
      <c r="H3930" t="s">
        <v>12</v>
      </c>
    </row>
    <row r="3931" spans="1:8" x14ac:dyDescent="0.25">
      <c r="A3931" s="1">
        <v>45671.708333333336</v>
      </c>
      <c r="B3931" t="s">
        <v>27</v>
      </c>
      <c r="C3931">
        <v>169.77</v>
      </c>
      <c r="D3931">
        <v>24.49</v>
      </c>
      <c r="E3931" t="s">
        <v>9</v>
      </c>
      <c r="F3931">
        <v>64.650000000000006</v>
      </c>
      <c r="G3931" t="s">
        <v>20</v>
      </c>
      <c r="H3931" t="s">
        <v>13</v>
      </c>
    </row>
    <row r="3932" spans="1:8" x14ac:dyDescent="0.25">
      <c r="A3932" s="1">
        <v>45671.75</v>
      </c>
      <c r="B3932" t="s">
        <v>27</v>
      </c>
      <c r="C3932">
        <v>201.52</v>
      </c>
      <c r="D3932">
        <v>64.150000000000006</v>
      </c>
      <c r="E3932" t="s">
        <v>9</v>
      </c>
      <c r="F3932">
        <v>88.67</v>
      </c>
      <c r="G3932" t="s">
        <v>20</v>
      </c>
      <c r="H3932" t="s">
        <v>13</v>
      </c>
    </row>
    <row r="3933" spans="1:8" x14ac:dyDescent="0.25">
      <c r="A3933" s="1">
        <v>45671.791666666664</v>
      </c>
      <c r="B3933" t="s">
        <v>27</v>
      </c>
      <c r="C3933">
        <v>131.82</v>
      </c>
      <c r="D3933">
        <v>62.71</v>
      </c>
      <c r="E3933" t="s">
        <v>9</v>
      </c>
      <c r="F3933">
        <v>79.75</v>
      </c>
      <c r="G3933" t="s">
        <v>20</v>
      </c>
      <c r="H3933" t="s">
        <v>13</v>
      </c>
    </row>
    <row r="3934" spans="1:8" x14ac:dyDescent="0.25">
      <c r="A3934" s="1">
        <v>45671.833333333336</v>
      </c>
      <c r="B3934" t="s">
        <v>27</v>
      </c>
      <c r="C3934">
        <v>298.92</v>
      </c>
      <c r="D3934">
        <v>40.619999999999997</v>
      </c>
      <c r="E3934" t="s">
        <v>9</v>
      </c>
      <c r="F3934">
        <v>37.29</v>
      </c>
      <c r="G3934" t="s">
        <v>20</v>
      </c>
      <c r="H3934" t="s">
        <v>13</v>
      </c>
    </row>
    <row r="3935" spans="1:8" x14ac:dyDescent="0.25">
      <c r="A3935" s="1">
        <v>45671.875</v>
      </c>
      <c r="B3935" t="s">
        <v>27</v>
      </c>
      <c r="C3935">
        <v>255.86</v>
      </c>
      <c r="D3935">
        <v>94.15</v>
      </c>
      <c r="E3935" t="s">
        <v>14</v>
      </c>
      <c r="F3935">
        <v>74.98</v>
      </c>
      <c r="G3935" t="s">
        <v>20</v>
      </c>
      <c r="H3935" t="s">
        <v>12</v>
      </c>
    </row>
    <row r="3936" spans="1:8" x14ac:dyDescent="0.25">
      <c r="A3936" s="1">
        <v>45671.916666666664</v>
      </c>
      <c r="B3936" t="s">
        <v>27</v>
      </c>
      <c r="C3936">
        <v>255.78</v>
      </c>
      <c r="D3936">
        <v>54.46</v>
      </c>
      <c r="E3936" t="s">
        <v>9</v>
      </c>
      <c r="F3936">
        <v>69.56</v>
      </c>
      <c r="G3936" t="s">
        <v>20</v>
      </c>
      <c r="H3936" t="s">
        <v>13</v>
      </c>
    </row>
    <row r="3937" spans="1:8" x14ac:dyDescent="0.25">
      <c r="A3937" s="1">
        <v>45671.958333333336</v>
      </c>
      <c r="B3937" t="s">
        <v>27</v>
      </c>
      <c r="C3937">
        <v>292.68</v>
      </c>
      <c r="D3937">
        <v>36.520000000000003</v>
      </c>
      <c r="E3937" t="s">
        <v>9</v>
      </c>
      <c r="F3937">
        <v>59.61</v>
      </c>
      <c r="G3937" t="s">
        <v>20</v>
      </c>
      <c r="H3937" t="s">
        <v>12</v>
      </c>
    </row>
    <row r="3938" spans="1:8" x14ac:dyDescent="0.25">
      <c r="A3938" s="1">
        <v>45672</v>
      </c>
      <c r="B3938" t="s">
        <v>27</v>
      </c>
      <c r="C3938">
        <v>438.82</v>
      </c>
      <c r="D3938">
        <v>40.64</v>
      </c>
      <c r="E3938" t="s">
        <v>9</v>
      </c>
      <c r="F3938">
        <v>87.87</v>
      </c>
      <c r="G3938" t="s">
        <v>20</v>
      </c>
      <c r="H3938" t="s">
        <v>12</v>
      </c>
    </row>
    <row r="3939" spans="1:8" x14ac:dyDescent="0.25">
      <c r="A3939" s="1">
        <v>45672.041666666664</v>
      </c>
      <c r="B3939" t="s">
        <v>27</v>
      </c>
      <c r="C3939">
        <v>73.88</v>
      </c>
      <c r="D3939">
        <v>76.19</v>
      </c>
      <c r="E3939" t="s">
        <v>9</v>
      </c>
      <c r="F3939">
        <v>69.959999999999994</v>
      </c>
      <c r="G3939" t="s">
        <v>20</v>
      </c>
      <c r="H3939" t="s">
        <v>12</v>
      </c>
    </row>
    <row r="3940" spans="1:8" x14ac:dyDescent="0.25">
      <c r="A3940" s="1">
        <v>45672.083333333336</v>
      </c>
      <c r="B3940" t="s">
        <v>27</v>
      </c>
      <c r="C3940">
        <v>379.21</v>
      </c>
      <c r="D3940">
        <v>28.13</v>
      </c>
      <c r="E3940" t="s">
        <v>9</v>
      </c>
      <c r="F3940">
        <v>44.2</v>
      </c>
      <c r="G3940" t="s">
        <v>20</v>
      </c>
      <c r="H3940" t="s">
        <v>12</v>
      </c>
    </row>
    <row r="3941" spans="1:8" x14ac:dyDescent="0.25">
      <c r="A3941" s="1">
        <v>45672.125</v>
      </c>
      <c r="B3941" t="s">
        <v>27</v>
      </c>
      <c r="C3941">
        <v>226.8</v>
      </c>
      <c r="D3941">
        <v>54.48</v>
      </c>
      <c r="E3941" t="s">
        <v>9</v>
      </c>
      <c r="F3941">
        <v>61.71</v>
      </c>
      <c r="G3941" t="s">
        <v>20</v>
      </c>
      <c r="H3941" t="s">
        <v>11</v>
      </c>
    </row>
    <row r="3942" spans="1:8" x14ac:dyDescent="0.25">
      <c r="A3942" s="1">
        <v>45672.166666666664</v>
      </c>
      <c r="B3942" t="s">
        <v>27</v>
      </c>
      <c r="C3942">
        <v>370.04</v>
      </c>
      <c r="D3942">
        <v>44.58</v>
      </c>
      <c r="E3942" t="s">
        <v>9</v>
      </c>
      <c r="F3942">
        <v>54.81</v>
      </c>
      <c r="G3942" t="s">
        <v>20</v>
      </c>
      <c r="H3942" t="s">
        <v>12</v>
      </c>
    </row>
    <row r="3943" spans="1:8" x14ac:dyDescent="0.25">
      <c r="A3943" s="1">
        <v>45672.208333333336</v>
      </c>
      <c r="B3943" t="s">
        <v>27</v>
      </c>
      <c r="C3943">
        <v>86.91</v>
      </c>
      <c r="D3943">
        <v>56.66</v>
      </c>
      <c r="E3943" t="s">
        <v>9</v>
      </c>
      <c r="F3943">
        <v>80.38</v>
      </c>
      <c r="G3943" t="s">
        <v>20</v>
      </c>
      <c r="H3943" t="s">
        <v>13</v>
      </c>
    </row>
    <row r="3944" spans="1:8" x14ac:dyDescent="0.25">
      <c r="A3944" s="1">
        <v>45672.25</v>
      </c>
      <c r="B3944" t="s">
        <v>27</v>
      </c>
      <c r="C3944">
        <v>454.4</v>
      </c>
      <c r="D3944">
        <v>71.44</v>
      </c>
      <c r="E3944" t="s">
        <v>9</v>
      </c>
      <c r="F3944">
        <v>88.26</v>
      </c>
      <c r="G3944" t="s">
        <v>20</v>
      </c>
      <c r="H3944" t="s">
        <v>11</v>
      </c>
    </row>
    <row r="3945" spans="1:8" x14ac:dyDescent="0.25">
      <c r="A3945" s="1">
        <v>45672.291666666664</v>
      </c>
      <c r="B3945" t="s">
        <v>27</v>
      </c>
      <c r="C3945">
        <v>492.56</v>
      </c>
      <c r="D3945">
        <v>43.02</v>
      </c>
      <c r="E3945" t="s">
        <v>9</v>
      </c>
      <c r="F3945">
        <v>49.73</v>
      </c>
      <c r="G3945" t="s">
        <v>20</v>
      </c>
      <c r="H3945" t="s">
        <v>13</v>
      </c>
    </row>
    <row r="3946" spans="1:8" x14ac:dyDescent="0.25">
      <c r="A3946" s="1">
        <v>45672.333333333336</v>
      </c>
      <c r="B3946" t="s">
        <v>27</v>
      </c>
      <c r="C3946">
        <v>310.61</v>
      </c>
      <c r="D3946">
        <v>93.67</v>
      </c>
      <c r="E3946" t="s">
        <v>14</v>
      </c>
      <c r="F3946">
        <v>55.06</v>
      </c>
      <c r="G3946" t="s">
        <v>20</v>
      </c>
      <c r="H3946" t="s">
        <v>13</v>
      </c>
    </row>
    <row r="3947" spans="1:8" x14ac:dyDescent="0.25">
      <c r="A3947" s="1">
        <v>45672.375</v>
      </c>
      <c r="B3947" t="s">
        <v>27</v>
      </c>
      <c r="C3947">
        <v>341.96</v>
      </c>
      <c r="D3947">
        <v>39.520000000000003</v>
      </c>
      <c r="E3947" t="s">
        <v>9</v>
      </c>
      <c r="F3947">
        <v>72.89</v>
      </c>
      <c r="G3947" t="s">
        <v>20</v>
      </c>
      <c r="H3947" t="s">
        <v>11</v>
      </c>
    </row>
    <row r="3948" spans="1:8" x14ac:dyDescent="0.25">
      <c r="A3948" s="1">
        <v>45672.416666666664</v>
      </c>
      <c r="B3948" t="s">
        <v>27</v>
      </c>
      <c r="C3948">
        <v>353.98</v>
      </c>
      <c r="D3948">
        <v>37.96</v>
      </c>
      <c r="E3948" t="s">
        <v>9</v>
      </c>
      <c r="F3948">
        <v>51.05</v>
      </c>
      <c r="G3948" t="s">
        <v>20</v>
      </c>
      <c r="H3948" t="s">
        <v>12</v>
      </c>
    </row>
    <row r="3949" spans="1:8" x14ac:dyDescent="0.25">
      <c r="A3949" s="1">
        <v>45672.458333333336</v>
      </c>
      <c r="B3949" t="s">
        <v>27</v>
      </c>
      <c r="C3949">
        <v>217.19</v>
      </c>
      <c r="D3949">
        <v>45.95</v>
      </c>
      <c r="E3949" t="s">
        <v>9</v>
      </c>
      <c r="F3949">
        <v>36.020000000000003</v>
      </c>
      <c r="G3949" t="s">
        <v>20</v>
      </c>
      <c r="H3949" t="s">
        <v>11</v>
      </c>
    </row>
    <row r="3950" spans="1:8" x14ac:dyDescent="0.25">
      <c r="A3950" s="1">
        <v>45672.5</v>
      </c>
      <c r="B3950" t="s">
        <v>27</v>
      </c>
      <c r="C3950">
        <v>75.27</v>
      </c>
      <c r="D3950">
        <v>87.8</v>
      </c>
      <c r="E3950" t="s">
        <v>14</v>
      </c>
      <c r="F3950">
        <v>49.35</v>
      </c>
      <c r="G3950" t="s">
        <v>20</v>
      </c>
      <c r="H3950" t="s">
        <v>13</v>
      </c>
    </row>
    <row r="3951" spans="1:8" x14ac:dyDescent="0.25">
      <c r="A3951" s="1">
        <v>45672.541666666664</v>
      </c>
      <c r="B3951" t="s">
        <v>27</v>
      </c>
      <c r="C3951">
        <v>60.99</v>
      </c>
      <c r="D3951">
        <v>94.06</v>
      </c>
      <c r="E3951" t="s">
        <v>14</v>
      </c>
      <c r="F3951">
        <v>72.599999999999994</v>
      </c>
      <c r="G3951" t="s">
        <v>20</v>
      </c>
      <c r="H3951" t="s">
        <v>13</v>
      </c>
    </row>
    <row r="3952" spans="1:8" x14ac:dyDescent="0.25">
      <c r="A3952" s="1">
        <v>45672.583333333336</v>
      </c>
      <c r="B3952" t="s">
        <v>27</v>
      </c>
      <c r="C3952">
        <v>158.74</v>
      </c>
      <c r="D3952">
        <v>61.72</v>
      </c>
      <c r="E3952" t="s">
        <v>9</v>
      </c>
      <c r="F3952">
        <v>71.14</v>
      </c>
      <c r="G3952" t="s">
        <v>20</v>
      </c>
      <c r="H3952" t="s">
        <v>12</v>
      </c>
    </row>
    <row r="3953" spans="1:8" x14ac:dyDescent="0.25">
      <c r="A3953" s="1">
        <v>45672.625</v>
      </c>
      <c r="B3953" t="s">
        <v>27</v>
      </c>
      <c r="C3953">
        <v>330.21</v>
      </c>
      <c r="D3953">
        <v>21.52</v>
      </c>
      <c r="E3953" t="s">
        <v>9</v>
      </c>
      <c r="F3953">
        <v>67.27</v>
      </c>
      <c r="G3953" t="s">
        <v>20</v>
      </c>
      <c r="H3953" t="s">
        <v>12</v>
      </c>
    </row>
    <row r="3954" spans="1:8" x14ac:dyDescent="0.25">
      <c r="A3954" s="1">
        <v>45672.666666666664</v>
      </c>
      <c r="B3954" t="s">
        <v>27</v>
      </c>
      <c r="C3954">
        <v>140.94</v>
      </c>
      <c r="D3954">
        <v>69.819999999999993</v>
      </c>
      <c r="E3954" t="s">
        <v>9</v>
      </c>
      <c r="F3954">
        <v>41.21</v>
      </c>
      <c r="G3954" t="s">
        <v>20</v>
      </c>
      <c r="H3954" t="s">
        <v>13</v>
      </c>
    </row>
    <row r="3955" spans="1:8" x14ac:dyDescent="0.25">
      <c r="A3955" s="1">
        <v>45672.708333333336</v>
      </c>
      <c r="B3955" t="s">
        <v>27</v>
      </c>
      <c r="C3955">
        <v>241.96</v>
      </c>
      <c r="D3955">
        <v>19.850000000000001</v>
      </c>
      <c r="E3955" t="s">
        <v>9</v>
      </c>
      <c r="F3955">
        <v>83.6</v>
      </c>
      <c r="G3955" t="s">
        <v>20</v>
      </c>
      <c r="H3955" t="s">
        <v>12</v>
      </c>
    </row>
    <row r="3956" spans="1:8" x14ac:dyDescent="0.25">
      <c r="A3956" s="1">
        <v>45672.75</v>
      </c>
      <c r="B3956" t="s">
        <v>27</v>
      </c>
      <c r="C3956">
        <v>398.9</v>
      </c>
      <c r="D3956">
        <v>27.57</v>
      </c>
      <c r="E3956" t="s">
        <v>9</v>
      </c>
      <c r="F3956">
        <v>39.369999999999997</v>
      </c>
      <c r="G3956" t="s">
        <v>20</v>
      </c>
      <c r="H3956" t="s">
        <v>13</v>
      </c>
    </row>
    <row r="3957" spans="1:8" x14ac:dyDescent="0.25">
      <c r="A3957" s="1">
        <v>45672.791666666664</v>
      </c>
      <c r="B3957" t="s">
        <v>27</v>
      </c>
      <c r="C3957">
        <v>77.180000000000007</v>
      </c>
      <c r="D3957">
        <v>63.16</v>
      </c>
      <c r="E3957" t="s">
        <v>9</v>
      </c>
      <c r="F3957">
        <v>78.5</v>
      </c>
      <c r="G3957" t="s">
        <v>20</v>
      </c>
      <c r="H3957" t="s">
        <v>12</v>
      </c>
    </row>
    <row r="3958" spans="1:8" x14ac:dyDescent="0.25">
      <c r="A3958" s="1">
        <v>45672.833333333336</v>
      </c>
      <c r="B3958" t="s">
        <v>27</v>
      </c>
      <c r="C3958">
        <v>182.72</v>
      </c>
      <c r="D3958">
        <v>64.44</v>
      </c>
      <c r="E3958" t="s">
        <v>9</v>
      </c>
      <c r="F3958">
        <v>41.29</v>
      </c>
      <c r="G3958" t="s">
        <v>20</v>
      </c>
      <c r="H3958" t="s">
        <v>11</v>
      </c>
    </row>
    <row r="3959" spans="1:8" x14ac:dyDescent="0.25">
      <c r="A3959" s="1">
        <v>45672.875</v>
      </c>
      <c r="B3959" t="s">
        <v>27</v>
      </c>
      <c r="C3959">
        <v>475.93</v>
      </c>
      <c r="D3959">
        <v>19.809999999999999</v>
      </c>
      <c r="E3959" t="s">
        <v>9</v>
      </c>
      <c r="F3959">
        <v>59.17</v>
      </c>
      <c r="G3959" t="s">
        <v>20</v>
      </c>
      <c r="H3959" t="s">
        <v>12</v>
      </c>
    </row>
    <row r="3960" spans="1:8" x14ac:dyDescent="0.25">
      <c r="A3960" s="1">
        <v>45672.916666666664</v>
      </c>
      <c r="B3960" t="s">
        <v>27</v>
      </c>
      <c r="C3960">
        <v>157.18</v>
      </c>
      <c r="D3960">
        <v>59.05</v>
      </c>
      <c r="E3960" t="s">
        <v>9</v>
      </c>
      <c r="F3960">
        <v>51.25</v>
      </c>
      <c r="G3960" t="s">
        <v>20</v>
      </c>
      <c r="H3960" t="s">
        <v>11</v>
      </c>
    </row>
    <row r="3961" spans="1:8" x14ac:dyDescent="0.25">
      <c r="A3961" s="1">
        <v>45672.958333333336</v>
      </c>
      <c r="B3961" t="s">
        <v>27</v>
      </c>
      <c r="C3961">
        <v>58.15</v>
      </c>
      <c r="D3961">
        <v>63.28</v>
      </c>
      <c r="E3961" t="s">
        <v>9</v>
      </c>
      <c r="F3961">
        <v>59.49</v>
      </c>
      <c r="G3961" t="s">
        <v>20</v>
      </c>
      <c r="H3961" t="s">
        <v>11</v>
      </c>
    </row>
    <row r="3962" spans="1:8" x14ac:dyDescent="0.25">
      <c r="A3962" s="1">
        <v>45658</v>
      </c>
      <c r="B3962" t="s">
        <v>28</v>
      </c>
      <c r="C3962">
        <v>498.09</v>
      </c>
      <c r="D3962">
        <v>86.67</v>
      </c>
      <c r="E3962" t="s">
        <v>14</v>
      </c>
      <c r="F3962">
        <v>47.55</v>
      </c>
      <c r="G3962" t="s">
        <v>22</v>
      </c>
      <c r="H3962" t="s">
        <v>13</v>
      </c>
    </row>
    <row r="3963" spans="1:8" x14ac:dyDescent="0.25">
      <c r="A3963" s="1">
        <v>45658.041666666664</v>
      </c>
      <c r="B3963" t="s">
        <v>28</v>
      </c>
      <c r="C3963">
        <v>354.41</v>
      </c>
      <c r="D3963">
        <v>24.21</v>
      </c>
      <c r="E3963" t="s">
        <v>9</v>
      </c>
      <c r="F3963">
        <v>81.489999999999995</v>
      </c>
      <c r="G3963" t="s">
        <v>22</v>
      </c>
      <c r="H3963" t="s">
        <v>13</v>
      </c>
    </row>
    <row r="3964" spans="1:8" x14ac:dyDescent="0.25">
      <c r="A3964" s="1">
        <v>45658.083333333336</v>
      </c>
      <c r="B3964" t="s">
        <v>28</v>
      </c>
      <c r="C3964">
        <v>211.47</v>
      </c>
      <c r="D3964">
        <v>79.25</v>
      </c>
      <c r="E3964" t="s">
        <v>9</v>
      </c>
      <c r="F3964">
        <v>59.9</v>
      </c>
      <c r="G3964" t="s">
        <v>22</v>
      </c>
      <c r="H3964" t="s">
        <v>12</v>
      </c>
    </row>
    <row r="3965" spans="1:8" x14ac:dyDescent="0.25">
      <c r="A3965" s="1">
        <v>45658.125</v>
      </c>
      <c r="B3965" t="s">
        <v>28</v>
      </c>
      <c r="C3965">
        <v>262.74</v>
      </c>
      <c r="D3965">
        <v>86.43</v>
      </c>
      <c r="E3965" t="s">
        <v>14</v>
      </c>
      <c r="F3965">
        <v>70.819999999999993</v>
      </c>
      <c r="G3965" t="s">
        <v>22</v>
      </c>
      <c r="H3965" t="s">
        <v>13</v>
      </c>
    </row>
    <row r="3966" spans="1:8" x14ac:dyDescent="0.25">
      <c r="A3966" s="1">
        <v>45658.166666666664</v>
      </c>
      <c r="B3966" t="s">
        <v>28</v>
      </c>
      <c r="C3966">
        <v>352.6</v>
      </c>
      <c r="D3966">
        <v>35.17</v>
      </c>
      <c r="E3966" t="s">
        <v>9</v>
      </c>
      <c r="F3966">
        <v>49.49</v>
      </c>
      <c r="G3966" t="s">
        <v>22</v>
      </c>
      <c r="H3966" t="s">
        <v>13</v>
      </c>
    </row>
    <row r="3967" spans="1:8" x14ac:dyDescent="0.25">
      <c r="A3967" s="1">
        <v>45658.208333333336</v>
      </c>
      <c r="B3967" t="s">
        <v>28</v>
      </c>
      <c r="C3967">
        <v>289.31</v>
      </c>
      <c r="D3967">
        <v>33.01</v>
      </c>
      <c r="E3967" t="s">
        <v>9</v>
      </c>
      <c r="F3967">
        <v>81.25</v>
      </c>
      <c r="G3967" t="s">
        <v>22</v>
      </c>
      <c r="H3967" t="s">
        <v>13</v>
      </c>
    </row>
    <row r="3968" spans="1:8" x14ac:dyDescent="0.25">
      <c r="A3968" s="1">
        <v>45658.25</v>
      </c>
      <c r="B3968" t="s">
        <v>28</v>
      </c>
      <c r="C3968">
        <v>294.70999999999998</v>
      </c>
      <c r="D3968">
        <v>92.68</v>
      </c>
      <c r="E3968" t="s">
        <v>14</v>
      </c>
      <c r="F3968">
        <v>49.12</v>
      </c>
      <c r="G3968" t="s">
        <v>22</v>
      </c>
      <c r="H3968" t="s">
        <v>12</v>
      </c>
    </row>
    <row r="3969" spans="1:8" x14ac:dyDescent="0.25">
      <c r="A3969" s="1">
        <v>45658.291666666664</v>
      </c>
      <c r="B3969" t="s">
        <v>28</v>
      </c>
      <c r="C3969">
        <v>71.92</v>
      </c>
      <c r="D3969">
        <v>37.56</v>
      </c>
      <c r="E3969" t="s">
        <v>9</v>
      </c>
      <c r="F3969">
        <v>53.95</v>
      </c>
      <c r="G3969" t="s">
        <v>22</v>
      </c>
      <c r="H3969" t="s">
        <v>12</v>
      </c>
    </row>
    <row r="3970" spans="1:8" x14ac:dyDescent="0.25">
      <c r="A3970" s="1">
        <v>45658.333333333336</v>
      </c>
      <c r="B3970" t="s">
        <v>28</v>
      </c>
      <c r="C3970">
        <v>449.85</v>
      </c>
      <c r="D3970">
        <v>94.24</v>
      </c>
      <c r="E3970" t="s">
        <v>14</v>
      </c>
      <c r="F3970">
        <v>64.11</v>
      </c>
      <c r="G3970" t="s">
        <v>22</v>
      </c>
      <c r="H3970" t="s">
        <v>11</v>
      </c>
    </row>
    <row r="3971" spans="1:8" x14ac:dyDescent="0.25">
      <c r="A3971" s="1">
        <v>45658.375</v>
      </c>
      <c r="B3971" t="s">
        <v>28</v>
      </c>
      <c r="C3971">
        <v>403.46</v>
      </c>
      <c r="D3971">
        <v>32.25</v>
      </c>
      <c r="E3971" t="s">
        <v>9</v>
      </c>
      <c r="F3971">
        <v>43.03</v>
      </c>
      <c r="G3971" t="s">
        <v>22</v>
      </c>
      <c r="H3971" t="s">
        <v>12</v>
      </c>
    </row>
    <row r="3972" spans="1:8" x14ac:dyDescent="0.25">
      <c r="A3972" s="1">
        <v>45658.416666666664</v>
      </c>
      <c r="B3972" t="s">
        <v>28</v>
      </c>
      <c r="C3972">
        <v>120.94</v>
      </c>
      <c r="D3972">
        <v>19.739999999999998</v>
      </c>
      <c r="E3972" t="s">
        <v>9</v>
      </c>
      <c r="F3972">
        <v>30.59</v>
      </c>
      <c r="G3972" t="s">
        <v>22</v>
      </c>
      <c r="H3972" t="s">
        <v>13</v>
      </c>
    </row>
    <row r="3973" spans="1:8" x14ac:dyDescent="0.25">
      <c r="A3973" s="1">
        <v>45658.458333333336</v>
      </c>
      <c r="B3973" t="s">
        <v>28</v>
      </c>
      <c r="C3973">
        <v>391.8</v>
      </c>
      <c r="D3973">
        <v>61.23</v>
      </c>
      <c r="E3973" t="s">
        <v>9</v>
      </c>
      <c r="F3973">
        <v>33.270000000000003</v>
      </c>
      <c r="G3973" t="s">
        <v>22</v>
      </c>
      <c r="H3973" t="s">
        <v>12</v>
      </c>
    </row>
    <row r="3974" spans="1:8" x14ac:dyDescent="0.25">
      <c r="A3974" s="1">
        <v>45658.5</v>
      </c>
      <c r="B3974" t="s">
        <v>28</v>
      </c>
      <c r="C3974">
        <v>288.44</v>
      </c>
      <c r="D3974">
        <v>36.14</v>
      </c>
      <c r="E3974" t="s">
        <v>9</v>
      </c>
      <c r="F3974">
        <v>77.760000000000005</v>
      </c>
      <c r="G3974" t="s">
        <v>22</v>
      </c>
      <c r="H3974" t="s">
        <v>12</v>
      </c>
    </row>
    <row r="3975" spans="1:8" x14ac:dyDescent="0.25">
      <c r="A3975" s="1">
        <v>45658.541666666664</v>
      </c>
      <c r="B3975" t="s">
        <v>28</v>
      </c>
      <c r="C3975">
        <v>310.55</v>
      </c>
      <c r="D3975">
        <v>62.8</v>
      </c>
      <c r="E3975" t="s">
        <v>9</v>
      </c>
      <c r="F3975">
        <v>65.27</v>
      </c>
      <c r="G3975" t="s">
        <v>22</v>
      </c>
      <c r="H3975" t="s">
        <v>13</v>
      </c>
    </row>
    <row r="3976" spans="1:8" x14ac:dyDescent="0.25">
      <c r="A3976" s="1">
        <v>45658.583333333336</v>
      </c>
      <c r="B3976" t="s">
        <v>28</v>
      </c>
      <c r="C3976">
        <v>380.14</v>
      </c>
      <c r="D3976">
        <v>89.62</v>
      </c>
      <c r="E3976" t="s">
        <v>14</v>
      </c>
      <c r="F3976">
        <v>42.54</v>
      </c>
      <c r="G3976" t="s">
        <v>22</v>
      </c>
      <c r="H3976" t="s">
        <v>11</v>
      </c>
    </row>
    <row r="3977" spans="1:8" x14ac:dyDescent="0.25">
      <c r="A3977" s="1">
        <v>45658.625</v>
      </c>
      <c r="B3977" t="s">
        <v>28</v>
      </c>
      <c r="C3977">
        <v>460.39</v>
      </c>
      <c r="D3977">
        <v>76.23</v>
      </c>
      <c r="E3977" t="s">
        <v>9</v>
      </c>
      <c r="F3977">
        <v>72.19</v>
      </c>
      <c r="G3977" t="s">
        <v>22</v>
      </c>
      <c r="H3977" t="s">
        <v>11</v>
      </c>
    </row>
    <row r="3978" spans="1:8" x14ac:dyDescent="0.25">
      <c r="A3978" s="1">
        <v>45658.666666666664</v>
      </c>
      <c r="B3978" t="s">
        <v>28</v>
      </c>
      <c r="C3978">
        <v>295.60000000000002</v>
      </c>
      <c r="D3978">
        <v>66.97</v>
      </c>
      <c r="E3978" t="s">
        <v>9</v>
      </c>
      <c r="F3978">
        <v>67.22</v>
      </c>
      <c r="G3978" t="s">
        <v>22</v>
      </c>
      <c r="H3978" t="s">
        <v>12</v>
      </c>
    </row>
    <row r="3979" spans="1:8" x14ac:dyDescent="0.25">
      <c r="A3979" s="1">
        <v>45658.708333333336</v>
      </c>
      <c r="B3979" t="s">
        <v>28</v>
      </c>
      <c r="C3979">
        <v>253.11</v>
      </c>
      <c r="D3979">
        <v>82.67</v>
      </c>
      <c r="E3979" t="s">
        <v>9</v>
      </c>
      <c r="F3979">
        <v>67.290000000000006</v>
      </c>
      <c r="G3979" t="s">
        <v>22</v>
      </c>
      <c r="H3979" t="s">
        <v>12</v>
      </c>
    </row>
    <row r="3980" spans="1:8" x14ac:dyDescent="0.25">
      <c r="A3980" s="1">
        <v>45658.75</v>
      </c>
      <c r="B3980" t="s">
        <v>28</v>
      </c>
      <c r="C3980">
        <v>167.28</v>
      </c>
      <c r="D3980">
        <v>27.99</v>
      </c>
      <c r="E3980" t="s">
        <v>9</v>
      </c>
      <c r="F3980">
        <v>38.340000000000003</v>
      </c>
      <c r="G3980" t="s">
        <v>22</v>
      </c>
      <c r="H3980" t="s">
        <v>12</v>
      </c>
    </row>
    <row r="3981" spans="1:8" x14ac:dyDescent="0.25">
      <c r="A3981" s="1">
        <v>45658.791666666664</v>
      </c>
      <c r="B3981" t="s">
        <v>28</v>
      </c>
      <c r="C3981">
        <v>268.52999999999997</v>
      </c>
      <c r="D3981">
        <v>90.95</v>
      </c>
      <c r="E3981" t="s">
        <v>14</v>
      </c>
      <c r="F3981">
        <v>72.84</v>
      </c>
      <c r="G3981" t="s">
        <v>22</v>
      </c>
      <c r="H3981" t="s">
        <v>12</v>
      </c>
    </row>
    <row r="3982" spans="1:8" x14ac:dyDescent="0.25">
      <c r="A3982" s="1">
        <v>45658.833333333336</v>
      </c>
      <c r="B3982" t="s">
        <v>28</v>
      </c>
      <c r="C3982">
        <v>394.36</v>
      </c>
      <c r="D3982">
        <v>73.2</v>
      </c>
      <c r="E3982" t="s">
        <v>9</v>
      </c>
      <c r="F3982">
        <v>40.369999999999997</v>
      </c>
      <c r="G3982" t="s">
        <v>22</v>
      </c>
      <c r="H3982" t="s">
        <v>13</v>
      </c>
    </row>
    <row r="3983" spans="1:8" x14ac:dyDescent="0.25">
      <c r="A3983" s="1">
        <v>45658.875</v>
      </c>
      <c r="B3983" t="s">
        <v>28</v>
      </c>
      <c r="C3983">
        <v>161.26</v>
      </c>
      <c r="D3983">
        <v>80.87</v>
      </c>
      <c r="E3983" t="s">
        <v>9</v>
      </c>
      <c r="F3983">
        <v>48.74</v>
      </c>
      <c r="G3983" t="s">
        <v>22</v>
      </c>
      <c r="H3983" t="s">
        <v>13</v>
      </c>
    </row>
    <row r="3984" spans="1:8" x14ac:dyDescent="0.25">
      <c r="A3984" s="1">
        <v>45658.916666666664</v>
      </c>
      <c r="B3984" t="s">
        <v>28</v>
      </c>
      <c r="C3984">
        <v>309.08999999999997</v>
      </c>
      <c r="D3984">
        <v>82.92</v>
      </c>
      <c r="E3984" t="s">
        <v>9</v>
      </c>
      <c r="F3984">
        <v>39.31</v>
      </c>
      <c r="G3984" t="s">
        <v>22</v>
      </c>
      <c r="H3984" t="s">
        <v>13</v>
      </c>
    </row>
    <row r="3985" spans="1:8" x14ac:dyDescent="0.25">
      <c r="A3985" s="1">
        <v>45658.958333333336</v>
      </c>
      <c r="B3985" t="s">
        <v>28</v>
      </c>
      <c r="C3985">
        <v>69.430000000000007</v>
      </c>
      <c r="D3985">
        <v>78.849999999999994</v>
      </c>
      <c r="E3985" t="s">
        <v>9</v>
      </c>
      <c r="F3985">
        <v>79.760000000000005</v>
      </c>
      <c r="G3985" t="s">
        <v>22</v>
      </c>
      <c r="H3985" t="s">
        <v>11</v>
      </c>
    </row>
    <row r="3986" spans="1:8" x14ac:dyDescent="0.25">
      <c r="A3986" s="1">
        <v>45659</v>
      </c>
      <c r="B3986" t="s">
        <v>28</v>
      </c>
      <c r="C3986">
        <v>133.74</v>
      </c>
      <c r="D3986">
        <v>24.08</v>
      </c>
      <c r="E3986" t="s">
        <v>9</v>
      </c>
      <c r="F3986">
        <v>60.21</v>
      </c>
      <c r="G3986" t="s">
        <v>22</v>
      </c>
      <c r="H3986" t="s">
        <v>11</v>
      </c>
    </row>
    <row r="3987" spans="1:8" x14ac:dyDescent="0.25">
      <c r="A3987" s="1">
        <v>45659.041666666664</v>
      </c>
      <c r="B3987" t="s">
        <v>28</v>
      </c>
      <c r="C3987">
        <v>192.41</v>
      </c>
      <c r="D3987">
        <v>31.59</v>
      </c>
      <c r="E3987" t="s">
        <v>9</v>
      </c>
      <c r="F3987">
        <v>36.39</v>
      </c>
      <c r="G3987" t="s">
        <v>22</v>
      </c>
      <c r="H3987" t="s">
        <v>13</v>
      </c>
    </row>
    <row r="3988" spans="1:8" x14ac:dyDescent="0.25">
      <c r="A3988" s="1">
        <v>45659.083333333336</v>
      </c>
      <c r="B3988" t="s">
        <v>28</v>
      </c>
      <c r="C3988">
        <v>382.67</v>
      </c>
      <c r="D3988">
        <v>79.11</v>
      </c>
      <c r="E3988" t="s">
        <v>9</v>
      </c>
      <c r="F3988">
        <v>87.78</v>
      </c>
      <c r="G3988" t="s">
        <v>22</v>
      </c>
      <c r="H3988" t="s">
        <v>13</v>
      </c>
    </row>
    <row r="3989" spans="1:8" x14ac:dyDescent="0.25">
      <c r="A3989" s="1">
        <v>45659.125</v>
      </c>
      <c r="B3989" t="s">
        <v>28</v>
      </c>
      <c r="C3989">
        <v>194.39</v>
      </c>
      <c r="D3989">
        <v>71.239999999999995</v>
      </c>
      <c r="E3989" t="s">
        <v>9</v>
      </c>
      <c r="F3989">
        <v>82.21</v>
      </c>
      <c r="G3989" t="s">
        <v>22</v>
      </c>
      <c r="H3989" t="s">
        <v>13</v>
      </c>
    </row>
    <row r="3990" spans="1:8" x14ac:dyDescent="0.25">
      <c r="A3990" s="1">
        <v>45659.166666666664</v>
      </c>
      <c r="B3990" t="s">
        <v>28</v>
      </c>
      <c r="C3990">
        <v>288.79000000000002</v>
      </c>
      <c r="D3990">
        <v>22.3</v>
      </c>
      <c r="E3990" t="s">
        <v>9</v>
      </c>
      <c r="F3990">
        <v>72.59</v>
      </c>
      <c r="G3990" t="s">
        <v>22</v>
      </c>
      <c r="H3990" t="s">
        <v>12</v>
      </c>
    </row>
    <row r="3991" spans="1:8" x14ac:dyDescent="0.25">
      <c r="A3991" s="1">
        <v>45659.208333333336</v>
      </c>
      <c r="B3991" t="s">
        <v>28</v>
      </c>
      <c r="C3991">
        <v>88.69</v>
      </c>
      <c r="D3991">
        <v>36.159999999999997</v>
      </c>
      <c r="E3991" t="s">
        <v>9</v>
      </c>
      <c r="F3991">
        <v>35.54</v>
      </c>
      <c r="G3991" t="s">
        <v>22</v>
      </c>
      <c r="H3991" t="s">
        <v>11</v>
      </c>
    </row>
    <row r="3992" spans="1:8" x14ac:dyDescent="0.25">
      <c r="A3992" s="1">
        <v>45659.25</v>
      </c>
      <c r="B3992" t="s">
        <v>28</v>
      </c>
      <c r="C3992">
        <v>247.26</v>
      </c>
      <c r="D3992">
        <v>28.09</v>
      </c>
      <c r="E3992" t="s">
        <v>9</v>
      </c>
      <c r="F3992">
        <v>40.49</v>
      </c>
      <c r="G3992" t="s">
        <v>22</v>
      </c>
      <c r="H3992" t="s">
        <v>11</v>
      </c>
    </row>
    <row r="3993" spans="1:8" x14ac:dyDescent="0.25">
      <c r="A3993" s="1">
        <v>45659.291666666664</v>
      </c>
      <c r="B3993" t="s">
        <v>28</v>
      </c>
      <c r="C3993">
        <v>224.2</v>
      </c>
      <c r="D3993">
        <v>18.55</v>
      </c>
      <c r="E3993" t="s">
        <v>9</v>
      </c>
      <c r="F3993">
        <v>85.21</v>
      </c>
      <c r="G3993" t="s">
        <v>22</v>
      </c>
      <c r="H3993" t="s">
        <v>11</v>
      </c>
    </row>
    <row r="3994" spans="1:8" x14ac:dyDescent="0.25">
      <c r="A3994" s="1">
        <v>45659.333333333336</v>
      </c>
      <c r="B3994" t="s">
        <v>28</v>
      </c>
      <c r="C3994">
        <v>317</v>
      </c>
      <c r="D3994">
        <v>91.18</v>
      </c>
      <c r="E3994" t="s">
        <v>14</v>
      </c>
      <c r="F3994">
        <v>45.73</v>
      </c>
      <c r="G3994" t="s">
        <v>22</v>
      </c>
      <c r="H3994" t="s">
        <v>12</v>
      </c>
    </row>
    <row r="3995" spans="1:8" x14ac:dyDescent="0.25">
      <c r="A3995" s="1">
        <v>45659.375</v>
      </c>
      <c r="B3995" t="s">
        <v>28</v>
      </c>
      <c r="C3995">
        <v>419.3</v>
      </c>
      <c r="D3995">
        <v>88.09</v>
      </c>
      <c r="E3995" t="s">
        <v>14</v>
      </c>
      <c r="F3995">
        <v>40.44</v>
      </c>
      <c r="G3995" t="s">
        <v>22</v>
      </c>
      <c r="H3995" t="s">
        <v>12</v>
      </c>
    </row>
    <row r="3996" spans="1:8" x14ac:dyDescent="0.25">
      <c r="A3996" s="1">
        <v>45659.416666666664</v>
      </c>
      <c r="B3996" t="s">
        <v>28</v>
      </c>
      <c r="C3996">
        <v>157.44999999999999</v>
      </c>
      <c r="D3996">
        <v>73.739999999999995</v>
      </c>
      <c r="E3996" t="s">
        <v>9</v>
      </c>
      <c r="F3996">
        <v>77.849999999999994</v>
      </c>
      <c r="G3996" t="s">
        <v>22</v>
      </c>
      <c r="H3996" t="s">
        <v>12</v>
      </c>
    </row>
    <row r="3997" spans="1:8" x14ac:dyDescent="0.25">
      <c r="A3997" s="1">
        <v>45659.458333333336</v>
      </c>
      <c r="B3997" t="s">
        <v>28</v>
      </c>
      <c r="C3997">
        <v>455.31</v>
      </c>
      <c r="D3997">
        <v>69.42</v>
      </c>
      <c r="E3997" t="s">
        <v>9</v>
      </c>
      <c r="F3997">
        <v>36.29</v>
      </c>
      <c r="G3997" t="s">
        <v>22</v>
      </c>
      <c r="H3997" t="s">
        <v>13</v>
      </c>
    </row>
    <row r="3998" spans="1:8" x14ac:dyDescent="0.25">
      <c r="A3998" s="1">
        <v>45659.5</v>
      </c>
      <c r="B3998" t="s">
        <v>28</v>
      </c>
      <c r="C3998">
        <v>125.47</v>
      </c>
      <c r="D3998">
        <v>21.45</v>
      </c>
      <c r="E3998" t="s">
        <v>9</v>
      </c>
      <c r="F3998">
        <v>64.52</v>
      </c>
      <c r="G3998" t="s">
        <v>22</v>
      </c>
      <c r="H3998" t="s">
        <v>12</v>
      </c>
    </row>
    <row r="3999" spans="1:8" x14ac:dyDescent="0.25">
      <c r="A3999" s="1">
        <v>45659.541666666664</v>
      </c>
      <c r="B3999" t="s">
        <v>28</v>
      </c>
      <c r="C3999">
        <v>201.03</v>
      </c>
      <c r="D3999">
        <v>31.03</v>
      </c>
      <c r="E3999" t="s">
        <v>9</v>
      </c>
      <c r="F3999">
        <v>36.61</v>
      </c>
      <c r="G3999" t="s">
        <v>22</v>
      </c>
      <c r="H3999" t="s">
        <v>11</v>
      </c>
    </row>
    <row r="4000" spans="1:8" x14ac:dyDescent="0.25">
      <c r="A4000" s="1">
        <v>45659.583333333336</v>
      </c>
      <c r="B4000" t="s">
        <v>28</v>
      </c>
      <c r="C4000">
        <v>175.79</v>
      </c>
      <c r="D4000">
        <v>27.21</v>
      </c>
      <c r="E4000" t="s">
        <v>9</v>
      </c>
      <c r="F4000">
        <v>58.92</v>
      </c>
      <c r="G4000" t="s">
        <v>22</v>
      </c>
      <c r="H4000" t="s">
        <v>13</v>
      </c>
    </row>
    <row r="4001" spans="1:8" x14ac:dyDescent="0.25">
      <c r="A4001" s="1">
        <v>45659.625</v>
      </c>
      <c r="B4001" t="s">
        <v>28</v>
      </c>
      <c r="C4001">
        <v>284.87</v>
      </c>
      <c r="D4001">
        <v>91.18</v>
      </c>
      <c r="E4001" t="s">
        <v>14</v>
      </c>
      <c r="F4001">
        <v>66.23</v>
      </c>
      <c r="G4001" t="s">
        <v>22</v>
      </c>
      <c r="H4001" t="s">
        <v>11</v>
      </c>
    </row>
    <row r="4002" spans="1:8" x14ac:dyDescent="0.25">
      <c r="A4002" s="1">
        <v>45659.666666666664</v>
      </c>
      <c r="B4002" t="s">
        <v>28</v>
      </c>
      <c r="C4002">
        <v>319.02999999999997</v>
      </c>
      <c r="D4002">
        <v>78.709999999999994</v>
      </c>
      <c r="E4002" t="s">
        <v>9</v>
      </c>
      <c r="F4002">
        <v>65.73</v>
      </c>
      <c r="G4002" t="s">
        <v>22</v>
      </c>
      <c r="H4002" t="s">
        <v>11</v>
      </c>
    </row>
    <row r="4003" spans="1:8" x14ac:dyDescent="0.25">
      <c r="A4003" s="1">
        <v>45659.708333333336</v>
      </c>
      <c r="B4003" t="s">
        <v>28</v>
      </c>
      <c r="C4003">
        <v>444.74</v>
      </c>
      <c r="D4003">
        <v>47.55</v>
      </c>
      <c r="E4003" t="s">
        <v>9</v>
      </c>
      <c r="F4003">
        <v>60.13</v>
      </c>
      <c r="G4003" t="s">
        <v>22</v>
      </c>
      <c r="H4003" t="s">
        <v>11</v>
      </c>
    </row>
    <row r="4004" spans="1:8" x14ac:dyDescent="0.25">
      <c r="A4004" s="1">
        <v>45659.75</v>
      </c>
      <c r="B4004" t="s">
        <v>28</v>
      </c>
      <c r="C4004">
        <v>361.11</v>
      </c>
      <c r="D4004">
        <v>20.53</v>
      </c>
      <c r="E4004" t="s">
        <v>9</v>
      </c>
      <c r="F4004">
        <v>32.57</v>
      </c>
      <c r="G4004" t="s">
        <v>22</v>
      </c>
      <c r="H4004" t="s">
        <v>11</v>
      </c>
    </row>
    <row r="4005" spans="1:8" x14ac:dyDescent="0.25">
      <c r="A4005" s="1">
        <v>45659.791666666664</v>
      </c>
      <c r="B4005" t="s">
        <v>28</v>
      </c>
      <c r="C4005">
        <v>486.91</v>
      </c>
      <c r="D4005">
        <v>58.73</v>
      </c>
      <c r="E4005" t="s">
        <v>9</v>
      </c>
      <c r="F4005">
        <v>46.1</v>
      </c>
      <c r="G4005" t="s">
        <v>22</v>
      </c>
      <c r="H4005" t="s">
        <v>11</v>
      </c>
    </row>
    <row r="4006" spans="1:8" x14ac:dyDescent="0.25">
      <c r="A4006" s="1">
        <v>45659.833333333336</v>
      </c>
      <c r="B4006" t="s">
        <v>28</v>
      </c>
      <c r="C4006">
        <v>464.08</v>
      </c>
      <c r="D4006">
        <v>43.36</v>
      </c>
      <c r="E4006" t="s">
        <v>9</v>
      </c>
      <c r="F4006">
        <v>48.4</v>
      </c>
      <c r="G4006" t="s">
        <v>22</v>
      </c>
      <c r="H4006" t="s">
        <v>12</v>
      </c>
    </row>
    <row r="4007" spans="1:8" x14ac:dyDescent="0.25">
      <c r="A4007" s="1">
        <v>45659.875</v>
      </c>
      <c r="B4007" t="s">
        <v>28</v>
      </c>
      <c r="C4007">
        <v>297.5</v>
      </c>
      <c r="D4007">
        <v>84.38</v>
      </c>
      <c r="E4007" t="s">
        <v>9</v>
      </c>
      <c r="F4007">
        <v>75.8</v>
      </c>
      <c r="G4007" t="s">
        <v>22</v>
      </c>
      <c r="H4007" t="s">
        <v>12</v>
      </c>
    </row>
    <row r="4008" spans="1:8" x14ac:dyDescent="0.25">
      <c r="A4008" s="1">
        <v>45659.916666666664</v>
      </c>
      <c r="B4008" t="s">
        <v>28</v>
      </c>
      <c r="C4008">
        <v>467.7</v>
      </c>
      <c r="D4008">
        <v>86.99</v>
      </c>
      <c r="E4008" t="s">
        <v>14</v>
      </c>
      <c r="F4008">
        <v>34.21</v>
      </c>
      <c r="G4008" t="s">
        <v>22</v>
      </c>
      <c r="H4008" t="s">
        <v>11</v>
      </c>
    </row>
    <row r="4009" spans="1:8" x14ac:dyDescent="0.25">
      <c r="A4009" s="1">
        <v>45659.958333333336</v>
      </c>
      <c r="B4009" t="s">
        <v>28</v>
      </c>
      <c r="C4009">
        <v>450.48</v>
      </c>
      <c r="D4009">
        <v>51.87</v>
      </c>
      <c r="E4009" t="s">
        <v>9</v>
      </c>
      <c r="F4009">
        <v>80.98</v>
      </c>
      <c r="G4009" t="s">
        <v>22</v>
      </c>
      <c r="H4009" t="s">
        <v>13</v>
      </c>
    </row>
    <row r="4010" spans="1:8" x14ac:dyDescent="0.25">
      <c r="A4010" s="1">
        <v>45660</v>
      </c>
      <c r="B4010" t="s">
        <v>28</v>
      </c>
      <c r="C4010">
        <v>202.81</v>
      </c>
      <c r="D4010">
        <v>86.54</v>
      </c>
      <c r="E4010" t="s">
        <v>14</v>
      </c>
      <c r="F4010">
        <v>55.55</v>
      </c>
      <c r="G4010" t="s">
        <v>22</v>
      </c>
      <c r="H4010" t="s">
        <v>12</v>
      </c>
    </row>
    <row r="4011" spans="1:8" x14ac:dyDescent="0.25">
      <c r="A4011" s="1">
        <v>45660.041666666664</v>
      </c>
      <c r="B4011" t="s">
        <v>28</v>
      </c>
      <c r="C4011">
        <v>241.08</v>
      </c>
      <c r="D4011">
        <v>41.76</v>
      </c>
      <c r="E4011" t="s">
        <v>9</v>
      </c>
      <c r="F4011">
        <v>71.03</v>
      </c>
      <c r="G4011" t="s">
        <v>22</v>
      </c>
      <c r="H4011" t="s">
        <v>11</v>
      </c>
    </row>
    <row r="4012" spans="1:8" x14ac:dyDescent="0.25">
      <c r="A4012" s="1">
        <v>45660.083333333336</v>
      </c>
      <c r="B4012" t="s">
        <v>28</v>
      </c>
      <c r="C4012">
        <v>391.7</v>
      </c>
      <c r="D4012">
        <v>21.25</v>
      </c>
      <c r="E4012" t="s">
        <v>9</v>
      </c>
      <c r="F4012">
        <v>59.56</v>
      </c>
      <c r="G4012" t="s">
        <v>22</v>
      </c>
      <c r="H4012" t="s">
        <v>11</v>
      </c>
    </row>
    <row r="4013" spans="1:8" x14ac:dyDescent="0.25">
      <c r="A4013" s="1">
        <v>45660.125</v>
      </c>
      <c r="B4013" t="s">
        <v>28</v>
      </c>
      <c r="C4013">
        <v>52.88</v>
      </c>
      <c r="D4013">
        <v>26.83</v>
      </c>
      <c r="E4013" t="s">
        <v>9</v>
      </c>
      <c r="F4013">
        <v>88.72</v>
      </c>
      <c r="G4013" t="s">
        <v>22</v>
      </c>
      <c r="H4013" t="s">
        <v>13</v>
      </c>
    </row>
    <row r="4014" spans="1:8" x14ac:dyDescent="0.25">
      <c r="A4014" s="1">
        <v>45660.166666666664</v>
      </c>
      <c r="B4014" t="s">
        <v>28</v>
      </c>
      <c r="C4014">
        <v>249.49</v>
      </c>
      <c r="D4014">
        <v>27.95</v>
      </c>
      <c r="E4014" t="s">
        <v>9</v>
      </c>
      <c r="F4014">
        <v>73.8</v>
      </c>
      <c r="G4014" t="s">
        <v>22</v>
      </c>
      <c r="H4014" t="s">
        <v>11</v>
      </c>
    </row>
    <row r="4015" spans="1:8" x14ac:dyDescent="0.25">
      <c r="A4015" s="1">
        <v>45660.208333333336</v>
      </c>
      <c r="B4015" t="s">
        <v>28</v>
      </c>
      <c r="C4015">
        <v>205.99</v>
      </c>
      <c r="D4015">
        <v>67.73</v>
      </c>
      <c r="E4015" t="s">
        <v>9</v>
      </c>
      <c r="F4015">
        <v>58.93</v>
      </c>
      <c r="G4015" t="s">
        <v>22</v>
      </c>
      <c r="H4015" t="s">
        <v>12</v>
      </c>
    </row>
    <row r="4016" spans="1:8" x14ac:dyDescent="0.25">
      <c r="A4016" s="1">
        <v>45660.25</v>
      </c>
      <c r="B4016" t="s">
        <v>28</v>
      </c>
      <c r="C4016">
        <v>397.48</v>
      </c>
      <c r="D4016">
        <v>65.66</v>
      </c>
      <c r="E4016" t="s">
        <v>9</v>
      </c>
      <c r="F4016">
        <v>67.86</v>
      </c>
      <c r="G4016" t="s">
        <v>22</v>
      </c>
      <c r="H4016" t="s">
        <v>11</v>
      </c>
    </row>
    <row r="4017" spans="1:8" x14ac:dyDescent="0.25">
      <c r="A4017" s="1">
        <v>45660.291666666664</v>
      </c>
      <c r="B4017" t="s">
        <v>28</v>
      </c>
      <c r="C4017">
        <v>152.16</v>
      </c>
      <c r="D4017">
        <v>67.59</v>
      </c>
      <c r="E4017" t="s">
        <v>9</v>
      </c>
      <c r="F4017">
        <v>53.53</v>
      </c>
      <c r="G4017" t="s">
        <v>22</v>
      </c>
      <c r="H4017" t="s">
        <v>12</v>
      </c>
    </row>
    <row r="4018" spans="1:8" x14ac:dyDescent="0.25">
      <c r="A4018" s="1">
        <v>45660.333333333336</v>
      </c>
      <c r="B4018" t="s">
        <v>28</v>
      </c>
      <c r="C4018">
        <v>193.9</v>
      </c>
      <c r="D4018">
        <v>41.7</v>
      </c>
      <c r="E4018" t="s">
        <v>9</v>
      </c>
      <c r="F4018">
        <v>83.98</v>
      </c>
      <c r="G4018" t="s">
        <v>22</v>
      </c>
      <c r="H4018" t="s">
        <v>12</v>
      </c>
    </row>
    <row r="4019" spans="1:8" x14ac:dyDescent="0.25">
      <c r="A4019" s="1">
        <v>45660.375</v>
      </c>
      <c r="B4019" t="s">
        <v>28</v>
      </c>
      <c r="C4019">
        <v>487.48</v>
      </c>
      <c r="D4019">
        <v>62.53</v>
      </c>
      <c r="E4019" t="s">
        <v>9</v>
      </c>
      <c r="F4019">
        <v>44.5</v>
      </c>
      <c r="G4019" t="s">
        <v>22</v>
      </c>
      <c r="H4019" t="s">
        <v>11</v>
      </c>
    </row>
    <row r="4020" spans="1:8" x14ac:dyDescent="0.25">
      <c r="A4020" s="1">
        <v>45660.416666666664</v>
      </c>
      <c r="B4020" t="s">
        <v>28</v>
      </c>
      <c r="C4020">
        <v>193.93</v>
      </c>
      <c r="D4020">
        <v>40.44</v>
      </c>
      <c r="E4020" t="s">
        <v>9</v>
      </c>
      <c r="F4020">
        <v>70.38</v>
      </c>
      <c r="G4020" t="s">
        <v>22</v>
      </c>
      <c r="H4020" t="s">
        <v>12</v>
      </c>
    </row>
    <row r="4021" spans="1:8" x14ac:dyDescent="0.25">
      <c r="A4021" s="1">
        <v>45660.458333333336</v>
      </c>
      <c r="B4021" t="s">
        <v>28</v>
      </c>
      <c r="C4021">
        <v>100.71</v>
      </c>
      <c r="D4021">
        <v>54.43</v>
      </c>
      <c r="E4021" t="s">
        <v>9</v>
      </c>
      <c r="F4021">
        <v>31.61</v>
      </c>
      <c r="G4021" t="s">
        <v>22</v>
      </c>
      <c r="H4021" t="s">
        <v>13</v>
      </c>
    </row>
    <row r="4022" spans="1:8" x14ac:dyDescent="0.25">
      <c r="A4022" s="1">
        <v>45660.5</v>
      </c>
      <c r="B4022" t="s">
        <v>28</v>
      </c>
      <c r="C4022">
        <v>148.47999999999999</v>
      </c>
      <c r="D4022">
        <v>22.71</v>
      </c>
      <c r="E4022" t="s">
        <v>9</v>
      </c>
      <c r="F4022">
        <v>77.13</v>
      </c>
      <c r="G4022" t="s">
        <v>22</v>
      </c>
      <c r="H4022" t="s">
        <v>13</v>
      </c>
    </row>
    <row r="4023" spans="1:8" x14ac:dyDescent="0.25">
      <c r="A4023" s="1">
        <v>45660.541666666664</v>
      </c>
      <c r="B4023" t="s">
        <v>28</v>
      </c>
      <c r="C4023">
        <v>375.9</v>
      </c>
      <c r="D4023">
        <v>45.23</v>
      </c>
      <c r="E4023" t="s">
        <v>9</v>
      </c>
      <c r="F4023">
        <v>34.4</v>
      </c>
      <c r="G4023" t="s">
        <v>22</v>
      </c>
      <c r="H4023" t="s">
        <v>13</v>
      </c>
    </row>
    <row r="4024" spans="1:8" x14ac:dyDescent="0.25">
      <c r="A4024" s="1">
        <v>45660.583333333336</v>
      </c>
      <c r="B4024" t="s">
        <v>28</v>
      </c>
      <c r="C4024">
        <v>370.42</v>
      </c>
      <c r="D4024">
        <v>31.53</v>
      </c>
      <c r="E4024" t="s">
        <v>9</v>
      </c>
      <c r="F4024">
        <v>66.38</v>
      </c>
      <c r="G4024" t="s">
        <v>22</v>
      </c>
      <c r="H4024" t="s">
        <v>13</v>
      </c>
    </row>
    <row r="4025" spans="1:8" x14ac:dyDescent="0.25">
      <c r="A4025" s="1">
        <v>45660.625</v>
      </c>
      <c r="B4025" t="s">
        <v>28</v>
      </c>
      <c r="C4025">
        <v>70.37</v>
      </c>
      <c r="D4025">
        <v>30.34</v>
      </c>
      <c r="E4025" t="s">
        <v>9</v>
      </c>
      <c r="F4025">
        <v>75.12</v>
      </c>
      <c r="G4025" t="s">
        <v>22</v>
      </c>
      <c r="H4025" t="s">
        <v>13</v>
      </c>
    </row>
    <row r="4026" spans="1:8" x14ac:dyDescent="0.25">
      <c r="A4026" s="1">
        <v>45660.666666666664</v>
      </c>
      <c r="B4026" t="s">
        <v>28</v>
      </c>
      <c r="C4026">
        <v>94.79</v>
      </c>
      <c r="D4026">
        <v>55.02</v>
      </c>
      <c r="E4026" t="s">
        <v>9</v>
      </c>
      <c r="F4026">
        <v>80.959999999999994</v>
      </c>
      <c r="G4026" t="s">
        <v>22</v>
      </c>
      <c r="H4026" t="s">
        <v>11</v>
      </c>
    </row>
    <row r="4027" spans="1:8" x14ac:dyDescent="0.25">
      <c r="A4027" s="1">
        <v>45660.708333333336</v>
      </c>
      <c r="B4027" t="s">
        <v>28</v>
      </c>
      <c r="C4027">
        <v>191.16</v>
      </c>
      <c r="D4027">
        <v>29.86</v>
      </c>
      <c r="E4027" t="s">
        <v>9</v>
      </c>
      <c r="F4027">
        <v>60.96</v>
      </c>
      <c r="G4027" t="s">
        <v>22</v>
      </c>
      <c r="H4027" t="s">
        <v>12</v>
      </c>
    </row>
    <row r="4028" spans="1:8" x14ac:dyDescent="0.25">
      <c r="A4028" s="1">
        <v>45660.75</v>
      </c>
      <c r="B4028" t="s">
        <v>28</v>
      </c>
      <c r="C4028">
        <v>69.599999999999994</v>
      </c>
      <c r="D4028">
        <v>76.03</v>
      </c>
      <c r="E4028" t="s">
        <v>9</v>
      </c>
      <c r="F4028">
        <v>64.349999999999994</v>
      </c>
      <c r="G4028" t="s">
        <v>22</v>
      </c>
      <c r="H4028" t="s">
        <v>12</v>
      </c>
    </row>
    <row r="4029" spans="1:8" x14ac:dyDescent="0.25">
      <c r="A4029" s="1">
        <v>45660.791666666664</v>
      </c>
      <c r="B4029" t="s">
        <v>28</v>
      </c>
      <c r="C4029">
        <v>411.44</v>
      </c>
      <c r="D4029">
        <v>67.23</v>
      </c>
      <c r="E4029" t="s">
        <v>9</v>
      </c>
      <c r="F4029">
        <v>83.73</v>
      </c>
      <c r="G4029" t="s">
        <v>22</v>
      </c>
      <c r="H4029" t="s">
        <v>12</v>
      </c>
    </row>
    <row r="4030" spans="1:8" x14ac:dyDescent="0.25">
      <c r="A4030" s="1">
        <v>45660.833333333336</v>
      </c>
      <c r="B4030" t="s">
        <v>28</v>
      </c>
      <c r="C4030">
        <v>114.64</v>
      </c>
      <c r="D4030">
        <v>87.94</v>
      </c>
      <c r="E4030" t="s">
        <v>14</v>
      </c>
      <c r="F4030">
        <v>70.14</v>
      </c>
      <c r="G4030" t="s">
        <v>22</v>
      </c>
      <c r="H4030" t="s">
        <v>11</v>
      </c>
    </row>
    <row r="4031" spans="1:8" x14ac:dyDescent="0.25">
      <c r="A4031" s="1">
        <v>45660.875</v>
      </c>
      <c r="B4031" t="s">
        <v>28</v>
      </c>
      <c r="C4031">
        <v>369.41</v>
      </c>
      <c r="D4031">
        <v>20.079999999999998</v>
      </c>
      <c r="E4031" t="s">
        <v>9</v>
      </c>
      <c r="F4031">
        <v>49.08</v>
      </c>
      <c r="G4031" t="s">
        <v>22</v>
      </c>
      <c r="H4031" t="s">
        <v>13</v>
      </c>
    </row>
    <row r="4032" spans="1:8" x14ac:dyDescent="0.25">
      <c r="A4032" s="1">
        <v>45660.916666666664</v>
      </c>
      <c r="B4032" t="s">
        <v>28</v>
      </c>
      <c r="C4032">
        <v>477.47</v>
      </c>
      <c r="D4032">
        <v>41.43</v>
      </c>
      <c r="E4032" t="s">
        <v>9</v>
      </c>
      <c r="F4032">
        <v>72.790000000000006</v>
      </c>
      <c r="G4032" t="s">
        <v>22</v>
      </c>
      <c r="H4032" t="s">
        <v>11</v>
      </c>
    </row>
    <row r="4033" spans="1:8" x14ac:dyDescent="0.25">
      <c r="A4033" s="1">
        <v>45660.958333333336</v>
      </c>
      <c r="B4033" t="s">
        <v>28</v>
      </c>
      <c r="C4033">
        <v>237.08</v>
      </c>
      <c r="D4033">
        <v>62.17</v>
      </c>
      <c r="E4033" t="s">
        <v>9</v>
      </c>
      <c r="F4033">
        <v>55.2</v>
      </c>
      <c r="G4033" t="s">
        <v>22</v>
      </c>
      <c r="H4033" t="s">
        <v>13</v>
      </c>
    </row>
    <row r="4034" spans="1:8" x14ac:dyDescent="0.25">
      <c r="A4034" s="1">
        <v>45661</v>
      </c>
      <c r="B4034" t="s">
        <v>28</v>
      </c>
      <c r="C4034">
        <v>446.68</v>
      </c>
      <c r="D4034">
        <v>19.670000000000002</v>
      </c>
      <c r="E4034" t="s">
        <v>9</v>
      </c>
      <c r="F4034">
        <v>47.74</v>
      </c>
      <c r="G4034" t="s">
        <v>22</v>
      </c>
      <c r="H4034" t="s">
        <v>12</v>
      </c>
    </row>
    <row r="4035" spans="1:8" x14ac:dyDescent="0.25">
      <c r="A4035" s="1">
        <v>45661.041666666664</v>
      </c>
      <c r="B4035" t="s">
        <v>28</v>
      </c>
      <c r="C4035">
        <v>272</v>
      </c>
      <c r="D4035">
        <v>27.39</v>
      </c>
      <c r="E4035" t="s">
        <v>9</v>
      </c>
      <c r="F4035">
        <v>54.88</v>
      </c>
      <c r="G4035" t="s">
        <v>22</v>
      </c>
      <c r="H4035" t="s">
        <v>11</v>
      </c>
    </row>
    <row r="4036" spans="1:8" x14ac:dyDescent="0.25">
      <c r="A4036" s="1">
        <v>45661.083333333336</v>
      </c>
      <c r="B4036" t="s">
        <v>28</v>
      </c>
      <c r="C4036">
        <v>351.2</v>
      </c>
      <c r="D4036">
        <v>37.17</v>
      </c>
      <c r="E4036" t="s">
        <v>9</v>
      </c>
      <c r="F4036">
        <v>65.98</v>
      </c>
      <c r="G4036" t="s">
        <v>22</v>
      </c>
      <c r="H4036" t="s">
        <v>11</v>
      </c>
    </row>
    <row r="4037" spans="1:8" x14ac:dyDescent="0.25">
      <c r="A4037" s="1">
        <v>45661.125</v>
      </c>
      <c r="B4037" t="s">
        <v>28</v>
      </c>
      <c r="C4037">
        <v>158.55000000000001</v>
      </c>
      <c r="D4037">
        <v>78.489999999999995</v>
      </c>
      <c r="E4037" t="s">
        <v>9</v>
      </c>
      <c r="F4037">
        <v>35.049999999999997</v>
      </c>
      <c r="G4037" t="s">
        <v>22</v>
      </c>
      <c r="H4037" t="s">
        <v>13</v>
      </c>
    </row>
    <row r="4038" spans="1:8" x14ac:dyDescent="0.25">
      <c r="A4038" s="1">
        <v>45661.166666666664</v>
      </c>
      <c r="B4038" t="s">
        <v>28</v>
      </c>
      <c r="C4038">
        <v>144</v>
      </c>
      <c r="D4038">
        <v>19.440000000000001</v>
      </c>
      <c r="E4038" t="s">
        <v>9</v>
      </c>
      <c r="F4038">
        <v>60.18</v>
      </c>
      <c r="G4038" t="s">
        <v>22</v>
      </c>
      <c r="H4038" t="s">
        <v>12</v>
      </c>
    </row>
    <row r="4039" spans="1:8" x14ac:dyDescent="0.25">
      <c r="A4039" s="1">
        <v>45661.208333333336</v>
      </c>
      <c r="B4039" t="s">
        <v>28</v>
      </c>
      <c r="C4039">
        <v>303.97000000000003</v>
      </c>
      <c r="D4039">
        <v>90.46</v>
      </c>
      <c r="E4039" t="s">
        <v>14</v>
      </c>
      <c r="F4039">
        <v>86.87</v>
      </c>
      <c r="G4039" t="s">
        <v>22</v>
      </c>
      <c r="H4039" t="s">
        <v>13</v>
      </c>
    </row>
    <row r="4040" spans="1:8" x14ac:dyDescent="0.25">
      <c r="A4040" s="1">
        <v>45661.25</v>
      </c>
      <c r="B4040" t="s">
        <v>28</v>
      </c>
      <c r="C4040">
        <v>69.06</v>
      </c>
      <c r="D4040">
        <v>66.489999999999995</v>
      </c>
      <c r="E4040" t="s">
        <v>9</v>
      </c>
      <c r="F4040">
        <v>37.06</v>
      </c>
      <c r="G4040" t="s">
        <v>22</v>
      </c>
      <c r="H4040" t="s">
        <v>12</v>
      </c>
    </row>
    <row r="4041" spans="1:8" x14ac:dyDescent="0.25">
      <c r="A4041" s="1">
        <v>45661.291666666664</v>
      </c>
      <c r="B4041" t="s">
        <v>28</v>
      </c>
      <c r="C4041">
        <v>476.26</v>
      </c>
      <c r="D4041">
        <v>29.62</v>
      </c>
      <c r="E4041" t="s">
        <v>9</v>
      </c>
      <c r="F4041">
        <v>84.35</v>
      </c>
      <c r="G4041" t="s">
        <v>22</v>
      </c>
      <c r="H4041" t="s">
        <v>12</v>
      </c>
    </row>
    <row r="4042" spans="1:8" x14ac:dyDescent="0.25">
      <c r="A4042" s="1">
        <v>45661.333333333336</v>
      </c>
      <c r="B4042" t="s">
        <v>28</v>
      </c>
      <c r="C4042">
        <v>336.15</v>
      </c>
      <c r="D4042">
        <v>54.12</v>
      </c>
      <c r="E4042" t="s">
        <v>9</v>
      </c>
      <c r="F4042">
        <v>66.16</v>
      </c>
      <c r="G4042" t="s">
        <v>22</v>
      </c>
      <c r="H4042" t="s">
        <v>13</v>
      </c>
    </row>
    <row r="4043" spans="1:8" x14ac:dyDescent="0.25">
      <c r="A4043" s="1">
        <v>45661.375</v>
      </c>
      <c r="B4043" t="s">
        <v>28</v>
      </c>
      <c r="C4043">
        <v>448.01</v>
      </c>
      <c r="D4043">
        <v>76.150000000000006</v>
      </c>
      <c r="E4043" t="s">
        <v>9</v>
      </c>
      <c r="F4043">
        <v>64.52</v>
      </c>
      <c r="G4043" t="s">
        <v>22</v>
      </c>
      <c r="H4043" t="s">
        <v>13</v>
      </c>
    </row>
    <row r="4044" spans="1:8" x14ac:dyDescent="0.25">
      <c r="A4044" s="1">
        <v>45661.416666666664</v>
      </c>
      <c r="B4044" t="s">
        <v>28</v>
      </c>
      <c r="C4044">
        <v>256.29000000000002</v>
      </c>
      <c r="D4044">
        <v>89.56</v>
      </c>
      <c r="E4044" t="s">
        <v>14</v>
      </c>
      <c r="F4044">
        <v>79.84</v>
      </c>
      <c r="G4044" t="s">
        <v>22</v>
      </c>
      <c r="H4044" t="s">
        <v>12</v>
      </c>
    </row>
    <row r="4045" spans="1:8" x14ac:dyDescent="0.25">
      <c r="A4045" s="1">
        <v>45661.458333333336</v>
      </c>
      <c r="B4045" t="s">
        <v>28</v>
      </c>
      <c r="C4045">
        <v>379.15</v>
      </c>
      <c r="D4045">
        <v>93.27</v>
      </c>
      <c r="E4045" t="s">
        <v>14</v>
      </c>
      <c r="F4045">
        <v>37</v>
      </c>
      <c r="G4045" t="s">
        <v>22</v>
      </c>
      <c r="H4045" t="s">
        <v>12</v>
      </c>
    </row>
    <row r="4046" spans="1:8" x14ac:dyDescent="0.25">
      <c r="A4046" s="1">
        <v>45661.5</v>
      </c>
      <c r="B4046" t="s">
        <v>28</v>
      </c>
      <c r="C4046">
        <v>78.02</v>
      </c>
      <c r="D4046">
        <v>76.89</v>
      </c>
      <c r="E4046" t="s">
        <v>9</v>
      </c>
      <c r="F4046">
        <v>86.92</v>
      </c>
      <c r="G4046" t="s">
        <v>22</v>
      </c>
      <c r="H4046" t="s">
        <v>13</v>
      </c>
    </row>
    <row r="4047" spans="1:8" x14ac:dyDescent="0.25">
      <c r="A4047" s="1">
        <v>45661.541666666664</v>
      </c>
      <c r="B4047" t="s">
        <v>28</v>
      </c>
      <c r="C4047">
        <v>363.12</v>
      </c>
      <c r="D4047">
        <v>91.2</v>
      </c>
      <c r="E4047" t="s">
        <v>14</v>
      </c>
      <c r="F4047">
        <v>87.78</v>
      </c>
      <c r="G4047" t="s">
        <v>22</v>
      </c>
      <c r="H4047" t="s">
        <v>13</v>
      </c>
    </row>
    <row r="4048" spans="1:8" x14ac:dyDescent="0.25">
      <c r="A4048" s="1">
        <v>45661.583333333336</v>
      </c>
      <c r="B4048" t="s">
        <v>28</v>
      </c>
      <c r="C4048">
        <v>451.21</v>
      </c>
      <c r="D4048">
        <v>45.77</v>
      </c>
      <c r="E4048" t="s">
        <v>9</v>
      </c>
      <c r="F4048">
        <v>63.56</v>
      </c>
      <c r="G4048" t="s">
        <v>22</v>
      </c>
      <c r="H4048" t="s">
        <v>12</v>
      </c>
    </row>
    <row r="4049" spans="1:8" x14ac:dyDescent="0.25">
      <c r="A4049" s="1">
        <v>45661.625</v>
      </c>
      <c r="B4049" t="s">
        <v>28</v>
      </c>
      <c r="C4049">
        <v>81.8</v>
      </c>
      <c r="D4049">
        <v>37.06</v>
      </c>
      <c r="E4049" t="s">
        <v>9</v>
      </c>
      <c r="F4049">
        <v>70.099999999999994</v>
      </c>
      <c r="G4049" t="s">
        <v>22</v>
      </c>
      <c r="H4049" t="s">
        <v>11</v>
      </c>
    </row>
    <row r="4050" spans="1:8" x14ac:dyDescent="0.25">
      <c r="A4050" s="1">
        <v>45661.666666666664</v>
      </c>
      <c r="B4050" t="s">
        <v>28</v>
      </c>
      <c r="C4050">
        <v>424.02</v>
      </c>
      <c r="D4050">
        <v>29.52</v>
      </c>
      <c r="E4050" t="s">
        <v>9</v>
      </c>
      <c r="F4050">
        <v>50.01</v>
      </c>
      <c r="G4050" t="s">
        <v>22</v>
      </c>
      <c r="H4050" t="s">
        <v>13</v>
      </c>
    </row>
    <row r="4051" spans="1:8" x14ac:dyDescent="0.25">
      <c r="A4051" s="1">
        <v>45661.708333333336</v>
      </c>
      <c r="B4051" t="s">
        <v>28</v>
      </c>
      <c r="C4051">
        <v>78.400000000000006</v>
      </c>
      <c r="D4051">
        <v>20.07</v>
      </c>
      <c r="E4051" t="s">
        <v>9</v>
      </c>
      <c r="F4051">
        <v>45.11</v>
      </c>
      <c r="G4051" t="s">
        <v>22</v>
      </c>
      <c r="H4051" t="s">
        <v>11</v>
      </c>
    </row>
    <row r="4052" spans="1:8" x14ac:dyDescent="0.25">
      <c r="A4052" s="1">
        <v>45661.75</v>
      </c>
      <c r="B4052" t="s">
        <v>28</v>
      </c>
      <c r="C4052">
        <v>492.73</v>
      </c>
      <c r="D4052">
        <v>62.49</v>
      </c>
      <c r="E4052" t="s">
        <v>9</v>
      </c>
      <c r="F4052">
        <v>82.65</v>
      </c>
      <c r="G4052" t="s">
        <v>22</v>
      </c>
      <c r="H4052" t="s">
        <v>11</v>
      </c>
    </row>
    <row r="4053" spans="1:8" x14ac:dyDescent="0.25">
      <c r="A4053" s="1">
        <v>45661.791666666664</v>
      </c>
      <c r="B4053" t="s">
        <v>28</v>
      </c>
      <c r="C4053">
        <v>432.37</v>
      </c>
      <c r="D4053">
        <v>67.209999999999994</v>
      </c>
      <c r="E4053" t="s">
        <v>9</v>
      </c>
      <c r="F4053">
        <v>80.709999999999994</v>
      </c>
      <c r="G4053" t="s">
        <v>22</v>
      </c>
      <c r="H4053" t="s">
        <v>13</v>
      </c>
    </row>
    <row r="4054" spans="1:8" x14ac:dyDescent="0.25">
      <c r="A4054" s="1">
        <v>45661.833333333336</v>
      </c>
      <c r="B4054" t="s">
        <v>28</v>
      </c>
      <c r="C4054">
        <v>320.51</v>
      </c>
      <c r="D4054">
        <v>88.92</v>
      </c>
      <c r="E4054" t="s">
        <v>14</v>
      </c>
      <c r="F4054">
        <v>43.71</v>
      </c>
      <c r="G4054" t="s">
        <v>22</v>
      </c>
      <c r="H4054" t="s">
        <v>11</v>
      </c>
    </row>
    <row r="4055" spans="1:8" x14ac:dyDescent="0.25">
      <c r="A4055" s="1">
        <v>45661.875</v>
      </c>
      <c r="B4055" t="s">
        <v>28</v>
      </c>
      <c r="C4055">
        <v>451.79</v>
      </c>
      <c r="D4055">
        <v>65.8</v>
      </c>
      <c r="E4055" t="s">
        <v>9</v>
      </c>
      <c r="F4055">
        <v>44.61</v>
      </c>
      <c r="G4055" t="s">
        <v>22</v>
      </c>
      <c r="H4055" t="s">
        <v>12</v>
      </c>
    </row>
    <row r="4056" spans="1:8" x14ac:dyDescent="0.25">
      <c r="A4056" s="1">
        <v>45661.916666666664</v>
      </c>
      <c r="B4056" t="s">
        <v>28</v>
      </c>
      <c r="C4056">
        <v>154.99</v>
      </c>
      <c r="D4056">
        <v>65.28</v>
      </c>
      <c r="E4056" t="s">
        <v>9</v>
      </c>
      <c r="F4056">
        <v>45.59</v>
      </c>
      <c r="G4056" t="s">
        <v>22</v>
      </c>
      <c r="H4056" t="s">
        <v>12</v>
      </c>
    </row>
    <row r="4057" spans="1:8" x14ac:dyDescent="0.25">
      <c r="A4057" s="1">
        <v>45661.958333333336</v>
      </c>
      <c r="B4057" t="s">
        <v>28</v>
      </c>
      <c r="C4057">
        <v>490.91</v>
      </c>
      <c r="D4057">
        <v>43.84</v>
      </c>
      <c r="E4057" t="s">
        <v>9</v>
      </c>
      <c r="F4057">
        <v>71.73</v>
      </c>
      <c r="G4057" t="s">
        <v>22</v>
      </c>
      <c r="H4057" t="s">
        <v>13</v>
      </c>
    </row>
    <row r="4058" spans="1:8" x14ac:dyDescent="0.25">
      <c r="A4058" s="1">
        <v>45662</v>
      </c>
      <c r="B4058" t="s">
        <v>28</v>
      </c>
      <c r="C4058">
        <v>185.31</v>
      </c>
      <c r="D4058">
        <v>63.7</v>
      </c>
      <c r="E4058" t="s">
        <v>9</v>
      </c>
      <c r="F4058">
        <v>86.74</v>
      </c>
      <c r="G4058" t="s">
        <v>22</v>
      </c>
      <c r="H4058" t="s">
        <v>12</v>
      </c>
    </row>
    <row r="4059" spans="1:8" x14ac:dyDescent="0.25">
      <c r="A4059" s="1">
        <v>45662.041666666664</v>
      </c>
      <c r="B4059" t="s">
        <v>28</v>
      </c>
      <c r="C4059">
        <v>339.59</v>
      </c>
      <c r="D4059">
        <v>45.9</v>
      </c>
      <c r="E4059" t="s">
        <v>9</v>
      </c>
      <c r="F4059">
        <v>61.53</v>
      </c>
      <c r="G4059" t="s">
        <v>22</v>
      </c>
      <c r="H4059" t="s">
        <v>12</v>
      </c>
    </row>
    <row r="4060" spans="1:8" x14ac:dyDescent="0.25">
      <c r="A4060" s="1">
        <v>45662.083333333336</v>
      </c>
      <c r="B4060" t="s">
        <v>28</v>
      </c>
      <c r="C4060">
        <v>254.42</v>
      </c>
      <c r="D4060">
        <v>79.38</v>
      </c>
      <c r="E4060" t="s">
        <v>9</v>
      </c>
      <c r="F4060">
        <v>57.38</v>
      </c>
      <c r="G4060" t="s">
        <v>22</v>
      </c>
      <c r="H4060" t="s">
        <v>12</v>
      </c>
    </row>
    <row r="4061" spans="1:8" x14ac:dyDescent="0.25">
      <c r="A4061" s="1">
        <v>45662.125</v>
      </c>
      <c r="B4061" t="s">
        <v>28</v>
      </c>
      <c r="C4061">
        <v>323.44</v>
      </c>
      <c r="D4061">
        <v>75.47</v>
      </c>
      <c r="E4061" t="s">
        <v>9</v>
      </c>
      <c r="F4061">
        <v>55.78</v>
      </c>
      <c r="G4061" t="s">
        <v>22</v>
      </c>
      <c r="H4061" t="s">
        <v>12</v>
      </c>
    </row>
    <row r="4062" spans="1:8" x14ac:dyDescent="0.25">
      <c r="A4062" s="1">
        <v>45662.166666666664</v>
      </c>
      <c r="B4062" t="s">
        <v>28</v>
      </c>
      <c r="C4062">
        <v>117.32</v>
      </c>
      <c r="D4062">
        <v>45.14</v>
      </c>
      <c r="E4062" t="s">
        <v>9</v>
      </c>
      <c r="F4062">
        <v>37.86</v>
      </c>
      <c r="G4062" t="s">
        <v>22</v>
      </c>
      <c r="H4062" t="s">
        <v>12</v>
      </c>
    </row>
    <row r="4063" spans="1:8" x14ac:dyDescent="0.25">
      <c r="A4063" s="1">
        <v>45662.208333333336</v>
      </c>
      <c r="B4063" t="s">
        <v>28</v>
      </c>
      <c r="C4063">
        <v>66.33</v>
      </c>
      <c r="D4063">
        <v>32.200000000000003</v>
      </c>
      <c r="E4063" t="s">
        <v>9</v>
      </c>
      <c r="F4063">
        <v>84.33</v>
      </c>
      <c r="G4063" t="s">
        <v>22</v>
      </c>
      <c r="H4063" t="s">
        <v>13</v>
      </c>
    </row>
    <row r="4064" spans="1:8" x14ac:dyDescent="0.25">
      <c r="A4064" s="1">
        <v>45662.25</v>
      </c>
      <c r="B4064" t="s">
        <v>28</v>
      </c>
      <c r="C4064">
        <v>246.37</v>
      </c>
      <c r="D4064">
        <v>47.66</v>
      </c>
      <c r="E4064" t="s">
        <v>9</v>
      </c>
      <c r="F4064">
        <v>83.29</v>
      </c>
      <c r="G4064" t="s">
        <v>22</v>
      </c>
      <c r="H4064" t="s">
        <v>11</v>
      </c>
    </row>
    <row r="4065" spans="1:8" x14ac:dyDescent="0.25">
      <c r="A4065" s="1">
        <v>45662.291666666664</v>
      </c>
      <c r="B4065" t="s">
        <v>28</v>
      </c>
      <c r="C4065">
        <v>273.69</v>
      </c>
      <c r="D4065">
        <v>32.97</v>
      </c>
      <c r="E4065" t="s">
        <v>9</v>
      </c>
      <c r="F4065">
        <v>41.62</v>
      </c>
      <c r="G4065" t="s">
        <v>22</v>
      </c>
      <c r="H4065" t="s">
        <v>11</v>
      </c>
    </row>
    <row r="4066" spans="1:8" x14ac:dyDescent="0.25">
      <c r="A4066" s="1">
        <v>45662.333333333336</v>
      </c>
      <c r="B4066" t="s">
        <v>28</v>
      </c>
      <c r="C4066">
        <v>368.87</v>
      </c>
      <c r="D4066">
        <v>17.28</v>
      </c>
      <c r="E4066" t="s">
        <v>9</v>
      </c>
      <c r="F4066">
        <v>33.08</v>
      </c>
      <c r="G4066" t="s">
        <v>22</v>
      </c>
      <c r="H4066" t="s">
        <v>11</v>
      </c>
    </row>
    <row r="4067" spans="1:8" x14ac:dyDescent="0.25">
      <c r="A4067" s="1">
        <v>45662.375</v>
      </c>
      <c r="B4067" t="s">
        <v>28</v>
      </c>
      <c r="C4067">
        <v>61.66</v>
      </c>
      <c r="D4067">
        <v>52.99</v>
      </c>
      <c r="E4067" t="s">
        <v>9</v>
      </c>
      <c r="F4067">
        <v>43.51</v>
      </c>
      <c r="G4067" t="s">
        <v>22</v>
      </c>
      <c r="H4067" t="s">
        <v>12</v>
      </c>
    </row>
    <row r="4068" spans="1:8" x14ac:dyDescent="0.25">
      <c r="A4068" s="1">
        <v>45662.416666666664</v>
      </c>
      <c r="B4068" t="s">
        <v>28</v>
      </c>
      <c r="C4068">
        <v>412.68</v>
      </c>
      <c r="D4068">
        <v>57.22</v>
      </c>
      <c r="E4068" t="s">
        <v>9</v>
      </c>
      <c r="F4068">
        <v>36.33</v>
      </c>
      <c r="G4068" t="s">
        <v>22</v>
      </c>
      <c r="H4068" t="s">
        <v>11</v>
      </c>
    </row>
    <row r="4069" spans="1:8" x14ac:dyDescent="0.25">
      <c r="A4069" s="1">
        <v>45662.458333333336</v>
      </c>
      <c r="B4069" t="s">
        <v>28</v>
      </c>
      <c r="C4069">
        <v>493.23</v>
      </c>
      <c r="D4069">
        <v>87.15</v>
      </c>
      <c r="E4069" t="s">
        <v>14</v>
      </c>
      <c r="F4069">
        <v>61.72</v>
      </c>
      <c r="G4069" t="s">
        <v>22</v>
      </c>
      <c r="H4069" t="s">
        <v>12</v>
      </c>
    </row>
    <row r="4070" spans="1:8" x14ac:dyDescent="0.25">
      <c r="A4070" s="1">
        <v>45662.5</v>
      </c>
      <c r="B4070" t="s">
        <v>28</v>
      </c>
      <c r="C4070">
        <v>269.38</v>
      </c>
      <c r="D4070">
        <v>25.86</v>
      </c>
      <c r="E4070" t="s">
        <v>9</v>
      </c>
      <c r="F4070">
        <v>82.06</v>
      </c>
      <c r="G4070" t="s">
        <v>22</v>
      </c>
      <c r="H4070" t="s">
        <v>12</v>
      </c>
    </row>
    <row r="4071" spans="1:8" x14ac:dyDescent="0.25">
      <c r="A4071" s="1">
        <v>45662.541666666664</v>
      </c>
      <c r="B4071" t="s">
        <v>28</v>
      </c>
      <c r="C4071">
        <v>387.12</v>
      </c>
      <c r="D4071">
        <v>33.04</v>
      </c>
      <c r="E4071" t="s">
        <v>9</v>
      </c>
      <c r="F4071">
        <v>82.7</v>
      </c>
      <c r="G4071" t="s">
        <v>22</v>
      </c>
      <c r="H4071" t="s">
        <v>12</v>
      </c>
    </row>
    <row r="4072" spans="1:8" x14ac:dyDescent="0.25">
      <c r="A4072" s="1">
        <v>45662.583333333336</v>
      </c>
      <c r="B4072" t="s">
        <v>28</v>
      </c>
      <c r="C4072">
        <v>136.46</v>
      </c>
      <c r="D4072">
        <v>31.87</v>
      </c>
      <c r="E4072" t="s">
        <v>9</v>
      </c>
      <c r="F4072">
        <v>32.840000000000003</v>
      </c>
      <c r="G4072" t="s">
        <v>22</v>
      </c>
      <c r="H4072" t="s">
        <v>12</v>
      </c>
    </row>
    <row r="4073" spans="1:8" x14ac:dyDescent="0.25">
      <c r="A4073" s="1">
        <v>45662.625</v>
      </c>
      <c r="B4073" t="s">
        <v>28</v>
      </c>
      <c r="C4073">
        <v>242.03</v>
      </c>
      <c r="D4073">
        <v>47.53</v>
      </c>
      <c r="E4073" t="s">
        <v>9</v>
      </c>
      <c r="F4073">
        <v>76.7</v>
      </c>
      <c r="G4073" t="s">
        <v>22</v>
      </c>
      <c r="H4073" t="s">
        <v>12</v>
      </c>
    </row>
    <row r="4074" spans="1:8" x14ac:dyDescent="0.25">
      <c r="A4074" s="1">
        <v>45662.666666666664</v>
      </c>
      <c r="B4074" t="s">
        <v>28</v>
      </c>
      <c r="C4074">
        <v>389.58</v>
      </c>
      <c r="D4074">
        <v>49.59</v>
      </c>
      <c r="E4074" t="s">
        <v>9</v>
      </c>
      <c r="F4074">
        <v>77.09</v>
      </c>
      <c r="G4074" t="s">
        <v>22</v>
      </c>
      <c r="H4074" t="s">
        <v>12</v>
      </c>
    </row>
    <row r="4075" spans="1:8" x14ac:dyDescent="0.25">
      <c r="A4075" s="1">
        <v>45662.708333333336</v>
      </c>
      <c r="B4075" t="s">
        <v>28</v>
      </c>
      <c r="C4075">
        <v>104.71</v>
      </c>
      <c r="D4075">
        <v>14.2</v>
      </c>
      <c r="E4075" t="s">
        <v>9</v>
      </c>
      <c r="F4075">
        <v>85.06</v>
      </c>
      <c r="G4075" t="s">
        <v>22</v>
      </c>
      <c r="H4075" t="s">
        <v>13</v>
      </c>
    </row>
    <row r="4076" spans="1:8" x14ac:dyDescent="0.25">
      <c r="A4076" s="1">
        <v>45662.75</v>
      </c>
      <c r="B4076" t="s">
        <v>28</v>
      </c>
      <c r="C4076">
        <v>417.78</v>
      </c>
      <c r="D4076">
        <v>66.78</v>
      </c>
      <c r="E4076" t="s">
        <v>9</v>
      </c>
      <c r="F4076">
        <v>55.44</v>
      </c>
      <c r="G4076" t="s">
        <v>22</v>
      </c>
      <c r="H4076" t="s">
        <v>11</v>
      </c>
    </row>
    <row r="4077" spans="1:8" x14ac:dyDescent="0.25">
      <c r="A4077" s="1">
        <v>45662.791666666664</v>
      </c>
      <c r="B4077" t="s">
        <v>28</v>
      </c>
      <c r="C4077">
        <v>81.52</v>
      </c>
      <c r="D4077">
        <v>57.38</v>
      </c>
      <c r="E4077" t="s">
        <v>9</v>
      </c>
      <c r="F4077">
        <v>89.42</v>
      </c>
      <c r="G4077" t="s">
        <v>22</v>
      </c>
      <c r="H4077" t="s">
        <v>11</v>
      </c>
    </row>
    <row r="4078" spans="1:8" x14ac:dyDescent="0.25">
      <c r="A4078" s="1">
        <v>45662.833333333336</v>
      </c>
      <c r="B4078" t="s">
        <v>28</v>
      </c>
      <c r="C4078">
        <v>197.31</v>
      </c>
      <c r="D4078">
        <v>81</v>
      </c>
      <c r="E4078" t="s">
        <v>9</v>
      </c>
      <c r="F4078">
        <v>76.14</v>
      </c>
      <c r="G4078" t="s">
        <v>22</v>
      </c>
      <c r="H4078" t="s">
        <v>12</v>
      </c>
    </row>
    <row r="4079" spans="1:8" x14ac:dyDescent="0.25">
      <c r="A4079" s="1">
        <v>45662.875</v>
      </c>
      <c r="B4079" t="s">
        <v>28</v>
      </c>
      <c r="C4079">
        <v>188.32</v>
      </c>
      <c r="D4079">
        <v>76.66</v>
      </c>
      <c r="E4079" t="s">
        <v>9</v>
      </c>
      <c r="F4079">
        <v>82.71</v>
      </c>
      <c r="G4079" t="s">
        <v>22</v>
      </c>
      <c r="H4079" t="s">
        <v>11</v>
      </c>
    </row>
    <row r="4080" spans="1:8" x14ac:dyDescent="0.25">
      <c r="A4080" s="1">
        <v>45662.916666666664</v>
      </c>
      <c r="B4080" t="s">
        <v>28</v>
      </c>
      <c r="C4080">
        <v>467.33</v>
      </c>
      <c r="D4080">
        <v>45.03</v>
      </c>
      <c r="E4080" t="s">
        <v>9</v>
      </c>
      <c r="F4080">
        <v>39.11</v>
      </c>
      <c r="G4080" t="s">
        <v>22</v>
      </c>
      <c r="H4080" t="s">
        <v>13</v>
      </c>
    </row>
    <row r="4081" spans="1:8" x14ac:dyDescent="0.25">
      <c r="A4081" s="1">
        <v>45662.958333333336</v>
      </c>
      <c r="B4081" t="s">
        <v>28</v>
      </c>
      <c r="C4081">
        <v>471.98</v>
      </c>
      <c r="D4081">
        <v>77.11</v>
      </c>
      <c r="E4081" t="s">
        <v>9</v>
      </c>
      <c r="F4081">
        <v>66.33</v>
      </c>
      <c r="G4081" t="s">
        <v>22</v>
      </c>
      <c r="H4081" t="s">
        <v>11</v>
      </c>
    </row>
    <row r="4082" spans="1:8" x14ac:dyDescent="0.25">
      <c r="A4082" s="1">
        <v>45663</v>
      </c>
      <c r="B4082" t="s">
        <v>28</v>
      </c>
      <c r="C4082">
        <v>181.5</v>
      </c>
      <c r="D4082">
        <v>56.98</v>
      </c>
      <c r="E4082" t="s">
        <v>9</v>
      </c>
      <c r="F4082">
        <v>37.29</v>
      </c>
      <c r="G4082" t="s">
        <v>22</v>
      </c>
      <c r="H4082" t="s">
        <v>11</v>
      </c>
    </row>
    <row r="4083" spans="1:8" x14ac:dyDescent="0.25">
      <c r="A4083" s="1">
        <v>45663.041666666664</v>
      </c>
      <c r="B4083" t="s">
        <v>28</v>
      </c>
      <c r="C4083">
        <v>224.13</v>
      </c>
      <c r="D4083">
        <v>81.540000000000006</v>
      </c>
      <c r="E4083" t="s">
        <v>9</v>
      </c>
      <c r="F4083">
        <v>52.9</v>
      </c>
      <c r="G4083" t="s">
        <v>22</v>
      </c>
      <c r="H4083" t="s">
        <v>12</v>
      </c>
    </row>
    <row r="4084" spans="1:8" x14ac:dyDescent="0.25">
      <c r="A4084" s="1">
        <v>45663.083333333336</v>
      </c>
      <c r="B4084" t="s">
        <v>28</v>
      </c>
      <c r="C4084">
        <v>364.32</v>
      </c>
      <c r="D4084">
        <v>83.12</v>
      </c>
      <c r="E4084" t="s">
        <v>9</v>
      </c>
      <c r="F4084">
        <v>67.94</v>
      </c>
      <c r="G4084" t="s">
        <v>22</v>
      </c>
      <c r="H4084" t="s">
        <v>11</v>
      </c>
    </row>
    <row r="4085" spans="1:8" x14ac:dyDescent="0.25">
      <c r="A4085" s="1">
        <v>45663.125</v>
      </c>
      <c r="B4085" t="s">
        <v>28</v>
      </c>
      <c r="C4085">
        <v>81.63</v>
      </c>
      <c r="D4085">
        <v>90.81</v>
      </c>
      <c r="E4085" t="s">
        <v>14</v>
      </c>
      <c r="F4085">
        <v>64.42</v>
      </c>
      <c r="G4085" t="s">
        <v>22</v>
      </c>
      <c r="H4085" t="s">
        <v>12</v>
      </c>
    </row>
    <row r="4086" spans="1:8" x14ac:dyDescent="0.25">
      <c r="A4086" s="1">
        <v>45663.166666666664</v>
      </c>
      <c r="B4086" t="s">
        <v>28</v>
      </c>
      <c r="C4086">
        <v>322.13</v>
      </c>
      <c r="D4086">
        <v>70.75</v>
      </c>
      <c r="E4086" t="s">
        <v>9</v>
      </c>
      <c r="F4086">
        <v>65.63</v>
      </c>
      <c r="G4086" t="s">
        <v>22</v>
      </c>
      <c r="H4086" t="s">
        <v>12</v>
      </c>
    </row>
    <row r="4087" spans="1:8" x14ac:dyDescent="0.25">
      <c r="A4087" s="1">
        <v>45663.208333333336</v>
      </c>
      <c r="B4087" t="s">
        <v>28</v>
      </c>
      <c r="C4087">
        <v>467.27</v>
      </c>
      <c r="D4087">
        <v>19.239999999999998</v>
      </c>
      <c r="E4087" t="s">
        <v>9</v>
      </c>
      <c r="F4087">
        <v>36.79</v>
      </c>
      <c r="G4087" t="s">
        <v>22</v>
      </c>
      <c r="H4087" t="s">
        <v>11</v>
      </c>
    </row>
    <row r="4088" spans="1:8" x14ac:dyDescent="0.25">
      <c r="A4088" s="1">
        <v>45663.25</v>
      </c>
      <c r="B4088" t="s">
        <v>28</v>
      </c>
      <c r="C4088">
        <v>198.36</v>
      </c>
      <c r="D4088">
        <v>57.11</v>
      </c>
      <c r="E4088" t="s">
        <v>9</v>
      </c>
      <c r="F4088">
        <v>35.18</v>
      </c>
      <c r="G4088" t="s">
        <v>22</v>
      </c>
      <c r="H4088" t="s">
        <v>12</v>
      </c>
    </row>
    <row r="4089" spans="1:8" x14ac:dyDescent="0.25">
      <c r="A4089" s="1">
        <v>45663.291666666664</v>
      </c>
      <c r="B4089" t="s">
        <v>28</v>
      </c>
      <c r="C4089">
        <v>232.13</v>
      </c>
      <c r="D4089">
        <v>80.64</v>
      </c>
      <c r="E4089" t="s">
        <v>9</v>
      </c>
      <c r="F4089">
        <v>65.61</v>
      </c>
      <c r="G4089" t="s">
        <v>22</v>
      </c>
      <c r="H4089" t="s">
        <v>13</v>
      </c>
    </row>
    <row r="4090" spans="1:8" x14ac:dyDescent="0.25">
      <c r="A4090" s="1">
        <v>45663.333333333336</v>
      </c>
      <c r="B4090" t="s">
        <v>28</v>
      </c>
      <c r="C4090">
        <v>247.11</v>
      </c>
      <c r="D4090">
        <v>25.5</v>
      </c>
      <c r="E4090" t="s">
        <v>9</v>
      </c>
      <c r="F4090">
        <v>81.349999999999994</v>
      </c>
      <c r="G4090" t="s">
        <v>22</v>
      </c>
      <c r="H4090" t="s">
        <v>12</v>
      </c>
    </row>
    <row r="4091" spans="1:8" x14ac:dyDescent="0.25">
      <c r="A4091" s="1">
        <v>45663.375</v>
      </c>
      <c r="B4091" t="s">
        <v>28</v>
      </c>
      <c r="C4091">
        <v>201.15</v>
      </c>
      <c r="D4091">
        <v>82.31</v>
      </c>
      <c r="E4091" t="s">
        <v>9</v>
      </c>
      <c r="F4091">
        <v>31.64</v>
      </c>
      <c r="G4091" t="s">
        <v>22</v>
      </c>
      <c r="H4091" t="s">
        <v>13</v>
      </c>
    </row>
    <row r="4092" spans="1:8" x14ac:dyDescent="0.25">
      <c r="A4092" s="1">
        <v>45663.416666666664</v>
      </c>
      <c r="B4092" t="s">
        <v>28</v>
      </c>
      <c r="C4092">
        <v>175.21</v>
      </c>
      <c r="D4092">
        <v>46.72</v>
      </c>
      <c r="E4092" t="s">
        <v>9</v>
      </c>
      <c r="F4092">
        <v>78.38</v>
      </c>
      <c r="G4092" t="s">
        <v>22</v>
      </c>
      <c r="H4092" t="s">
        <v>11</v>
      </c>
    </row>
    <row r="4093" spans="1:8" x14ac:dyDescent="0.25">
      <c r="A4093" s="1">
        <v>45663.458333333336</v>
      </c>
      <c r="B4093" t="s">
        <v>28</v>
      </c>
      <c r="C4093">
        <v>148.62</v>
      </c>
      <c r="D4093">
        <v>83.88</v>
      </c>
      <c r="E4093" t="s">
        <v>9</v>
      </c>
      <c r="F4093">
        <v>83.63</v>
      </c>
      <c r="G4093" t="s">
        <v>22</v>
      </c>
      <c r="H4093" t="s">
        <v>11</v>
      </c>
    </row>
    <row r="4094" spans="1:8" x14ac:dyDescent="0.25">
      <c r="A4094" s="1">
        <v>45663.5</v>
      </c>
      <c r="B4094" t="s">
        <v>28</v>
      </c>
      <c r="C4094">
        <v>94.59</v>
      </c>
      <c r="D4094">
        <v>83.79</v>
      </c>
      <c r="E4094" t="s">
        <v>9</v>
      </c>
      <c r="F4094">
        <v>80.23</v>
      </c>
      <c r="G4094" t="s">
        <v>22</v>
      </c>
      <c r="H4094" t="s">
        <v>11</v>
      </c>
    </row>
    <row r="4095" spans="1:8" x14ac:dyDescent="0.25">
      <c r="A4095" s="1">
        <v>45663.541666666664</v>
      </c>
      <c r="B4095" t="s">
        <v>28</v>
      </c>
      <c r="C4095">
        <v>416.26</v>
      </c>
      <c r="D4095">
        <v>55.99</v>
      </c>
      <c r="E4095" t="s">
        <v>9</v>
      </c>
      <c r="F4095">
        <v>84.69</v>
      </c>
      <c r="G4095" t="s">
        <v>22</v>
      </c>
      <c r="H4095" t="s">
        <v>12</v>
      </c>
    </row>
    <row r="4096" spans="1:8" x14ac:dyDescent="0.25">
      <c r="A4096" s="1">
        <v>45663.583333333336</v>
      </c>
      <c r="B4096" t="s">
        <v>28</v>
      </c>
      <c r="C4096">
        <v>350.45</v>
      </c>
      <c r="D4096">
        <v>87.96</v>
      </c>
      <c r="E4096" t="s">
        <v>14</v>
      </c>
      <c r="F4096">
        <v>56.22</v>
      </c>
      <c r="G4096" t="s">
        <v>22</v>
      </c>
      <c r="H4096" t="s">
        <v>12</v>
      </c>
    </row>
    <row r="4097" spans="1:8" x14ac:dyDescent="0.25">
      <c r="A4097" s="1">
        <v>45663.625</v>
      </c>
      <c r="B4097" t="s">
        <v>28</v>
      </c>
      <c r="C4097">
        <v>434.56</v>
      </c>
      <c r="D4097">
        <v>20.57</v>
      </c>
      <c r="E4097" t="s">
        <v>9</v>
      </c>
      <c r="F4097">
        <v>80.62</v>
      </c>
      <c r="G4097" t="s">
        <v>22</v>
      </c>
      <c r="H4097" t="s">
        <v>11</v>
      </c>
    </row>
    <row r="4098" spans="1:8" x14ac:dyDescent="0.25">
      <c r="A4098" s="1">
        <v>45663.666666666664</v>
      </c>
      <c r="B4098" t="s">
        <v>28</v>
      </c>
      <c r="C4098">
        <v>494.71</v>
      </c>
      <c r="D4098">
        <v>80.040000000000006</v>
      </c>
      <c r="E4098" t="s">
        <v>9</v>
      </c>
      <c r="F4098">
        <v>83.85</v>
      </c>
      <c r="G4098" t="s">
        <v>22</v>
      </c>
      <c r="H4098" t="s">
        <v>12</v>
      </c>
    </row>
    <row r="4099" spans="1:8" x14ac:dyDescent="0.25">
      <c r="A4099" s="1">
        <v>45663.708333333336</v>
      </c>
      <c r="B4099" t="s">
        <v>28</v>
      </c>
      <c r="C4099">
        <v>372.77</v>
      </c>
      <c r="D4099">
        <v>43.86</v>
      </c>
      <c r="E4099" t="s">
        <v>9</v>
      </c>
      <c r="F4099">
        <v>42.92</v>
      </c>
      <c r="G4099" t="s">
        <v>22</v>
      </c>
      <c r="H4099" t="s">
        <v>12</v>
      </c>
    </row>
    <row r="4100" spans="1:8" x14ac:dyDescent="0.25">
      <c r="A4100" s="1">
        <v>45663.75</v>
      </c>
      <c r="B4100" t="s">
        <v>28</v>
      </c>
      <c r="C4100">
        <v>462.57</v>
      </c>
      <c r="D4100">
        <v>75.7</v>
      </c>
      <c r="E4100" t="s">
        <v>9</v>
      </c>
      <c r="F4100">
        <v>49.86</v>
      </c>
      <c r="G4100" t="s">
        <v>22</v>
      </c>
      <c r="H4100" t="s">
        <v>12</v>
      </c>
    </row>
    <row r="4101" spans="1:8" x14ac:dyDescent="0.25">
      <c r="A4101" s="1">
        <v>45663.791666666664</v>
      </c>
      <c r="B4101" t="s">
        <v>28</v>
      </c>
      <c r="C4101">
        <v>175.52</v>
      </c>
      <c r="D4101">
        <v>90.88</v>
      </c>
      <c r="E4101" t="s">
        <v>14</v>
      </c>
      <c r="F4101">
        <v>51.56</v>
      </c>
      <c r="G4101" t="s">
        <v>22</v>
      </c>
      <c r="H4101" t="s">
        <v>13</v>
      </c>
    </row>
    <row r="4102" spans="1:8" x14ac:dyDescent="0.25">
      <c r="A4102" s="1">
        <v>45663.833333333336</v>
      </c>
      <c r="B4102" t="s">
        <v>28</v>
      </c>
      <c r="C4102">
        <v>401.76</v>
      </c>
      <c r="D4102">
        <v>70.650000000000006</v>
      </c>
      <c r="E4102" t="s">
        <v>9</v>
      </c>
      <c r="F4102">
        <v>37.71</v>
      </c>
      <c r="G4102" t="s">
        <v>22</v>
      </c>
      <c r="H4102" t="s">
        <v>12</v>
      </c>
    </row>
    <row r="4103" spans="1:8" x14ac:dyDescent="0.25">
      <c r="A4103" s="1">
        <v>45663.875</v>
      </c>
      <c r="B4103" t="s">
        <v>28</v>
      </c>
      <c r="C4103">
        <v>327.39999999999998</v>
      </c>
      <c r="D4103">
        <v>47.71</v>
      </c>
      <c r="E4103" t="s">
        <v>9</v>
      </c>
      <c r="F4103">
        <v>60.18</v>
      </c>
      <c r="G4103" t="s">
        <v>22</v>
      </c>
      <c r="H4103" t="s">
        <v>13</v>
      </c>
    </row>
    <row r="4104" spans="1:8" x14ac:dyDescent="0.25">
      <c r="A4104" s="1">
        <v>45663.916666666664</v>
      </c>
      <c r="B4104" t="s">
        <v>28</v>
      </c>
      <c r="C4104">
        <v>454.4</v>
      </c>
      <c r="D4104">
        <v>33.76</v>
      </c>
      <c r="E4104" t="s">
        <v>9</v>
      </c>
      <c r="F4104">
        <v>47.15</v>
      </c>
      <c r="G4104" t="s">
        <v>22</v>
      </c>
      <c r="H4104" t="s">
        <v>11</v>
      </c>
    </row>
    <row r="4105" spans="1:8" x14ac:dyDescent="0.25">
      <c r="A4105" s="1">
        <v>45663.958333333336</v>
      </c>
      <c r="B4105" t="s">
        <v>28</v>
      </c>
      <c r="C4105">
        <v>180.83</v>
      </c>
      <c r="D4105">
        <v>40.57</v>
      </c>
      <c r="E4105" t="s">
        <v>9</v>
      </c>
      <c r="F4105">
        <v>56.34</v>
      </c>
      <c r="G4105" t="s">
        <v>22</v>
      </c>
      <c r="H4105" t="s">
        <v>12</v>
      </c>
    </row>
    <row r="4106" spans="1:8" x14ac:dyDescent="0.25">
      <c r="A4106" s="1">
        <v>45664</v>
      </c>
      <c r="B4106" t="s">
        <v>28</v>
      </c>
      <c r="C4106">
        <v>343.03</v>
      </c>
      <c r="D4106">
        <v>76.010000000000005</v>
      </c>
      <c r="E4106" t="s">
        <v>9</v>
      </c>
      <c r="F4106">
        <v>51.47</v>
      </c>
      <c r="G4106" t="s">
        <v>22</v>
      </c>
      <c r="H4106" t="s">
        <v>12</v>
      </c>
    </row>
    <row r="4107" spans="1:8" x14ac:dyDescent="0.25">
      <c r="A4107" s="1">
        <v>45664.041666666664</v>
      </c>
      <c r="B4107" t="s">
        <v>28</v>
      </c>
      <c r="C4107">
        <v>50.82</v>
      </c>
      <c r="D4107">
        <v>41.58</v>
      </c>
      <c r="E4107" t="s">
        <v>9</v>
      </c>
      <c r="F4107">
        <v>78.790000000000006</v>
      </c>
      <c r="G4107" t="s">
        <v>22</v>
      </c>
      <c r="H4107" t="s">
        <v>12</v>
      </c>
    </row>
    <row r="4108" spans="1:8" x14ac:dyDescent="0.25">
      <c r="A4108" s="1">
        <v>45664.083333333336</v>
      </c>
      <c r="B4108" t="s">
        <v>28</v>
      </c>
      <c r="C4108">
        <v>303.72000000000003</v>
      </c>
      <c r="D4108">
        <v>30.58</v>
      </c>
      <c r="E4108" t="s">
        <v>9</v>
      </c>
      <c r="F4108">
        <v>84.95</v>
      </c>
      <c r="G4108" t="s">
        <v>22</v>
      </c>
      <c r="H4108" t="s">
        <v>13</v>
      </c>
    </row>
    <row r="4109" spans="1:8" x14ac:dyDescent="0.25">
      <c r="A4109" s="1">
        <v>45664.125</v>
      </c>
      <c r="B4109" t="s">
        <v>28</v>
      </c>
      <c r="C4109">
        <v>115.73</v>
      </c>
      <c r="D4109">
        <v>72.66</v>
      </c>
      <c r="E4109" t="s">
        <v>9</v>
      </c>
      <c r="F4109">
        <v>34.51</v>
      </c>
      <c r="G4109" t="s">
        <v>22</v>
      </c>
      <c r="H4109" t="s">
        <v>13</v>
      </c>
    </row>
    <row r="4110" spans="1:8" x14ac:dyDescent="0.25">
      <c r="A4110" s="1">
        <v>45664.166666666664</v>
      </c>
      <c r="B4110" t="s">
        <v>28</v>
      </c>
      <c r="C4110">
        <v>223.3</v>
      </c>
      <c r="D4110">
        <v>23.13</v>
      </c>
      <c r="E4110" t="s">
        <v>9</v>
      </c>
      <c r="F4110">
        <v>86.81</v>
      </c>
      <c r="G4110" t="s">
        <v>22</v>
      </c>
      <c r="H4110" t="s">
        <v>12</v>
      </c>
    </row>
    <row r="4111" spans="1:8" x14ac:dyDescent="0.25">
      <c r="A4111" s="1">
        <v>45664.208333333336</v>
      </c>
      <c r="B4111" t="s">
        <v>28</v>
      </c>
      <c r="C4111">
        <v>473.39</v>
      </c>
      <c r="D4111">
        <v>81.180000000000007</v>
      </c>
      <c r="E4111" t="s">
        <v>9</v>
      </c>
      <c r="F4111">
        <v>34.65</v>
      </c>
      <c r="G4111" t="s">
        <v>22</v>
      </c>
      <c r="H4111" t="s">
        <v>11</v>
      </c>
    </row>
    <row r="4112" spans="1:8" x14ac:dyDescent="0.25">
      <c r="A4112" s="1">
        <v>45664.25</v>
      </c>
      <c r="B4112" t="s">
        <v>28</v>
      </c>
      <c r="C4112">
        <v>320.81</v>
      </c>
      <c r="D4112">
        <v>89.33</v>
      </c>
      <c r="E4112" t="s">
        <v>14</v>
      </c>
      <c r="F4112">
        <v>81.400000000000006</v>
      </c>
      <c r="G4112" t="s">
        <v>22</v>
      </c>
      <c r="H4112" t="s">
        <v>11</v>
      </c>
    </row>
    <row r="4113" spans="1:8" x14ac:dyDescent="0.25">
      <c r="A4113" s="1">
        <v>45664.291666666664</v>
      </c>
      <c r="B4113" t="s">
        <v>28</v>
      </c>
      <c r="C4113">
        <v>101.45</v>
      </c>
      <c r="D4113">
        <v>62.73</v>
      </c>
      <c r="E4113" t="s">
        <v>9</v>
      </c>
      <c r="F4113">
        <v>54.08</v>
      </c>
      <c r="G4113" t="s">
        <v>22</v>
      </c>
      <c r="H4113" t="s">
        <v>13</v>
      </c>
    </row>
    <row r="4114" spans="1:8" x14ac:dyDescent="0.25">
      <c r="A4114" s="1">
        <v>45664.333333333336</v>
      </c>
      <c r="B4114" t="s">
        <v>28</v>
      </c>
      <c r="C4114">
        <v>253.36</v>
      </c>
      <c r="D4114">
        <v>90.18</v>
      </c>
      <c r="E4114" t="s">
        <v>14</v>
      </c>
      <c r="F4114">
        <v>76.900000000000006</v>
      </c>
      <c r="G4114" t="s">
        <v>22</v>
      </c>
      <c r="H4114" t="s">
        <v>12</v>
      </c>
    </row>
    <row r="4115" spans="1:8" x14ac:dyDescent="0.25">
      <c r="A4115" s="1">
        <v>45664.375</v>
      </c>
      <c r="B4115" t="s">
        <v>28</v>
      </c>
      <c r="C4115">
        <v>392.24</v>
      </c>
      <c r="D4115">
        <v>89.8</v>
      </c>
      <c r="E4115" t="s">
        <v>14</v>
      </c>
      <c r="F4115">
        <v>60.71</v>
      </c>
      <c r="G4115" t="s">
        <v>22</v>
      </c>
      <c r="H4115" t="s">
        <v>13</v>
      </c>
    </row>
    <row r="4116" spans="1:8" x14ac:dyDescent="0.25">
      <c r="A4116" s="1">
        <v>45664.416666666664</v>
      </c>
      <c r="B4116" t="s">
        <v>28</v>
      </c>
      <c r="C4116">
        <v>218.78</v>
      </c>
      <c r="D4116">
        <v>23.04</v>
      </c>
      <c r="E4116" t="s">
        <v>9</v>
      </c>
      <c r="F4116">
        <v>54.97</v>
      </c>
      <c r="G4116" t="s">
        <v>22</v>
      </c>
      <c r="H4116" t="s">
        <v>13</v>
      </c>
    </row>
    <row r="4117" spans="1:8" x14ac:dyDescent="0.25">
      <c r="A4117" s="1">
        <v>45664.458333333336</v>
      </c>
      <c r="B4117" t="s">
        <v>28</v>
      </c>
      <c r="C4117">
        <v>247.42</v>
      </c>
      <c r="D4117">
        <v>48.99</v>
      </c>
      <c r="E4117" t="s">
        <v>9</v>
      </c>
      <c r="F4117">
        <v>63.41</v>
      </c>
      <c r="G4117" t="s">
        <v>22</v>
      </c>
      <c r="H4117" t="s">
        <v>12</v>
      </c>
    </row>
    <row r="4118" spans="1:8" x14ac:dyDescent="0.25">
      <c r="A4118" s="1">
        <v>45664.5</v>
      </c>
      <c r="B4118" t="s">
        <v>28</v>
      </c>
      <c r="C4118">
        <v>357.72</v>
      </c>
      <c r="D4118">
        <v>19</v>
      </c>
      <c r="E4118" t="s">
        <v>9</v>
      </c>
      <c r="F4118">
        <v>58.19</v>
      </c>
      <c r="G4118" t="s">
        <v>22</v>
      </c>
      <c r="H4118" t="s">
        <v>13</v>
      </c>
    </row>
    <row r="4119" spans="1:8" x14ac:dyDescent="0.25">
      <c r="A4119" s="1">
        <v>45664.541666666664</v>
      </c>
      <c r="B4119" t="s">
        <v>28</v>
      </c>
      <c r="C4119">
        <v>304.67</v>
      </c>
      <c r="D4119">
        <v>38.340000000000003</v>
      </c>
      <c r="E4119" t="s">
        <v>9</v>
      </c>
      <c r="F4119">
        <v>47.71</v>
      </c>
      <c r="G4119" t="s">
        <v>22</v>
      </c>
      <c r="H4119" t="s">
        <v>13</v>
      </c>
    </row>
    <row r="4120" spans="1:8" x14ac:dyDescent="0.25">
      <c r="A4120" s="1">
        <v>45664.583333333336</v>
      </c>
      <c r="B4120" t="s">
        <v>28</v>
      </c>
      <c r="C4120">
        <v>330.21</v>
      </c>
      <c r="D4120">
        <v>32.700000000000003</v>
      </c>
      <c r="E4120" t="s">
        <v>9</v>
      </c>
      <c r="F4120">
        <v>85.22</v>
      </c>
      <c r="G4120" t="s">
        <v>22</v>
      </c>
      <c r="H4120" t="s">
        <v>12</v>
      </c>
    </row>
    <row r="4121" spans="1:8" x14ac:dyDescent="0.25">
      <c r="A4121" s="1">
        <v>45664.625</v>
      </c>
      <c r="B4121" t="s">
        <v>28</v>
      </c>
      <c r="C4121">
        <v>464.01</v>
      </c>
      <c r="D4121">
        <v>17.760000000000002</v>
      </c>
      <c r="E4121" t="s">
        <v>9</v>
      </c>
      <c r="F4121">
        <v>50.56</v>
      </c>
      <c r="G4121" t="s">
        <v>22</v>
      </c>
      <c r="H4121" t="s">
        <v>13</v>
      </c>
    </row>
    <row r="4122" spans="1:8" x14ac:dyDescent="0.25">
      <c r="A4122" s="1">
        <v>45664.666666666664</v>
      </c>
      <c r="B4122" t="s">
        <v>28</v>
      </c>
      <c r="C4122">
        <v>229.32</v>
      </c>
      <c r="D4122">
        <v>19.36</v>
      </c>
      <c r="E4122" t="s">
        <v>9</v>
      </c>
      <c r="F4122">
        <v>43.75</v>
      </c>
      <c r="G4122" t="s">
        <v>22</v>
      </c>
      <c r="H4122" t="s">
        <v>12</v>
      </c>
    </row>
    <row r="4123" spans="1:8" x14ac:dyDescent="0.25">
      <c r="A4123" s="1">
        <v>45664.708333333336</v>
      </c>
      <c r="B4123" t="s">
        <v>28</v>
      </c>
      <c r="C4123">
        <v>237.58</v>
      </c>
      <c r="D4123">
        <v>81.95</v>
      </c>
      <c r="E4123" t="s">
        <v>9</v>
      </c>
      <c r="F4123">
        <v>67.38</v>
      </c>
      <c r="G4123" t="s">
        <v>22</v>
      </c>
      <c r="H4123" t="s">
        <v>11</v>
      </c>
    </row>
    <row r="4124" spans="1:8" x14ac:dyDescent="0.25">
      <c r="A4124" s="1">
        <v>45664.75</v>
      </c>
      <c r="B4124" t="s">
        <v>28</v>
      </c>
      <c r="C4124">
        <v>391.99</v>
      </c>
      <c r="D4124">
        <v>31.1</v>
      </c>
      <c r="E4124" t="s">
        <v>9</v>
      </c>
      <c r="F4124">
        <v>87.16</v>
      </c>
      <c r="G4124" t="s">
        <v>22</v>
      </c>
      <c r="H4124" t="s">
        <v>13</v>
      </c>
    </row>
    <row r="4125" spans="1:8" x14ac:dyDescent="0.25">
      <c r="A4125" s="1">
        <v>45664.791666666664</v>
      </c>
      <c r="B4125" t="s">
        <v>28</v>
      </c>
      <c r="C4125">
        <v>241.91</v>
      </c>
      <c r="D4125">
        <v>88.41</v>
      </c>
      <c r="E4125" t="s">
        <v>14</v>
      </c>
      <c r="F4125">
        <v>64.58</v>
      </c>
      <c r="G4125" t="s">
        <v>22</v>
      </c>
      <c r="H4125" t="s">
        <v>13</v>
      </c>
    </row>
    <row r="4126" spans="1:8" x14ac:dyDescent="0.25">
      <c r="A4126" s="1">
        <v>45664.833333333336</v>
      </c>
      <c r="B4126" t="s">
        <v>28</v>
      </c>
      <c r="C4126">
        <v>237.67</v>
      </c>
      <c r="D4126">
        <v>32.130000000000003</v>
      </c>
      <c r="E4126" t="s">
        <v>9</v>
      </c>
      <c r="F4126">
        <v>73.41</v>
      </c>
      <c r="G4126" t="s">
        <v>22</v>
      </c>
      <c r="H4126" t="s">
        <v>11</v>
      </c>
    </row>
    <row r="4127" spans="1:8" x14ac:dyDescent="0.25">
      <c r="A4127" s="1">
        <v>45664.875</v>
      </c>
      <c r="B4127" t="s">
        <v>28</v>
      </c>
      <c r="C4127">
        <v>374.54</v>
      </c>
      <c r="D4127">
        <v>43.12</v>
      </c>
      <c r="E4127" t="s">
        <v>9</v>
      </c>
      <c r="F4127">
        <v>77.430000000000007</v>
      </c>
      <c r="G4127" t="s">
        <v>22</v>
      </c>
      <c r="H4127" t="s">
        <v>13</v>
      </c>
    </row>
    <row r="4128" spans="1:8" x14ac:dyDescent="0.25">
      <c r="A4128" s="1">
        <v>45664.916666666664</v>
      </c>
      <c r="B4128" t="s">
        <v>28</v>
      </c>
      <c r="C4128">
        <v>212.89</v>
      </c>
      <c r="D4128">
        <v>51.58</v>
      </c>
      <c r="E4128" t="s">
        <v>9</v>
      </c>
      <c r="F4128">
        <v>55.43</v>
      </c>
      <c r="G4128" t="s">
        <v>22</v>
      </c>
      <c r="H4128" t="s">
        <v>13</v>
      </c>
    </row>
    <row r="4129" spans="1:8" x14ac:dyDescent="0.25">
      <c r="A4129" s="1">
        <v>45664.958333333336</v>
      </c>
      <c r="B4129" t="s">
        <v>28</v>
      </c>
      <c r="C4129">
        <v>232.7</v>
      </c>
      <c r="D4129">
        <v>79.48</v>
      </c>
      <c r="E4129" t="s">
        <v>9</v>
      </c>
      <c r="F4129">
        <v>65.709999999999994</v>
      </c>
      <c r="G4129" t="s">
        <v>22</v>
      </c>
      <c r="H4129" t="s">
        <v>13</v>
      </c>
    </row>
    <row r="4130" spans="1:8" x14ac:dyDescent="0.25">
      <c r="A4130" s="1">
        <v>45665</v>
      </c>
      <c r="B4130" t="s">
        <v>28</v>
      </c>
      <c r="C4130">
        <v>395.9</v>
      </c>
      <c r="D4130">
        <v>58.69</v>
      </c>
      <c r="E4130" t="s">
        <v>9</v>
      </c>
      <c r="F4130">
        <v>54.82</v>
      </c>
      <c r="G4130" t="s">
        <v>22</v>
      </c>
      <c r="H4130" t="s">
        <v>11</v>
      </c>
    </row>
    <row r="4131" spans="1:8" x14ac:dyDescent="0.25">
      <c r="A4131" s="1">
        <v>45665.041666666664</v>
      </c>
      <c r="B4131" t="s">
        <v>28</v>
      </c>
      <c r="C4131">
        <v>68.91</v>
      </c>
      <c r="D4131">
        <v>19.62</v>
      </c>
      <c r="E4131" t="s">
        <v>9</v>
      </c>
      <c r="F4131">
        <v>30.45</v>
      </c>
      <c r="G4131" t="s">
        <v>22</v>
      </c>
      <c r="H4131" t="s">
        <v>11</v>
      </c>
    </row>
    <row r="4132" spans="1:8" x14ac:dyDescent="0.25">
      <c r="A4132" s="1">
        <v>45665.083333333336</v>
      </c>
      <c r="B4132" t="s">
        <v>28</v>
      </c>
      <c r="C4132">
        <v>92.21</v>
      </c>
      <c r="D4132">
        <v>66.900000000000006</v>
      </c>
      <c r="E4132" t="s">
        <v>9</v>
      </c>
      <c r="F4132">
        <v>49.99</v>
      </c>
      <c r="G4132" t="s">
        <v>22</v>
      </c>
      <c r="H4132" t="s">
        <v>12</v>
      </c>
    </row>
    <row r="4133" spans="1:8" x14ac:dyDescent="0.25">
      <c r="A4133" s="1">
        <v>45665.125</v>
      </c>
      <c r="B4133" t="s">
        <v>28</v>
      </c>
      <c r="C4133">
        <v>324.16000000000003</v>
      </c>
      <c r="D4133">
        <v>63.37</v>
      </c>
      <c r="E4133" t="s">
        <v>9</v>
      </c>
      <c r="F4133">
        <v>47.79</v>
      </c>
      <c r="G4133" t="s">
        <v>22</v>
      </c>
      <c r="H4133" t="s">
        <v>11</v>
      </c>
    </row>
    <row r="4134" spans="1:8" x14ac:dyDescent="0.25">
      <c r="A4134" s="1">
        <v>45665.166666666664</v>
      </c>
      <c r="B4134" t="s">
        <v>28</v>
      </c>
      <c r="C4134">
        <v>124.62</v>
      </c>
      <c r="D4134">
        <v>18.3</v>
      </c>
      <c r="E4134" t="s">
        <v>9</v>
      </c>
      <c r="F4134">
        <v>41.5</v>
      </c>
      <c r="G4134" t="s">
        <v>22</v>
      </c>
      <c r="H4134" t="s">
        <v>13</v>
      </c>
    </row>
    <row r="4135" spans="1:8" x14ac:dyDescent="0.25">
      <c r="A4135" s="1">
        <v>45665.208333333336</v>
      </c>
      <c r="B4135" t="s">
        <v>28</v>
      </c>
      <c r="C4135">
        <v>351.73</v>
      </c>
      <c r="D4135">
        <v>31.64</v>
      </c>
      <c r="E4135" t="s">
        <v>9</v>
      </c>
      <c r="F4135">
        <v>70.599999999999994</v>
      </c>
      <c r="G4135" t="s">
        <v>22</v>
      </c>
      <c r="H4135" t="s">
        <v>13</v>
      </c>
    </row>
    <row r="4136" spans="1:8" x14ac:dyDescent="0.25">
      <c r="A4136" s="1">
        <v>45665.25</v>
      </c>
      <c r="B4136" t="s">
        <v>28</v>
      </c>
      <c r="C4136">
        <v>116.24</v>
      </c>
      <c r="D4136">
        <v>55.22</v>
      </c>
      <c r="E4136" t="s">
        <v>9</v>
      </c>
      <c r="F4136">
        <v>85.31</v>
      </c>
      <c r="G4136" t="s">
        <v>22</v>
      </c>
      <c r="H4136" t="s">
        <v>13</v>
      </c>
    </row>
    <row r="4137" spans="1:8" x14ac:dyDescent="0.25">
      <c r="A4137" s="1">
        <v>45665.291666666664</v>
      </c>
      <c r="B4137" t="s">
        <v>28</v>
      </c>
      <c r="C4137">
        <v>485.94</v>
      </c>
      <c r="D4137">
        <v>66.69</v>
      </c>
      <c r="E4137" t="s">
        <v>9</v>
      </c>
      <c r="F4137">
        <v>70.55</v>
      </c>
      <c r="G4137" t="s">
        <v>22</v>
      </c>
      <c r="H4137" t="s">
        <v>12</v>
      </c>
    </row>
    <row r="4138" spans="1:8" x14ac:dyDescent="0.25">
      <c r="A4138" s="1">
        <v>45665.333333333336</v>
      </c>
      <c r="B4138" t="s">
        <v>28</v>
      </c>
      <c r="C4138">
        <v>438.95</v>
      </c>
      <c r="D4138">
        <v>77.290000000000006</v>
      </c>
      <c r="E4138" t="s">
        <v>9</v>
      </c>
      <c r="F4138">
        <v>57.45</v>
      </c>
      <c r="G4138" t="s">
        <v>22</v>
      </c>
      <c r="H4138" t="s">
        <v>11</v>
      </c>
    </row>
    <row r="4139" spans="1:8" x14ac:dyDescent="0.25">
      <c r="A4139" s="1">
        <v>45665.375</v>
      </c>
      <c r="B4139" t="s">
        <v>28</v>
      </c>
      <c r="C4139">
        <v>223.73</v>
      </c>
      <c r="D4139">
        <v>49.84</v>
      </c>
      <c r="E4139" t="s">
        <v>9</v>
      </c>
      <c r="F4139">
        <v>61.42</v>
      </c>
      <c r="G4139" t="s">
        <v>22</v>
      </c>
      <c r="H4139" t="s">
        <v>13</v>
      </c>
    </row>
    <row r="4140" spans="1:8" x14ac:dyDescent="0.25">
      <c r="A4140" s="1">
        <v>45665.416666666664</v>
      </c>
      <c r="B4140" t="s">
        <v>28</v>
      </c>
      <c r="C4140">
        <v>258.44</v>
      </c>
      <c r="D4140">
        <v>85.41</v>
      </c>
      <c r="E4140" t="s">
        <v>14</v>
      </c>
      <c r="F4140">
        <v>84.21</v>
      </c>
      <c r="G4140" t="s">
        <v>22</v>
      </c>
      <c r="H4140" t="s">
        <v>12</v>
      </c>
    </row>
    <row r="4141" spans="1:8" x14ac:dyDescent="0.25">
      <c r="A4141" s="1">
        <v>45665.458333333336</v>
      </c>
      <c r="B4141" t="s">
        <v>28</v>
      </c>
      <c r="C4141">
        <v>166.34</v>
      </c>
      <c r="D4141">
        <v>86.2</v>
      </c>
      <c r="E4141" t="s">
        <v>14</v>
      </c>
      <c r="F4141">
        <v>58.96</v>
      </c>
      <c r="G4141" t="s">
        <v>22</v>
      </c>
      <c r="H4141" t="s">
        <v>11</v>
      </c>
    </row>
    <row r="4142" spans="1:8" x14ac:dyDescent="0.25">
      <c r="A4142" s="1">
        <v>45665.5</v>
      </c>
      <c r="B4142" t="s">
        <v>28</v>
      </c>
      <c r="C4142">
        <v>59.17</v>
      </c>
      <c r="D4142">
        <v>82.35</v>
      </c>
      <c r="E4142" t="s">
        <v>9</v>
      </c>
      <c r="F4142">
        <v>85.7</v>
      </c>
      <c r="G4142" t="s">
        <v>22</v>
      </c>
      <c r="H4142" t="s">
        <v>13</v>
      </c>
    </row>
    <row r="4143" spans="1:8" x14ac:dyDescent="0.25">
      <c r="A4143" s="1">
        <v>45665.541666666664</v>
      </c>
      <c r="B4143" t="s">
        <v>28</v>
      </c>
      <c r="C4143">
        <v>430.61</v>
      </c>
      <c r="D4143">
        <v>67.91</v>
      </c>
      <c r="E4143" t="s">
        <v>9</v>
      </c>
      <c r="F4143">
        <v>64.84</v>
      </c>
      <c r="G4143" t="s">
        <v>22</v>
      </c>
      <c r="H4143" t="s">
        <v>12</v>
      </c>
    </row>
    <row r="4144" spans="1:8" x14ac:dyDescent="0.25">
      <c r="A4144" s="1">
        <v>45665.583333333336</v>
      </c>
      <c r="B4144" t="s">
        <v>28</v>
      </c>
      <c r="C4144">
        <v>322.86</v>
      </c>
      <c r="D4144">
        <v>30.25</v>
      </c>
      <c r="E4144" t="s">
        <v>9</v>
      </c>
      <c r="F4144">
        <v>50.63</v>
      </c>
      <c r="G4144" t="s">
        <v>22</v>
      </c>
      <c r="H4144" t="s">
        <v>11</v>
      </c>
    </row>
    <row r="4145" spans="1:8" x14ac:dyDescent="0.25">
      <c r="A4145" s="1">
        <v>45665.625</v>
      </c>
      <c r="B4145" t="s">
        <v>28</v>
      </c>
      <c r="C4145">
        <v>404.36</v>
      </c>
      <c r="D4145">
        <v>50.54</v>
      </c>
      <c r="E4145" t="s">
        <v>9</v>
      </c>
      <c r="F4145">
        <v>37.020000000000003</v>
      </c>
      <c r="G4145" t="s">
        <v>22</v>
      </c>
      <c r="H4145" t="s">
        <v>13</v>
      </c>
    </row>
    <row r="4146" spans="1:8" x14ac:dyDescent="0.25">
      <c r="A4146" s="1">
        <v>45665.666666666664</v>
      </c>
      <c r="B4146" t="s">
        <v>28</v>
      </c>
      <c r="C4146">
        <v>193.1</v>
      </c>
      <c r="D4146">
        <v>41.45</v>
      </c>
      <c r="E4146" t="s">
        <v>9</v>
      </c>
      <c r="F4146">
        <v>75.099999999999994</v>
      </c>
      <c r="G4146" t="s">
        <v>22</v>
      </c>
      <c r="H4146" t="s">
        <v>11</v>
      </c>
    </row>
    <row r="4147" spans="1:8" x14ac:dyDescent="0.25">
      <c r="A4147" s="1">
        <v>45665.708333333336</v>
      </c>
      <c r="B4147" t="s">
        <v>28</v>
      </c>
      <c r="C4147">
        <v>467.21</v>
      </c>
      <c r="D4147">
        <v>83.17</v>
      </c>
      <c r="E4147" t="s">
        <v>9</v>
      </c>
      <c r="F4147">
        <v>79.81</v>
      </c>
      <c r="G4147" t="s">
        <v>22</v>
      </c>
      <c r="H4147" t="s">
        <v>11</v>
      </c>
    </row>
    <row r="4148" spans="1:8" x14ac:dyDescent="0.25">
      <c r="A4148" s="1">
        <v>45665.75</v>
      </c>
      <c r="B4148" t="s">
        <v>28</v>
      </c>
      <c r="C4148">
        <v>405.56</v>
      </c>
      <c r="D4148">
        <v>77.45</v>
      </c>
      <c r="E4148" t="s">
        <v>9</v>
      </c>
      <c r="F4148">
        <v>37.880000000000003</v>
      </c>
      <c r="G4148" t="s">
        <v>22</v>
      </c>
      <c r="H4148" t="s">
        <v>11</v>
      </c>
    </row>
    <row r="4149" spans="1:8" x14ac:dyDescent="0.25">
      <c r="A4149" s="1">
        <v>45665.791666666664</v>
      </c>
      <c r="B4149" t="s">
        <v>28</v>
      </c>
      <c r="C4149">
        <v>253.63</v>
      </c>
      <c r="D4149">
        <v>86.9</v>
      </c>
      <c r="E4149" t="s">
        <v>14</v>
      </c>
      <c r="F4149">
        <v>71.72</v>
      </c>
      <c r="G4149" t="s">
        <v>22</v>
      </c>
      <c r="H4149" t="s">
        <v>11</v>
      </c>
    </row>
    <row r="4150" spans="1:8" x14ac:dyDescent="0.25">
      <c r="A4150" s="1">
        <v>45665.833333333336</v>
      </c>
      <c r="B4150" t="s">
        <v>28</v>
      </c>
      <c r="C4150">
        <v>269.81</v>
      </c>
      <c r="D4150">
        <v>19.22</v>
      </c>
      <c r="E4150" t="s">
        <v>9</v>
      </c>
      <c r="F4150">
        <v>59.16</v>
      </c>
      <c r="G4150" t="s">
        <v>22</v>
      </c>
      <c r="H4150" t="s">
        <v>13</v>
      </c>
    </row>
    <row r="4151" spans="1:8" x14ac:dyDescent="0.25">
      <c r="A4151" s="1">
        <v>45665.875</v>
      </c>
      <c r="B4151" t="s">
        <v>28</v>
      </c>
      <c r="C4151">
        <v>340.55</v>
      </c>
      <c r="D4151">
        <v>28.99</v>
      </c>
      <c r="E4151" t="s">
        <v>9</v>
      </c>
      <c r="F4151">
        <v>42.37</v>
      </c>
      <c r="G4151" t="s">
        <v>22</v>
      </c>
      <c r="H4151" t="s">
        <v>11</v>
      </c>
    </row>
    <row r="4152" spans="1:8" x14ac:dyDescent="0.25">
      <c r="A4152" s="1">
        <v>45665.916666666664</v>
      </c>
      <c r="B4152" t="s">
        <v>28</v>
      </c>
      <c r="C4152">
        <v>63.08</v>
      </c>
      <c r="D4152">
        <v>56.23</v>
      </c>
      <c r="E4152" t="s">
        <v>9</v>
      </c>
      <c r="F4152">
        <v>58.27</v>
      </c>
      <c r="G4152" t="s">
        <v>22</v>
      </c>
      <c r="H4152" t="s">
        <v>13</v>
      </c>
    </row>
    <row r="4153" spans="1:8" x14ac:dyDescent="0.25">
      <c r="A4153" s="1">
        <v>45665.958333333336</v>
      </c>
      <c r="B4153" t="s">
        <v>28</v>
      </c>
      <c r="C4153">
        <v>443.25</v>
      </c>
      <c r="D4153">
        <v>74.7</v>
      </c>
      <c r="E4153" t="s">
        <v>9</v>
      </c>
      <c r="F4153">
        <v>81.489999999999995</v>
      </c>
      <c r="G4153" t="s">
        <v>22</v>
      </c>
      <c r="H4153" t="s">
        <v>12</v>
      </c>
    </row>
    <row r="4154" spans="1:8" x14ac:dyDescent="0.25">
      <c r="A4154" s="1">
        <v>45666</v>
      </c>
      <c r="B4154" t="s">
        <v>28</v>
      </c>
      <c r="C4154">
        <v>459.98</v>
      </c>
      <c r="D4154">
        <v>92.5</v>
      </c>
      <c r="E4154" t="s">
        <v>14</v>
      </c>
      <c r="F4154">
        <v>59.81</v>
      </c>
      <c r="G4154" t="s">
        <v>22</v>
      </c>
      <c r="H4154" t="s">
        <v>12</v>
      </c>
    </row>
    <row r="4155" spans="1:8" x14ac:dyDescent="0.25">
      <c r="A4155" s="1">
        <v>45666.041666666664</v>
      </c>
      <c r="B4155" t="s">
        <v>28</v>
      </c>
      <c r="C4155">
        <v>498.1</v>
      </c>
      <c r="D4155">
        <v>56.79</v>
      </c>
      <c r="E4155" t="s">
        <v>9</v>
      </c>
      <c r="F4155">
        <v>80.400000000000006</v>
      </c>
      <c r="G4155" t="s">
        <v>22</v>
      </c>
      <c r="H4155" t="s">
        <v>13</v>
      </c>
    </row>
    <row r="4156" spans="1:8" x14ac:dyDescent="0.25">
      <c r="A4156" s="1">
        <v>45666.083333333336</v>
      </c>
      <c r="B4156" t="s">
        <v>28</v>
      </c>
      <c r="C4156">
        <v>106.21</v>
      </c>
      <c r="D4156">
        <v>93.13</v>
      </c>
      <c r="E4156" t="s">
        <v>14</v>
      </c>
      <c r="F4156">
        <v>89.13</v>
      </c>
      <c r="G4156" t="s">
        <v>22</v>
      </c>
      <c r="H4156" t="s">
        <v>13</v>
      </c>
    </row>
    <row r="4157" spans="1:8" x14ac:dyDescent="0.25">
      <c r="A4157" s="1">
        <v>45666.125</v>
      </c>
      <c r="B4157" t="s">
        <v>28</v>
      </c>
      <c r="C4157">
        <v>179.9</v>
      </c>
      <c r="D4157">
        <v>24.31</v>
      </c>
      <c r="E4157" t="s">
        <v>9</v>
      </c>
      <c r="F4157">
        <v>47.76</v>
      </c>
      <c r="G4157" t="s">
        <v>22</v>
      </c>
      <c r="H4157" t="s">
        <v>13</v>
      </c>
    </row>
    <row r="4158" spans="1:8" x14ac:dyDescent="0.25">
      <c r="A4158" s="1">
        <v>45666.166666666664</v>
      </c>
      <c r="B4158" t="s">
        <v>28</v>
      </c>
      <c r="C4158">
        <v>369.48</v>
      </c>
      <c r="D4158">
        <v>28.47</v>
      </c>
      <c r="E4158" t="s">
        <v>9</v>
      </c>
      <c r="F4158">
        <v>36.369999999999997</v>
      </c>
      <c r="G4158" t="s">
        <v>22</v>
      </c>
      <c r="H4158" t="s">
        <v>12</v>
      </c>
    </row>
    <row r="4159" spans="1:8" x14ac:dyDescent="0.25">
      <c r="A4159" s="1">
        <v>45666.208333333336</v>
      </c>
      <c r="B4159" t="s">
        <v>28</v>
      </c>
      <c r="C4159">
        <v>81.91</v>
      </c>
      <c r="D4159">
        <v>41</v>
      </c>
      <c r="E4159" t="s">
        <v>9</v>
      </c>
      <c r="F4159">
        <v>31.07</v>
      </c>
      <c r="G4159" t="s">
        <v>22</v>
      </c>
      <c r="H4159" t="s">
        <v>11</v>
      </c>
    </row>
    <row r="4160" spans="1:8" x14ac:dyDescent="0.25">
      <c r="A4160" s="1">
        <v>45666.25</v>
      </c>
      <c r="B4160" t="s">
        <v>28</v>
      </c>
      <c r="C4160">
        <v>338.31</v>
      </c>
      <c r="D4160">
        <v>19.079999999999998</v>
      </c>
      <c r="E4160" t="s">
        <v>9</v>
      </c>
      <c r="F4160">
        <v>87.88</v>
      </c>
      <c r="G4160" t="s">
        <v>22</v>
      </c>
      <c r="H4160" t="s">
        <v>11</v>
      </c>
    </row>
    <row r="4161" spans="1:8" x14ac:dyDescent="0.25">
      <c r="A4161" s="1">
        <v>45666.291666666664</v>
      </c>
      <c r="B4161" t="s">
        <v>28</v>
      </c>
      <c r="C4161">
        <v>50.64</v>
      </c>
      <c r="D4161">
        <v>60.93</v>
      </c>
      <c r="E4161" t="s">
        <v>9</v>
      </c>
      <c r="F4161">
        <v>78.95</v>
      </c>
      <c r="G4161" t="s">
        <v>22</v>
      </c>
      <c r="H4161" t="s">
        <v>12</v>
      </c>
    </row>
    <row r="4162" spans="1:8" x14ac:dyDescent="0.25">
      <c r="A4162" s="1">
        <v>45666.333333333336</v>
      </c>
      <c r="B4162" t="s">
        <v>28</v>
      </c>
      <c r="C4162">
        <v>65.430000000000007</v>
      </c>
      <c r="D4162">
        <v>87.42</v>
      </c>
      <c r="E4162" t="s">
        <v>14</v>
      </c>
      <c r="F4162">
        <v>85.11</v>
      </c>
      <c r="G4162" t="s">
        <v>22</v>
      </c>
      <c r="H4162" t="s">
        <v>13</v>
      </c>
    </row>
    <row r="4163" spans="1:8" x14ac:dyDescent="0.25">
      <c r="A4163" s="1">
        <v>45666.375</v>
      </c>
      <c r="B4163" t="s">
        <v>28</v>
      </c>
      <c r="C4163">
        <v>232.63</v>
      </c>
      <c r="D4163">
        <v>67.59</v>
      </c>
      <c r="E4163" t="s">
        <v>9</v>
      </c>
      <c r="F4163">
        <v>87.2</v>
      </c>
      <c r="G4163" t="s">
        <v>22</v>
      </c>
      <c r="H4163" t="s">
        <v>13</v>
      </c>
    </row>
    <row r="4164" spans="1:8" x14ac:dyDescent="0.25">
      <c r="A4164" s="1">
        <v>45666.416666666664</v>
      </c>
      <c r="B4164" t="s">
        <v>28</v>
      </c>
      <c r="C4164">
        <v>234.22</v>
      </c>
      <c r="D4164">
        <v>76.599999999999994</v>
      </c>
      <c r="E4164" t="s">
        <v>9</v>
      </c>
      <c r="F4164">
        <v>54.23</v>
      </c>
      <c r="G4164" t="s">
        <v>22</v>
      </c>
      <c r="H4164" t="s">
        <v>11</v>
      </c>
    </row>
    <row r="4165" spans="1:8" x14ac:dyDescent="0.25">
      <c r="A4165" s="1">
        <v>45666.458333333336</v>
      </c>
      <c r="B4165" t="s">
        <v>28</v>
      </c>
      <c r="C4165">
        <v>95.63</v>
      </c>
      <c r="D4165">
        <v>24.76</v>
      </c>
      <c r="E4165" t="s">
        <v>9</v>
      </c>
      <c r="F4165">
        <v>38.380000000000003</v>
      </c>
      <c r="G4165" t="s">
        <v>22</v>
      </c>
      <c r="H4165" t="s">
        <v>13</v>
      </c>
    </row>
    <row r="4166" spans="1:8" x14ac:dyDescent="0.25">
      <c r="A4166" s="1">
        <v>45666.5</v>
      </c>
      <c r="B4166" t="s">
        <v>28</v>
      </c>
      <c r="C4166">
        <v>117.13</v>
      </c>
      <c r="D4166">
        <v>61.95</v>
      </c>
      <c r="E4166" t="s">
        <v>9</v>
      </c>
      <c r="F4166">
        <v>47.69</v>
      </c>
      <c r="G4166" t="s">
        <v>22</v>
      </c>
      <c r="H4166" t="s">
        <v>12</v>
      </c>
    </row>
    <row r="4167" spans="1:8" x14ac:dyDescent="0.25">
      <c r="A4167" s="1">
        <v>45666.541666666664</v>
      </c>
      <c r="B4167" t="s">
        <v>28</v>
      </c>
      <c r="C4167">
        <v>248.63</v>
      </c>
      <c r="D4167">
        <v>37.71</v>
      </c>
      <c r="E4167" t="s">
        <v>9</v>
      </c>
      <c r="F4167">
        <v>65.31</v>
      </c>
      <c r="G4167" t="s">
        <v>22</v>
      </c>
      <c r="H4167" t="s">
        <v>11</v>
      </c>
    </row>
    <row r="4168" spans="1:8" x14ac:dyDescent="0.25">
      <c r="A4168" s="1">
        <v>45666.583333333336</v>
      </c>
      <c r="B4168" t="s">
        <v>28</v>
      </c>
      <c r="C4168">
        <v>75.25</v>
      </c>
      <c r="D4168">
        <v>63.16</v>
      </c>
      <c r="E4168" t="s">
        <v>9</v>
      </c>
      <c r="F4168">
        <v>61.81</v>
      </c>
      <c r="G4168" t="s">
        <v>22</v>
      </c>
      <c r="H4168" t="s">
        <v>11</v>
      </c>
    </row>
    <row r="4169" spans="1:8" x14ac:dyDescent="0.25">
      <c r="A4169" s="1">
        <v>45666.625</v>
      </c>
      <c r="B4169" t="s">
        <v>28</v>
      </c>
      <c r="C4169">
        <v>474.07</v>
      </c>
      <c r="D4169">
        <v>63.36</v>
      </c>
      <c r="E4169" t="s">
        <v>9</v>
      </c>
      <c r="F4169">
        <v>76.98</v>
      </c>
      <c r="G4169" t="s">
        <v>22</v>
      </c>
      <c r="H4169" t="s">
        <v>13</v>
      </c>
    </row>
    <row r="4170" spans="1:8" x14ac:dyDescent="0.25">
      <c r="A4170" s="1">
        <v>45666.666666666664</v>
      </c>
      <c r="B4170" t="s">
        <v>28</v>
      </c>
      <c r="C4170">
        <v>249.82</v>
      </c>
      <c r="D4170">
        <v>51.24</v>
      </c>
      <c r="E4170" t="s">
        <v>9</v>
      </c>
      <c r="F4170">
        <v>88.79</v>
      </c>
      <c r="G4170" t="s">
        <v>22</v>
      </c>
      <c r="H4170" t="s">
        <v>13</v>
      </c>
    </row>
    <row r="4171" spans="1:8" x14ac:dyDescent="0.25">
      <c r="A4171" s="1">
        <v>45666.708333333336</v>
      </c>
      <c r="B4171" t="s">
        <v>28</v>
      </c>
      <c r="C4171">
        <v>151.13</v>
      </c>
      <c r="D4171">
        <v>41.23</v>
      </c>
      <c r="E4171" t="s">
        <v>9</v>
      </c>
      <c r="F4171">
        <v>43.42</v>
      </c>
      <c r="G4171" t="s">
        <v>22</v>
      </c>
      <c r="H4171" t="s">
        <v>12</v>
      </c>
    </row>
    <row r="4172" spans="1:8" x14ac:dyDescent="0.25">
      <c r="A4172" s="1">
        <v>45666.75</v>
      </c>
      <c r="B4172" t="s">
        <v>28</v>
      </c>
      <c r="C4172">
        <v>448.28</v>
      </c>
      <c r="D4172">
        <v>41.95</v>
      </c>
      <c r="E4172" t="s">
        <v>9</v>
      </c>
      <c r="F4172">
        <v>52.47</v>
      </c>
      <c r="G4172" t="s">
        <v>22</v>
      </c>
      <c r="H4172" t="s">
        <v>11</v>
      </c>
    </row>
    <row r="4173" spans="1:8" x14ac:dyDescent="0.25">
      <c r="A4173" s="1">
        <v>45666.791666666664</v>
      </c>
      <c r="B4173" t="s">
        <v>28</v>
      </c>
      <c r="C4173">
        <v>267.49</v>
      </c>
      <c r="D4173">
        <v>74.099999999999994</v>
      </c>
      <c r="E4173" t="s">
        <v>9</v>
      </c>
      <c r="F4173">
        <v>41.55</v>
      </c>
      <c r="G4173" t="s">
        <v>22</v>
      </c>
      <c r="H4173" t="s">
        <v>12</v>
      </c>
    </row>
    <row r="4174" spans="1:8" x14ac:dyDescent="0.25">
      <c r="A4174" s="1">
        <v>45666.833333333336</v>
      </c>
      <c r="B4174" t="s">
        <v>28</v>
      </c>
      <c r="C4174">
        <v>270.74</v>
      </c>
      <c r="D4174">
        <v>69.209999999999994</v>
      </c>
      <c r="E4174" t="s">
        <v>9</v>
      </c>
      <c r="F4174">
        <v>35.14</v>
      </c>
      <c r="G4174" t="s">
        <v>22</v>
      </c>
      <c r="H4174" t="s">
        <v>11</v>
      </c>
    </row>
    <row r="4175" spans="1:8" x14ac:dyDescent="0.25">
      <c r="A4175" s="1">
        <v>45666.875</v>
      </c>
      <c r="B4175" t="s">
        <v>28</v>
      </c>
      <c r="C4175">
        <v>358.09</v>
      </c>
      <c r="D4175">
        <v>88.3</v>
      </c>
      <c r="E4175" t="s">
        <v>14</v>
      </c>
      <c r="F4175">
        <v>54.51</v>
      </c>
      <c r="G4175" t="s">
        <v>22</v>
      </c>
      <c r="H4175" t="s">
        <v>13</v>
      </c>
    </row>
    <row r="4176" spans="1:8" x14ac:dyDescent="0.25">
      <c r="A4176" s="1">
        <v>45666.916666666664</v>
      </c>
      <c r="B4176" t="s">
        <v>28</v>
      </c>
      <c r="C4176">
        <v>433.04</v>
      </c>
      <c r="D4176">
        <v>39.56</v>
      </c>
      <c r="E4176" t="s">
        <v>9</v>
      </c>
      <c r="F4176">
        <v>87.84</v>
      </c>
      <c r="G4176" t="s">
        <v>22</v>
      </c>
      <c r="H4176" t="s">
        <v>11</v>
      </c>
    </row>
    <row r="4177" spans="1:8" x14ac:dyDescent="0.25">
      <c r="A4177" s="1">
        <v>45666.958333333336</v>
      </c>
      <c r="B4177" t="s">
        <v>28</v>
      </c>
      <c r="C4177">
        <v>353.48</v>
      </c>
      <c r="D4177">
        <v>29.86</v>
      </c>
      <c r="E4177" t="s">
        <v>9</v>
      </c>
      <c r="F4177">
        <v>39.14</v>
      </c>
      <c r="G4177" t="s">
        <v>22</v>
      </c>
      <c r="H4177" t="s">
        <v>11</v>
      </c>
    </row>
    <row r="4178" spans="1:8" x14ac:dyDescent="0.25">
      <c r="A4178" s="1">
        <v>45667</v>
      </c>
      <c r="B4178" t="s">
        <v>28</v>
      </c>
      <c r="C4178">
        <v>115.77</v>
      </c>
      <c r="D4178">
        <v>81.209999999999994</v>
      </c>
      <c r="E4178" t="s">
        <v>9</v>
      </c>
      <c r="F4178">
        <v>68.73</v>
      </c>
      <c r="G4178" t="s">
        <v>22</v>
      </c>
      <c r="H4178" t="s">
        <v>11</v>
      </c>
    </row>
    <row r="4179" spans="1:8" x14ac:dyDescent="0.25">
      <c r="A4179" s="1">
        <v>45667.041666666664</v>
      </c>
      <c r="B4179" t="s">
        <v>28</v>
      </c>
      <c r="C4179">
        <v>210.67</v>
      </c>
      <c r="D4179">
        <v>89.82</v>
      </c>
      <c r="E4179" t="s">
        <v>14</v>
      </c>
      <c r="F4179">
        <v>80.55</v>
      </c>
      <c r="G4179" t="s">
        <v>22</v>
      </c>
      <c r="H4179" t="s">
        <v>11</v>
      </c>
    </row>
    <row r="4180" spans="1:8" x14ac:dyDescent="0.25">
      <c r="A4180" s="1">
        <v>45667.083333333336</v>
      </c>
      <c r="B4180" t="s">
        <v>28</v>
      </c>
      <c r="C4180">
        <v>182.52</v>
      </c>
      <c r="D4180">
        <v>60.48</v>
      </c>
      <c r="E4180" t="s">
        <v>9</v>
      </c>
      <c r="F4180">
        <v>49.29</v>
      </c>
      <c r="G4180" t="s">
        <v>22</v>
      </c>
      <c r="H4180" t="s">
        <v>13</v>
      </c>
    </row>
    <row r="4181" spans="1:8" x14ac:dyDescent="0.25">
      <c r="A4181" s="1">
        <v>45667.125</v>
      </c>
      <c r="B4181" t="s">
        <v>28</v>
      </c>
      <c r="C4181">
        <v>246.81</v>
      </c>
      <c r="D4181">
        <v>52.21</v>
      </c>
      <c r="E4181" t="s">
        <v>9</v>
      </c>
      <c r="F4181">
        <v>59.92</v>
      </c>
      <c r="G4181" t="s">
        <v>22</v>
      </c>
      <c r="H4181" t="s">
        <v>12</v>
      </c>
    </row>
    <row r="4182" spans="1:8" x14ac:dyDescent="0.25">
      <c r="A4182" s="1">
        <v>45667.166666666664</v>
      </c>
      <c r="B4182" t="s">
        <v>28</v>
      </c>
      <c r="C4182">
        <v>174.1</v>
      </c>
      <c r="D4182">
        <v>30.61</v>
      </c>
      <c r="E4182" t="s">
        <v>9</v>
      </c>
      <c r="F4182">
        <v>77.900000000000006</v>
      </c>
      <c r="G4182" t="s">
        <v>22</v>
      </c>
      <c r="H4182" t="s">
        <v>11</v>
      </c>
    </row>
    <row r="4183" spans="1:8" x14ac:dyDescent="0.25">
      <c r="A4183" s="1">
        <v>45667.208333333336</v>
      </c>
      <c r="B4183" t="s">
        <v>28</v>
      </c>
      <c r="C4183">
        <v>63.09</v>
      </c>
      <c r="D4183">
        <v>89.4</v>
      </c>
      <c r="E4183" t="s">
        <v>14</v>
      </c>
      <c r="F4183">
        <v>86.95</v>
      </c>
      <c r="G4183" t="s">
        <v>22</v>
      </c>
      <c r="H4183" t="s">
        <v>12</v>
      </c>
    </row>
    <row r="4184" spans="1:8" x14ac:dyDescent="0.25">
      <c r="A4184" s="1">
        <v>45667.25</v>
      </c>
      <c r="B4184" t="s">
        <v>28</v>
      </c>
      <c r="C4184">
        <v>205.09</v>
      </c>
      <c r="D4184">
        <v>71.73</v>
      </c>
      <c r="E4184" t="s">
        <v>9</v>
      </c>
      <c r="F4184">
        <v>36.04</v>
      </c>
      <c r="G4184" t="s">
        <v>22</v>
      </c>
      <c r="H4184" t="s">
        <v>12</v>
      </c>
    </row>
    <row r="4185" spans="1:8" x14ac:dyDescent="0.25">
      <c r="A4185" s="1">
        <v>45667.291666666664</v>
      </c>
      <c r="B4185" t="s">
        <v>28</v>
      </c>
      <c r="C4185">
        <v>430.03</v>
      </c>
      <c r="D4185">
        <v>62.64</v>
      </c>
      <c r="E4185" t="s">
        <v>9</v>
      </c>
      <c r="F4185">
        <v>38.06</v>
      </c>
      <c r="G4185" t="s">
        <v>22</v>
      </c>
      <c r="H4185" t="s">
        <v>11</v>
      </c>
    </row>
    <row r="4186" spans="1:8" x14ac:dyDescent="0.25">
      <c r="A4186" s="1">
        <v>45667.333333333336</v>
      </c>
      <c r="B4186" t="s">
        <v>28</v>
      </c>
      <c r="C4186">
        <v>168.88</v>
      </c>
      <c r="D4186">
        <v>38.53</v>
      </c>
      <c r="E4186" t="s">
        <v>9</v>
      </c>
      <c r="F4186">
        <v>63.34</v>
      </c>
      <c r="G4186" t="s">
        <v>22</v>
      </c>
      <c r="H4186" t="s">
        <v>11</v>
      </c>
    </row>
    <row r="4187" spans="1:8" x14ac:dyDescent="0.25">
      <c r="A4187" s="1">
        <v>45667.375</v>
      </c>
      <c r="B4187" t="s">
        <v>28</v>
      </c>
      <c r="C4187">
        <v>200.38</v>
      </c>
      <c r="D4187">
        <v>42.42</v>
      </c>
      <c r="E4187" t="s">
        <v>9</v>
      </c>
      <c r="F4187">
        <v>33.1</v>
      </c>
      <c r="G4187" t="s">
        <v>22</v>
      </c>
      <c r="H4187" t="s">
        <v>11</v>
      </c>
    </row>
    <row r="4188" spans="1:8" x14ac:dyDescent="0.25">
      <c r="A4188" s="1">
        <v>45667.416666666664</v>
      </c>
      <c r="B4188" t="s">
        <v>28</v>
      </c>
      <c r="C4188">
        <v>236.91</v>
      </c>
      <c r="D4188">
        <v>75.989999999999995</v>
      </c>
      <c r="E4188" t="s">
        <v>9</v>
      </c>
      <c r="F4188">
        <v>34.89</v>
      </c>
      <c r="G4188" t="s">
        <v>22</v>
      </c>
      <c r="H4188" t="s">
        <v>12</v>
      </c>
    </row>
    <row r="4189" spans="1:8" x14ac:dyDescent="0.25">
      <c r="A4189" s="1">
        <v>45667.458333333336</v>
      </c>
      <c r="B4189" t="s">
        <v>28</v>
      </c>
      <c r="C4189">
        <v>184.42</v>
      </c>
      <c r="D4189">
        <v>14.83</v>
      </c>
      <c r="E4189" t="s">
        <v>9</v>
      </c>
      <c r="F4189">
        <v>71.739999999999995</v>
      </c>
      <c r="G4189" t="s">
        <v>22</v>
      </c>
      <c r="H4189" t="s">
        <v>13</v>
      </c>
    </row>
    <row r="4190" spans="1:8" x14ac:dyDescent="0.25">
      <c r="A4190" s="1">
        <v>45667.5</v>
      </c>
      <c r="B4190" t="s">
        <v>28</v>
      </c>
      <c r="C4190">
        <v>237.65</v>
      </c>
      <c r="D4190">
        <v>79.86</v>
      </c>
      <c r="E4190" t="s">
        <v>9</v>
      </c>
      <c r="F4190">
        <v>76</v>
      </c>
      <c r="G4190" t="s">
        <v>22</v>
      </c>
      <c r="H4190" t="s">
        <v>13</v>
      </c>
    </row>
    <row r="4191" spans="1:8" x14ac:dyDescent="0.25">
      <c r="A4191" s="1">
        <v>45667.541666666664</v>
      </c>
      <c r="B4191" t="s">
        <v>28</v>
      </c>
      <c r="C4191">
        <v>374.14</v>
      </c>
      <c r="D4191">
        <v>79.7</v>
      </c>
      <c r="E4191" t="s">
        <v>9</v>
      </c>
      <c r="F4191">
        <v>38.32</v>
      </c>
      <c r="G4191" t="s">
        <v>22</v>
      </c>
      <c r="H4191" t="s">
        <v>12</v>
      </c>
    </row>
    <row r="4192" spans="1:8" x14ac:dyDescent="0.25">
      <c r="A4192" s="1">
        <v>45667.583333333336</v>
      </c>
      <c r="B4192" t="s">
        <v>28</v>
      </c>
      <c r="C4192">
        <v>383.59</v>
      </c>
      <c r="D4192">
        <v>75</v>
      </c>
      <c r="E4192" t="s">
        <v>9</v>
      </c>
      <c r="F4192">
        <v>88.34</v>
      </c>
      <c r="G4192" t="s">
        <v>22</v>
      </c>
      <c r="H4192" t="s">
        <v>11</v>
      </c>
    </row>
    <row r="4193" spans="1:8" x14ac:dyDescent="0.25">
      <c r="A4193" s="1">
        <v>45667.625</v>
      </c>
      <c r="B4193" t="s">
        <v>28</v>
      </c>
      <c r="C4193">
        <v>292.14</v>
      </c>
      <c r="D4193">
        <v>31.51</v>
      </c>
      <c r="E4193" t="s">
        <v>9</v>
      </c>
      <c r="F4193">
        <v>48.6</v>
      </c>
      <c r="G4193" t="s">
        <v>22</v>
      </c>
      <c r="H4193" t="s">
        <v>12</v>
      </c>
    </row>
    <row r="4194" spans="1:8" x14ac:dyDescent="0.25">
      <c r="A4194" s="1">
        <v>45667.666666666664</v>
      </c>
      <c r="B4194" t="s">
        <v>28</v>
      </c>
      <c r="C4194">
        <v>287.81</v>
      </c>
      <c r="D4194">
        <v>92.98</v>
      </c>
      <c r="E4194" t="s">
        <v>14</v>
      </c>
      <c r="F4194">
        <v>65.37</v>
      </c>
      <c r="G4194" t="s">
        <v>22</v>
      </c>
      <c r="H4194" t="s">
        <v>13</v>
      </c>
    </row>
    <row r="4195" spans="1:8" x14ac:dyDescent="0.25">
      <c r="A4195" s="1">
        <v>45667.708333333336</v>
      </c>
      <c r="B4195" t="s">
        <v>28</v>
      </c>
      <c r="C4195">
        <v>330.71</v>
      </c>
      <c r="D4195">
        <v>44.51</v>
      </c>
      <c r="E4195" t="s">
        <v>9</v>
      </c>
      <c r="F4195">
        <v>34.659999999999997</v>
      </c>
      <c r="G4195" t="s">
        <v>22</v>
      </c>
      <c r="H4195" t="s">
        <v>12</v>
      </c>
    </row>
    <row r="4196" spans="1:8" x14ac:dyDescent="0.25">
      <c r="A4196" s="1">
        <v>45667.75</v>
      </c>
      <c r="B4196" t="s">
        <v>28</v>
      </c>
      <c r="C4196">
        <v>341.1</v>
      </c>
      <c r="D4196">
        <v>27.86</v>
      </c>
      <c r="E4196" t="s">
        <v>9</v>
      </c>
      <c r="F4196">
        <v>67.84</v>
      </c>
      <c r="G4196" t="s">
        <v>22</v>
      </c>
      <c r="H4196" t="s">
        <v>11</v>
      </c>
    </row>
    <row r="4197" spans="1:8" x14ac:dyDescent="0.25">
      <c r="A4197" s="1">
        <v>45667.791666666664</v>
      </c>
      <c r="B4197" t="s">
        <v>28</v>
      </c>
      <c r="C4197">
        <v>215.21</v>
      </c>
      <c r="D4197">
        <v>24.12</v>
      </c>
      <c r="E4197" t="s">
        <v>9</v>
      </c>
      <c r="F4197">
        <v>54.29</v>
      </c>
      <c r="G4197" t="s">
        <v>22</v>
      </c>
      <c r="H4197" t="s">
        <v>12</v>
      </c>
    </row>
    <row r="4198" spans="1:8" x14ac:dyDescent="0.25">
      <c r="A4198" s="1">
        <v>45667.833333333336</v>
      </c>
      <c r="B4198" t="s">
        <v>28</v>
      </c>
      <c r="C4198">
        <v>159.41999999999999</v>
      </c>
      <c r="D4198">
        <v>60.4</v>
      </c>
      <c r="E4198" t="s">
        <v>9</v>
      </c>
      <c r="F4198">
        <v>58.25</v>
      </c>
      <c r="G4198" t="s">
        <v>22</v>
      </c>
      <c r="H4198" t="s">
        <v>13</v>
      </c>
    </row>
    <row r="4199" spans="1:8" x14ac:dyDescent="0.25">
      <c r="A4199" s="1">
        <v>45667.875</v>
      </c>
      <c r="B4199" t="s">
        <v>28</v>
      </c>
      <c r="C4199">
        <v>480.38</v>
      </c>
      <c r="D4199">
        <v>67.510000000000005</v>
      </c>
      <c r="E4199" t="s">
        <v>9</v>
      </c>
      <c r="F4199">
        <v>64.930000000000007</v>
      </c>
      <c r="G4199" t="s">
        <v>22</v>
      </c>
      <c r="H4199" t="s">
        <v>11</v>
      </c>
    </row>
    <row r="4200" spans="1:8" x14ac:dyDescent="0.25">
      <c r="A4200" s="1">
        <v>45667.916666666664</v>
      </c>
      <c r="B4200" t="s">
        <v>28</v>
      </c>
      <c r="C4200">
        <v>334.43</v>
      </c>
      <c r="D4200">
        <v>27.41</v>
      </c>
      <c r="E4200" t="s">
        <v>9</v>
      </c>
      <c r="F4200">
        <v>48.88</v>
      </c>
      <c r="G4200" t="s">
        <v>22</v>
      </c>
      <c r="H4200" t="s">
        <v>11</v>
      </c>
    </row>
    <row r="4201" spans="1:8" x14ac:dyDescent="0.25">
      <c r="A4201" s="1">
        <v>45667.958333333336</v>
      </c>
      <c r="B4201" t="s">
        <v>28</v>
      </c>
      <c r="C4201">
        <v>476.3</v>
      </c>
      <c r="D4201">
        <v>82.45</v>
      </c>
      <c r="E4201" t="s">
        <v>9</v>
      </c>
      <c r="F4201">
        <v>88.96</v>
      </c>
      <c r="G4201" t="s">
        <v>22</v>
      </c>
      <c r="H4201" t="s">
        <v>12</v>
      </c>
    </row>
    <row r="4202" spans="1:8" x14ac:dyDescent="0.25">
      <c r="A4202" s="1">
        <v>45668</v>
      </c>
      <c r="B4202" t="s">
        <v>28</v>
      </c>
      <c r="C4202">
        <v>454.8</v>
      </c>
      <c r="D4202">
        <v>18.43</v>
      </c>
      <c r="E4202" t="s">
        <v>9</v>
      </c>
      <c r="F4202">
        <v>63.97</v>
      </c>
      <c r="G4202" t="s">
        <v>22</v>
      </c>
      <c r="H4202" t="s">
        <v>13</v>
      </c>
    </row>
    <row r="4203" spans="1:8" x14ac:dyDescent="0.25">
      <c r="A4203" s="1">
        <v>45668.041666666664</v>
      </c>
      <c r="B4203" t="s">
        <v>28</v>
      </c>
      <c r="C4203">
        <v>491.37</v>
      </c>
      <c r="D4203">
        <v>64.760000000000005</v>
      </c>
      <c r="E4203" t="s">
        <v>9</v>
      </c>
      <c r="F4203">
        <v>82.9</v>
      </c>
      <c r="G4203" t="s">
        <v>22</v>
      </c>
      <c r="H4203" t="s">
        <v>11</v>
      </c>
    </row>
    <row r="4204" spans="1:8" x14ac:dyDescent="0.25">
      <c r="A4204" s="1">
        <v>45668.083333333336</v>
      </c>
      <c r="B4204" t="s">
        <v>28</v>
      </c>
      <c r="C4204">
        <v>406.51</v>
      </c>
      <c r="D4204">
        <v>20.86</v>
      </c>
      <c r="E4204" t="s">
        <v>9</v>
      </c>
      <c r="F4204">
        <v>66.02</v>
      </c>
      <c r="G4204" t="s">
        <v>22</v>
      </c>
      <c r="H4204" t="s">
        <v>13</v>
      </c>
    </row>
    <row r="4205" spans="1:8" x14ac:dyDescent="0.25">
      <c r="A4205" s="1">
        <v>45668.125</v>
      </c>
      <c r="B4205" t="s">
        <v>28</v>
      </c>
      <c r="C4205">
        <v>491.63</v>
      </c>
      <c r="D4205">
        <v>76.75</v>
      </c>
      <c r="E4205" t="s">
        <v>9</v>
      </c>
      <c r="F4205">
        <v>56.91</v>
      </c>
      <c r="G4205" t="s">
        <v>22</v>
      </c>
      <c r="H4205" t="s">
        <v>12</v>
      </c>
    </row>
    <row r="4206" spans="1:8" x14ac:dyDescent="0.25">
      <c r="A4206" s="1">
        <v>45668.166666666664</v>
      </c>
      <c r="B4206" t="s">
        <v>28</v>
      </c>
      <c r="C4206">
        <v>65.31</v>
      </c>
      <c r="D4206">
        <v>48.6</v>
      </c>
      <c r="E4206" t="s">
        <v>9</v>
      </c>
      <c r="F4206">
        <v>64.66</v>
      </c>
      <c r="G4206" t="s">
        <v>22</v>
      </c>
      <c r="H4206" t="s">
        <v>11</v>
      </c>
    </row>
    <row r="4207" spans="1:8" x14ac:dyDescent="0.25">
      <c r="A4207" s="1">
        <v>45668.208333333336</v>
      </c>
      <c r="B4207" t="s">
        <v>28</v>
      </c>
      <c r="C4207">
        <v>246.03</v>
      </c>
      <c r="D4207">
        <v>55.81</v>
      </c>
      <c r="E4207" t="s">
        <v>9</v>
      </c>
      <c r="F4207">
        <v>35.799999999999997</v>
      </c>
      <c r="G4207" t="s">
        <v>22</v>
      </c>
      <c r="H4207" t="s">
        <v>13</v>
      </c>
    </row>
    <row r="4208" spans="1:8" x14ac:dyDescent="0.25">
      <c r="A4208" s="1">
        <v>45668.25</v>
      </c>
      <c r="B4208" t="s">
        <v>28</v>
      </c>
      <c r="C4208">
        <v>99.21</v>
      </c>
      <c r="D4208">
        <v>46.8</v>
      </c>
      <c r="E4208" t="s">
        <v>9</v>
      </c>
      <c r="F4208">
        <v>78.28</v>
      </c>
      <c r="G4208" t="s">
        <v>22</v>
      </c>
      <c r="H4208" t="s">
        <v>13</v>
      </c>
    </row>
    <row r="4209" spans="1:8" x14ac:dyDescent="0.25">
      <c r="A4209" s="1">
        <v>45668.291666666664</v>
      </c>
      <c r="B4209" t="s">
        <v>28</v>
      </c>
      <c r="C4209">
        <v>327.14</v>
      </c>
      <c r="D4209">
        <v>94.78</v>
      </c>
      <c r="E4209" t="s">
        <v>14</v>
      </c>
      <c r="F4209">
        <v>47.52</v>
      </c>
      <c r="G4209" t="s">
        <v>22</v>
      </c>
      <c r="H4209" t="s">
        <v>13</v>
      </c>
    </row>
    <row r="4210" spans="1:8" x14ac:dyDescent="0.25">
      <c r="A4210" s="1">
        <v>45668.333333333336</v>
      </c>
      <c r="B4210" t="s">
        <v>28</v>
      </c>
      <c r="C4210">
        <v>144.26</v>
      </c>
      <c r="D4210">
        <v>17.100000000000001</v>
      </c>
      <c r="E4210" t="s">
        <v>9</v>
      </c>
      <c r="F4210">
        <v>82.35</v>
      </c>
      <c r="G4210" t="s">
        <v>22</v>
      </c>
      <c r="H4210" t="s">
        <v>13</v>
      </c>
    </row>
    <row r="4211" spans="1:8" x14ac:dyDescent="0.25">
      <c r="A4211" s="1">
        <v>45668.375</v>
      </c>
      <c r="B4211" t="s">
        <v>28</v>
      </c>
      <c r="C4211">
        <v>154.38999999999999</v>
      </c>
      <c r="D4211">
        <v>93.76</v>
      </c>
      <c r="E4211" t="s">
        <v>14</v>
      </c>
      <c r="F4211">
        <v>60.14</v>
      </c>
      <c r="G4211" t="s">
        <v>22</v>
      </c>
      <c r="H4211" t="s">
        <v>11</v>
      </c>
    </row>
    <row r="4212" spans="1:8" x14ac:dyDescent="0.25">
      <c r="A4212" s="1">
        <v>45668.416666666664</v>
      </c>
      <c r="B4212" t="s">
        <v>28</v>
      </c>
      <c r="C4212">
        <v>299.95999999999998</v>
      </c>
      <c r="D4212">
        <v>35.89</v>
      </c>
      <c r="E4212" t="s">
        <v>9</v>
      </c>
      <c r="F4212">
        <v>86.24</v>
      </c>
      <c r="G4212" t="s">
        <v>22</v>
      </c>
      <c r="H4212" t="s">
        <v>13</v>
      </c>
    </row>
    <row r="4213" spans="1:8" x14ac:dyDescent="0.25">
      <c r="A4213" s="1">
        <v>45668.458333333336</v>
      </c>
      <c r="B4213" t="s">
        <v>28</v>
      </c>
      <c r="C4213">
        <v>200.69</v>
      </c>
      <c r="D4213">
        <v>57.24</v>
      </c>
      <c r="E4213" t="s">
        <v>9</v>
      </c>
      <c r="F4213">
        <v>57.15</v>
      </c>
      <c r="G4213" t="s">
        <v>22</v>
      </c>
      <c r="H4213" t="s">
        <v>11</v>
      </c>
    </row>
    <row r="4214" spans="1:8" x14ac:dyDescent="0.25">
      <c r="A4214" s="1">
        <v>45668.5</v>
      </c>
      <c r="B4214" t="s">
        <v>28</v>
      </c>
      <c r="C4214">
        <v>181.18</v>
      </c>
      <c r="D4214">
        <v>40.03</v>
      </c>
      <c r="E4214" t="s">
        <v>9</v>
      </c>
      <c r="F4214">
        <v>30.91</v>
      </c>
      <c r="G4214" t="s">
        <v>22</v>
      </c>
      <c r="H4214" t="s">
        <v>11</v>
      </c>
    </row>
    <row r="4215" spans="1:8" x14ac:dyDescent="0.25">
      <c r="A4215" s="1">
        <v>45668.541666666664</v>
      </c>
      <c r="B4215" t="s">
        <v>28</v>
      </c>
      <c r="C4215">
        <v>319.49</v>
      </c>
      <c r="D4215">
        <v>75.87</v>
      </c>
      <c r="E4215" t="s">
        <v>9</v>
      </c>
      <c r="F4215">
        <v>87.41</v>
      </c>
      <c r="G4215" t="s">
        <v>22</v>
      </c>
      <c r="H4215" t="s">
        <v>11</v>
      </c>
    </row>
    <row r="4216" spans="1:8" x14ac:dyDescent="0.25">
      <c r="A4216" s="1">
        <v>45668.583333333336</v>
      </c>
      <c r="B4216" t="s">
        <v>28</v>
      </c>
      <c r="C4216">
        <v>455.57</v>
      </c>
      <c r="D4216">
        <v>59.07</v>
      </c>
      <c r="E4216" t="s">
        <v>9</v>
      </c>
      <c r="F4216">
        <v>71.09</v>
      </c>
      <c r="G4216" t="s">
        <v>22</v>
      </c>
      <c r="H4216" t="s">
        <v>12</v>
      </c>
    </row>
    <row r="4217" spans="1:8" x14ac:dyDescent="0.25">
      <c r="A4217" s="1">
        <v>45668.625</v>
      </c>
      <c r="B4217" t="s">
        <v>28</v>
      </c>
      <c r="C4217">
        <v>231.49</v>
      </c>
      <c r="D4217">
        <v>52.14</v>
      </c>
      <c r="E4217" t="s">
        <v>9</v>
      </c>
      <c r="F4217">
        <v>83.72</v>
      </c>
      <c r="G4217" t="s">
        <v>22</v>
      </c>
      <c r="H4217" t="s">
        <v>12</v>
      </c>
    </row>
    <row r="4218" spans="1:8" x14ac:dyDescent="0.25">
      <c r="A4218" s="1">
        <v>45668.666666666664</v>
      </c>
      <c r="B4218" t="s">
        <v>28</v>
      </c>
      <c r="C4218">
        <v>294.27</v>
      </c>
      <c r="D4218">
        <v>87.44</v>
      </c>
      <c r="E4218" t="s">
        <v>14</v>
      </c>
      <c r="F4218">
        <v>40.880000000000003</v>
      </c>
      <c r="G4218" t="s">
        <v>22</v>
      </c>
      <c r="H4218" t="s">
        <v>13</v>
      </c>
    </row>
    <row r="4219" spans="1:8" x14ac:dyDescent="0.25">
      <c r="A4219" s="1">
        <v>45668.708333333336</v>
      </c>
      <c r="B4219" t="s">
        <v>28</v>
      </c>
      <c r="C4219">
        <v>122.96</v>
      </c>
      <c r="D4219">
        <v>60.73</v>
      </c>
      <c r="E4219" t="s">
        <v>9</v>
      </c>
      <c r="F4219">
        <v>84.68</v>
      </c>
      <c r="G4219" t="s">
        <v>22</v>
      </c>
      <c r="H4219" t="s">
        <v>11</v>
      </c>
    </row>
    <row r="4220" spans="1:8" x14ac:dyDescent="0.25">
      <c r="A4220" s="1">
        <v>45668.75</v>
      </c>
      <c r="B4220" t="s">
        <v>28</v>
      </c>
      <c r="C4220">
        <v>182.69</v>
      </c>
      <c r="D4220">
        <v>84.13</v>
      </c>
      <c r="E4220" t="s">
        <v>9</v>
      </c>
      <c r="F4220">
        <v>51.13</v>
      </c>
      <c r="G4220" t="s">
        <v>22</v>
      </c>
      <c r="H4220" t="s">
        <v>13</v>
      </c>
    </row>
    <row r="4221" spans="1:8" x14ac:dyDescent="0.25">
      <c r="A4221" s="1">
        <v>45668.791666666664</v>
      </c>
      <c r="B4221" t="s">
        <v>28</v>
      </c>
      <c r="C4221">
        <v>388.44</v>
      </c>
      <c r="D4221">
        <v>43.18</v>
      </c>
      <c r="E4221" t="s">
        <v>9</v>
      </c>
      <c r="F4221">
        <v>44.13</v>
      </c>
      <c r="G4221" t="s">
        <v>22</v>
      </c>
      <c r="H4221" t="s">
        <v>12</v>
      </c>
    </row>
    <row r="4222" spans="1:8" x14ac:dyDescent="0.25">
      <c r="A4222" s="1">
        <v>45668.833333333336</v>
      </c>
      <c r="B4222" t="s">
        <v>28</v>
      </c>
      <c r="C4222">
        <v>419.7</v>
      </c>
      <c r="D4222">
        <v>65.7</v>
      </c>
      <c r="E4222" t="s">
        <v>9</v>
      </c>
      <c r="F4222">
        <v>38.21</v>
      </c>
      <c r="G4222" t="s">
        <v>22</v>
      </c>
      <c r="H4222" t="s">
        <v>12</v>
      </c>
    </row>
    <row r="4223" spans="1:8" x14ac:dyDescent="0.25">
      <c r="A4223" s="1">
        <v>45668.875</v>
      </c>
      <c r="B4223" t="s">
        <v>28</v>
      </c>
      <c r="C4223">
        <v>196.89</v>
      </c>
      <c r="D4223">
        <v>18.07</v>
      </c>
      <c r="E4223" t="s">
        <v>9</v>
      </c>
      <c r="F4223">
        <v>54.26</v>
      </c>
      <c r="G4223" t="s">
        <v>22</v>
      </c>
      <c r="H4223" t="s">
        <v>13</v>
      </c>
    </row>
    <row r="4224" spans="1:8" x14ac:dyDescent="0.25">
      <c r="A4224" s="1">
        <v>45668.916666666664</v>
      </c>
      <c r="B4224" t="s">
        <v>28</v>
      </c>
      <c r="C4224">
        <v>429.18</v>
      </c>
      <c r="D4224">
        <v>94.42</v>
      </c>
      <c r="E4224" t="s">
        <v>14</v>
      </c>
      <c r="F4224">
        <v>51.98</v>
      </c>
      <c r="G4224" t="s">
        <v>22</v>
      </c>
      <c r="H4224" t="s">
        <v>12</v>
      </c>
    </row>
    <row r="4225" spans="1:8" x14ac:dyDescent="0.25">
      <c r="A4225" s="1">
        <v>45668.958333333336</v>
      </c>
      <c r="B4225" t="s">
        <v>28</v>
      </c>
      <c r="C4225">
        <v>104.91</v>
      </c>
      <c r="D4225">
        <v>61.56</v>
      </c>
      <c r="E4225" t="s">
        <v>9</v>
      </c>
      <c r="F4225">
        <v>47.84</v>
      </c>
      <c r="G4225" t="s">
        <v>22</v>
      </c>
      <c r="H4225" t="s">
        <v>13</v>
      </c>
    </row>
    <row r="4226" spans="1:8" x14ac:dyDescent="0.25">
      <c r="A4226" s="1">
        <v>45669</v>
      </c>
      <c r="B4226" t="s">
        <v>28</v>
      </c>
      <c r="C4226">
        <v>75.92</v>
      </c>
      <c r="D4226">
        <v>27.7</v>
      </c>
      <c r="E4226" t="s">
        <v>9</v>
      </c>
      <c r="F4226">
        <v>75.28</v>
      </c>
      <c r="G4226" t="s">
        <v>22</v>
      </c>
      <c r="H4226" t="s">
        <v>11</v>
      </c>
    </row>
    <row r="4227" spans="1:8" x14ac:dyDescent="0.25">
      <c r="A4227" s="1">
        <v>45669.041666666664</v>
      </c>
      <c r="B4227" t="s">
        <v>28</v>
      </c>
      <c r="C4227">
        <v>407.74</v>
      </c>
      <c r="D4227">
        <v>15.57</v>
      </c>
      <c r="E4227" t="s">
        <v>9</v>
      </c>
      <c r="F4227">
        <v>60.33</v>
      </c>
      <c r="G4227" t="s">
        <v>22</v>
      </c>
      <c r="H4227" t="s">
        <v>12</v>
      </c>
    </row>
    <row r="4228" spans="1:8" x14ac:dyDescent="0.25">
      <c r="A4228" s="1">
        <v>45669.083333333336</v>
      </c>
      <c r="B4228" t="s">
        <v>28</v>
      </c>
      <c r="C4228">
        <v>148.44999999999999</v>
      </c>
      <c r="D4228">
        <v>84.58</v>
      </c>
      <c r="E4228" t="s">
        <v>9</v>
      </c>
      <c r="F4228">
        <v>33.18</v>
      </c>
      <c r="G4228" t="s">
        <v>22</v>
      </c>
      <c r="H4228" t="s">
        <v>11</v>
      </c>
    </row>
    <row r="4229" spans="1:8" x14ac:dyDescent="0.25">
      <c r="A4229" s="1">
        <v>45669.125</v>
      </c>
      <c r="B4229" t="s">
        <v>28</v>
      </c>
      <c r="C4229">
        <v>327.12</v>
      </c>
      <c r="D4229">
        <v>39.520000000000003</v>
      </c>
      <c r="E4229" t="s">
        <v>9</v>
      </c>
      <c r="F4229">
        <v>73.260000000000005</v>
      </c>
      <c r="G4229" t="s">
        <v>22</v>
      </c>
      <c r="H4229" t="s">
        <v>13</v>
      </c>
    </row>
    <row r="4230" spans="1:8" x14ac:dyDescent="0.25">
      <c r="A4230" s="1">
        <v>45669.166666666664</v>
      </c>
      <c r="B4230" t="s">
        <v>28</v>
      </c>
      <c r="C4230">
        <v>470.25</v>
      </c>
      <c r="D4230">
        <v>43.79</v>
      </c>
      <c r="E4230" t="s">
        <v>9</v>
      </c>
      <c r="F4230">
        <v>71.16</v>
      </c>
      <c r="G4230" t="s">
        <v>22</v>
      </c>
      <c r="H4230" t="s">
        <v>12</v>
      </c>
    </row>
    <row r="4231" spans="1:8" x14ac:dyDescent="0.25">
      <c r="A4231" s="1">
        <v>45669.208333333336</v>
      </c>
      <c r="B4231" t="s">
        <v>28</v>
      </c>
      <c r="C4231">
        <v>295.7</v>
      </c>
      <c r="D4231">
        <v>44.33</v>
      </c>
      <c r="E4231" t="s">
        <v>9</v>
      </c>
      <c r="F4231">
        <v>38.090000000000003</v>
      </c>
      <c r="G4231" t="s">
        <v>22</v>
      </c>
      <c r="H4231" t="s">
        <v>12</v>
      </c>
    </row>
    <row r="4232" spans="1:8" x14ac:dyDescent="0.25">
      <c r="A4232" s="1">
        <v>45669.25</v>
      </c>
      <c r="B4232" t="s">
        <v>28</v>
      </c>
      <c r="C4232">
        <v>176.95</v>
      </c>
      <c r="D4232">
        <v>57.6</v>
      </c>
      <c r="E4232" t="s">
        <v>9</v>
      </c>
      <c r="F4232">
        <v>40.700000000000003</v>
      </c>
      <c r="G4232" t="s">
        <v>22</v>
      </c>
      <c r="H4232" t="s">
        <v>11</v>
      </c>
    </row>
    <row r="4233" spans="1:8" x14ac:dyDescent="0.25">
      <c r="A4233" s="1">
        <v>45669.291666666664</v>
      </c>
      <c r="B4233" t="s">
        <v>28</v>
      </c>
      <c r="C4233">
        <v>207.46</v>
      </c>
      <c r="D4233">
        <v>77.94</v>
      </c>
      <c r="E4233" t="s">
        <v>9</v>
      </c>
      <c r="F4233">
        <v>35.97</v>
      </c>
      <c r="G4233" t="s">
        <v>22</v>
      </c>
      <c r="H4233" t="s">
        <v>11</v>
      </c>
    </row>
    <row r="4234" spans="1:8" x14ac:dyDescent="0.25">
      <c r="A4234" s="1">
        <v>45669.333333333336</v>
      </c>
      <c r="B4234" t="s">
        <v>28</v>
      </c>
      <c r="C4234">
        <v>301.39</v>
      </c>
      <c r="D4234">
        <v>14.22</v>
      </c>
      <c r="E4234" t="s">
        <v>9</v>
      </c>
      <c r="F4234">
        <v>51.94</v>
      </c>
      <c r="G4234" t="s">
        <v>22</v>
      </c>
      <c r="H4234" t="s">
        <v>13</v>
      </c>
    </row>
    <row r="4235" spans="1:8" x14ac:dyDescent="0.25">
      <c r="A4235" s="1">
        <v>45669.375</v>
      </c>
      <c r="B4235" t="s">
        <v>28</v>
      </c>
      <c r="C4235">
        <v>440.15</v>
      </c>
      <c r="D4235">
        <v>74.41</v>
      </c>
      <c r="E4235" t="s">
        <v>9</v>
      </c>
      <c r="F4235">
        <v>35.07</v>
      </c>
      <c r="G4235" t="s">
        <v>22</v>
      </c>
      <c r="H4235" t="s">
        <v>11</v>
      </c>
    </row>
    <row r="4236" spans="1:8" x14ac:dyDescent="0.25">
      <c r="A4236" s="1">
        <v>45669.416666666664</v>
      </c>
      <c r="B4236" t="s">
        <v>28</v>
      </c>
      <c r="C4236">
        <v>353.93</v>
      </c>
      <c r="D4236">
        <v>36.82</v>
      </c>
      <c r="E4236" t="s">
        <v>9</v>
      </c>
      <c r="F4236">
        <v>30.93</v>
      </c>
      <c r="G4236" t="s">
        <v>22</v>
      </c>
      <c r="H4236" t="s">
        <v>11</v>
      </c>
    </row>
    <row r="4237" spans="1:8" x14ac:dyDescent="0.25">
      <c r="A4237" s="1">
        <v>45669.458333333336</v>
      </c>
      <c r="B4237" t="s">
        <v>28</v>
      </c>
      <c r="C4237">
        <v>162.47</v>
      </c>
      <c r="D4237">
        <v>80.150000000000006</v>
      </c>
      <c r="E4237" t="s">
        <v>9</v>
      </c>
      <c r="F4237">
        <v>57.92</v>
      </c>
      <c r="G4237" t="s">
        <v>22</v>
      </c>
      <c r="H4237" t="s">
        <v>13</v>
      </c>
    </row>
    <row r="4238" spans="1:8" x14ac:dyDescent="0.25">
      <c r="A4238" s="1">
        <v>45669.5</v>
      </c>
      <c r="B4238" t="s">
        <v>28</v>
      </c>
      <c r="C4238">
        <v>485.01</v>
      </c>
      <c r="D4238">
        <v>36.82</v>
      </c>
      <c r="E4238" t="s">
        <v>9</v>
      </c>
      <c r="F4238">
        <v>65.33</v>
      </c>
      <c r="G4238" t="s">
        <v>22</v>
      </c>
      <c r="H4238" t="s">
        <v>12</v>
      </c>
    </row>
    <row r="4239" spans="1:8" x14ac:dyDescent="0.25">
      <c r="A4239" s="1">
        <v>45669.541666666664</v>
      </c>
      <c r="B4239" t="s">
        <v>28</v>
      </c>
      <c r="C4239">
        <v>102.53</v>
      </c>
      <c r="D4239">
        <v>16.93</v>
      </c>
      <c r="E4239" t="s">
        <v>9</v>
      </c>
      <c r="F4239">
        <v>66.510000000000005</v>
      </c>
      <c r="G4239" t="s">
        <v>22</v>
      </c>
      <c r="H4239" t="s">
        <v>12</v>
      </c>
    </row>
    <row r="4240" spans="1:8" x14ac:dyDescent="0.25">
      <c r="A4240" s="1">
        <v>45669.583333333336</v>
      </c>
      <c r="B4240" t="s">
        <v>28</v>
      </c>
      <c r="C4240">
        <v>365.62</v>
      </c>
      <c r="D4240">
        <v>30.9</v>
      </c>
      <c r="E4240" t="s">
        <v>9</v>
      </c>
      <c r="F4240">
        <v>54.34</v>
      </c>
      <c r="G4240" t="s">
        <v>22</v>
      </c>
      <c r="H4240" t="s">
        <v>12</v>
      </c>
    </row>
    <row r="4241" spans="1:8" x14ac:dyDescent="0.25">
      <c r="A4241" s="1">
        <v>45669.625</v>
      </c>
      <c r="B4241" t="s">
        <v>28</v>
      </c>
      <c r="C4241">
        <v>194.98</v>
      </c>
      <c r="D4241">
        <v>40.33</v>
      </c>
      <c r="E4241" t="s">
        <v>9</v>
      </c>
      <c r="F4241">
        <v>62.03</v>
      </c>
      <c r="G4241" t="s">
        <v>22</v>
      </c>
      <c r="H4241" t="s">
        <v>13</v>
      </c>
    </row>
    <row r="4242" spans="1:8" x14ac:dyDescent="0.25">
      <c r="A4242" s="1">
        <v>45669.666666666664</v>
      </c>
      <c r="B4242" t="s">
        <v>28</v>
      </c>
      <c r="C4242">
        <v>67.14</v>
      </c>
      <c r="D4242">
        <v>85.08</v>
      </c>
      <c r="E4242" t="s">
        <v>14</v>
      </c>
      <c r="F4242">
        <v>47.81</v>
      </c>
      <c r="G4242" t="s">
        <v>22</v>
      </c>
      <c r="H4242" t="s">
        <v>13</v>
      </c>
    </row>
    <row r="4243" spans="1:8" x14ac:dyDescent="0.25">
      <c r="A4243" s="1">
        <v>45669.708333333336</v>
      </c>
      <c r="B4243" t="s">
        <v>28</v>
      </c>
      <c r="C4243">
        <v>331.32</v>
      </c>
      <c r="D4243">
        <v>87.24</v>
      </c>
      <c r="E4243" t="s">
        <v>14</v>
      </c>
      <c r="F4243">
        <v>84.44</v>
      </c>
      <c r="G4243" t="s">
        <v>22</v>
      </c>
      <c r="H4243" t="s">
        <v>11</v>
      </c>
    </row>
    <row r="4244" spans="1:8" x14ac:dyDescent="0.25">
      <c r="A4244" s="1">
        <v>45669.75</v>
      </c>
      <c r="B4244" t="s">
        <v>28</v>
      </c>
      <c r="C4244">
        <v>149.28</v>
      </c>
      <c r="D4244">
        <v>57.15</v>
      </c>
      <c r="E4244" t="s">
        <v>9</v>
      </c>
      <c r="F4244">
        <v>43.46</v>
      </c>
      <c r="G4244" t="s">
        <v>22</v>
      </c>
      <c r="H4244" t="s">
        <v>12</v>
      </c>
    </row>
    <row r="4245" spans="1:8" x14ac:dyDescent="0.25">
      <c r="A4245" s="1">
        <v>45669.791666666664</v>
      </c>
      <c r="B4245" t="s">
        <v>28</v>
      </c>
      <c r="C4245">
        <v>349.93</v>
      </c>
      <c r="D4245">
        <v>47.32</v>
      </c>
      <c r="E4245" t="s">
        <v>9</v>
      </c>
      <c r="F4245">
        <v>71.010000000000005</v>
      </c>
      <c r="G4245" t="s">
        <v>22</v>
      </c>
      <c r="H4245" t="s">
        <v>13</v>
      </c>
    </row>
    <row r="4246" spans="1:8" x14ac:dyDescent="0.25">
      <c r="A4246" s="1">
        <v>45669.833333333336</v>
      </c>
      <c r="B4246" t="s">
        <v>28</v>
      </c>
      <c r="C4246">
        <v>463.4</v>
      </c>
      <c r="D4246">
        <v>44.83</v>
      </c>
      <c r="E4246" t="s">
        <v>9</v>
      </c>
      <c r="F4246">
        <v>60.93</v>
      </c>
      <c r="G4246" t="s">
        <v>22</v>
      </c>
      <c r="H4246" t="s">
        <v>11</v>
      </c>
    </row>
    <row r="4247" spans="1:8" x14ac:dyDescent="0.25">
      <c r="A4247" s="1">
        <v>45669.875</v>
      </c>
      <c r="B4247" t="s">
        <v>28</v>
      </c>
      <c r="C4247">
        <v>243.86</v>
      </c>
      <c r="D4247">
        <v>89.19</v>
      </c>
      <c r="E4247" t="s">
        <v>14</v>
      </c>
      <c r="F4247">
        <v>50.14</v>
      </c>
      <c r="G4247" t="s">
        <v>22</v>
      </c>
      <c r="H4247" t="s">
        <v>11</v>
      </c>
    </row>
    <row r="4248" spans="1:8" x14ac:dyDescent="0.25">
      <c r="A4248" s="1">
        <v>45669.916666666664</v>
      </c>
      <c r="B4248" t="s">
        <v>28</v>
      </c>
      <c r="C4248">
        <v>354.9</v>
      </c>
      <c r="D4248">
        <v>22.33</v>
      </c>
      <c r="E4248" t="s">
        <v>9</v>
      </c>
      <c r="F4248">
        <v>58.45</v>
      </c>
      <c r="G4248" t="s">
        <v>22</v>
      </c>
      <c r="H4248" t="s">
        <v>12</v>
      </c>
    </row>
    <row r="4249" spans="1:8" x14ac:dyDescent="0.25">
      <c r="A4249" s="1">
        <v>45669.958333333336</v>
      </c>
      <c r="B4249" t="s">
        <v>28</v>
      </c>
      <c r="C4249">
        <v>453.51</v>
      </c>
      <c r="D4249">
        <v>84.61</v>
      </c>
      <c r="E4249" t="s">
        <v>9</v>
      </c>
      <c r="F4249">
        <v>60.66</v>
      </c>
      <c r="G4249" t="s">
        <v>22</v>
      </c>
      <c r="H4249" t="s">
        <v>12</v>
      </c>
    </row>
    <row r="4250" spans="1:8" x14ac:dyDescent="0.25">
      <c r="A4250" s="1">
        <v>45670</v>
      </c>
      <c r="B4250" t="s">
        <v>28</v>
      </c>
      <c r="C4250">
        <v>150.34</v>
      </c>
      <c r="D4250">
        <v>36.909999999999997</v>
      </c>
      <c r="E4250" t="s">
        <v>9</v>
      </c>
      <c r="F4250">
        <v>55.65</v>
      </c>
      <c r="G4250" t="s">
        <v>22</v>
      </c>
      <c r="H4250" t="s">
        <v>13</v>
      </c>
    </row>
    <row r="4251" spans="1:8" x14ac:dyDescent="0.25">
      <c r="A4251" s="1">
        <v>45670.041666666664</v>
      </c>
      <c r="B4251" t="s">
        <v>28</v>
      </c>
      <c r="C4251">
        <v>461.02</v>
      </c>
      <c r="D4251">
        <v>73.89</v>
      </c>
      <c r="E4251" t="s">
        <v>9</v>
      </c>
      <c r="F4251">
        <v>51.9</v>
      </c>
      <c r="G4251" t="s">
        <v>22</v>
      </c>
      <c r="H4251" t="s">
        <v>12</v>
      </c>
    </row>
    <row r="4252" spans="1:8" x14ac:dyDescent="0.25">
      <c r="A4252" s="1">
        <v>45670.083333333336</v>
      </c>
      <c r="B4252" t="s">
        <v>28</v>
      </c>
      <c r="C4252">
        <v>472.92</v>
      </c>
      <c r="D4252">
        <v>34.270000000000003</v>
      </c>
      <c r="E4252" t="s">
        <v>9</v>
      </c>
      <c r="F4252">
        <v>48.87</v>
      </c>
      <c r="G4252" t="s">
        <v>22</v>
      </c>
      <c r="H4252" t="s">
        <v>13</v>
      </c>
    </row>
    <row r="4253" spans="1:8" x14ac:dyDescent="0.25">
      <c r="A4253" s="1">
        <v>45670.125</v>
      </c>
      <c r="B4253" t="s">
        <v>28</v>
      </c>
      <c r="C4253">
        <v>392.73</v>
      </c>
      <c r="D4253">
        <v>54.61</v>
      </c>
      <c r="E4253" t="s">
        <v>9</v>
      </c>
      <c r="F4253">
        <v>82.93</v>
      </c>
      <c r="G4253" t="s">
        <v>22</v>
      </c>
      <c r="H4253" t="s">
        <v>13</v>
      </c>
    </row>
    <row r="4254" spans="1:8" x14ac:dyDescent="0.25">
      <c r="A4254" s="1">
        <v>45670.166666666664</v>
      </c>
      <c r="B4254" t="s">
        <v>28</v>
      </c>
      <c r="C4254">
        <v>483.05</v>
      </c>
      <c r="D4254">
        <v>15.21</v>
      </c>
      <c r="E4254" t="s">
        <v>9</v>
      </c>
      <c r="F4254">
        <v>83.44</v>
      </c>
      <c r="G4254" t="s">
        <v>22</v>
      </c>
      <c r="H4254" t="s">
        <v>12</v>
      </c>
    </row>
    <row r="4255" spans="1:8" x14ac:dyDescent="0.25">
      <c r="A4255" s="1">
        <v>45670.208333333336</v>
      </c>
      <c r="B4255" t="s">
        <v>28</v>
      </c>
      <c r="C4255">
        <v>230.39</v>
      </c>
      <c r="D4255">
        <v>81.45</v>
      </c>
      <c r="E4255" t="s">
        <v>9</v>
      </c>
      <c r="F4255">
        <v>70.3</v>
      </c>
      <c r="G4255" t="s">
        <v>22</v>
      </c>
      <c r="H4255" t="s">
        <v>12</v>
      </c>
    </row>
    <row r="4256" spans="1:8" x14ac:dyDescent="0.25">
      <c r="A4256" s="1">
        <v>45670.25</v>
      </c>
      <c r="B4256" t="s">
        <v>28</v>
      </c>
      <c r="C4256">
        <v>160.47999999999999</v>
      </c>
      <c r="D4256">
        <v>33.78</v>
      </c>
      <c r="E4256" t="s">
        <v>9</v>
      </c>
      <c r="F4256">
        <v>78.849999999999994</v>
      </c>
      <c r="G4256" t="s">
        <v>22</v>
      </c>
      <c r="H4256" t="s">
        <v>13</v>
      </c>
    </row>
    <row r="4257" spans="1:8" x14ac:dyDescent="0.25">
      <c r="A4257" s="1">
        <v>45670.291666666664</v>
      </c>
      <c r="B4257" t="s">
        <v>28</v>
      </c>
      <c r="C4257">
        <v>418.51</v>
      </c>
      <c r="D4257">
        <v>85.89</v>
      </c>
      <c r="E4257" t="s">
        <v>14</v>
      </c>
      <c r="F4257">
        <v>62.95</v>
      </c>
      <c r="G4257" t="s">
        <v>22</v>
      </c>
      <c r="H4257" t="s">
        <v>12</v>
      </c>
    </row>
    <row r="4258" spans="1:8" x14ac:dyDescent="0.25">
      <c r="A4258" s="1">
        <v>45670.333333333336</v>
      </c>
      <c r="B4258" t="s">
        <v>28</v>
      </c>
      <c r="C4258">
        <v>116.37</v>
      </c>
      <c r="D4258">
        <v>58.37</v>
      </c>
      <c r="E4258" t="s">
        <v>9</v>
      </c>
      <c r="F4258">
        <v>72.67</v>
      </c>
      <c r="G4258" t="s">
        <v>22</v>
      </c>
      <c r="H4258" t="s">
        <v>11</v>
      </c>
    </row>
    <row r="4259" spans="1:8" x14ac:dyDescent="0.25">
      <c r="A4259" s="1">
        <v>45670.375</v>
      </c>
      <c r="B4259" t="s">
        <v>28</v>
      </c>
      <c r="C4259">
        <v>471</v>
      </c>
      <c r="D4259">
        <v>77.56</v>
      </c>
      <c r="E4259" t="s">
        <v>9</v>
      </c>
      <c r="F4259">
        <v>69.17</v>
      </c>
      <c r="G4259" t="s">
        <v>22</v>
      </c>
      <c r="H4259" t="s">
        <v>12</v>
      </c>
    </row>
    <row r="4260" spans="1:8" x14ac:dyDescent="0.25">
      <c r="A4260" s="1">
        <v>45670.416666666664</v>
      </c>
      <c r="B4260" t="s">
        <v>28</v>
      </c>
      <c r="C4260">
        <v>349.63</v>
      </c>
      <c r="D4260">
        <v>28.65</v>
      </c>
      <c r="E4260" t="s">
        <v>9</v>
      </c>
      <c r="F4260">
        <v>57.47</v>
      </c>
      <c r="G4260" t="s">
        <v>22</v>
      </c>
      <c r="H4260" t="s">
        <v>11</v>
      </c>
    </row>
    <row r="4261" spans="1:8" x14ac:dyDescent="0.25">
      <c r="A4261" s="1">
        <v>45670.458333333336</v>
      </c>
      <c r="B4261" t="s">
        <v>28</v>
      </c>
      <c r="C4261">
        <v>381.54</v>
      </c>
      <c r="D4261">
        <v>15.35</v>
      </c>
      <c r="E4261" t="s">
        <v>9</v>
      </c>
      <c r="F4261">
        <v>59.78</v>
      </c>
      <c r="G4261" t="s">
        <v>22</v>
      </c>
      <c r="H4261" t="s">
        <v>11</v>
      </c>
    </row>
    <row r="4262" spans="1:8" x14ac:dyDescent="0.25">
      <c r="A4262" s="1">
        <v>45670.5</v>
      </c>
      <c r="B4262" t="s">
        <v>28</v>
      </c>
      <c r="C4262">
        <v>373.88</v>
      </c>
      <c r="D4262">
        <v>59.2</v>
      </c>
      <c r="E4262" t="s">
        <v>9</v>
      </c>
      <c r="F4262">
        <v>43.4</v>
      </c>
      <c r="G4262" t="s">
        <v>22</v>
      </c>
      <c r="H4262" t="s">
        <v>13</v>
      </c>
    </row>
    <row r="4263" spans="1:8" x14ac:dyDescent="0.25">
      <c r="A4263" s="1">
        <v>45670.541666666664</v>
      </c>
      <c r="B4263" t="s">
        <v>28</v>
      </c>
      <c r="C4263">
        <v>96.57</v>
      </c>
      <c r="D4263">
        <v>51.55</v>
      </c>
      <c r="E4263" t="s">
        <v>9</v>
      </c>
      <c r="F4263">
        <v>68.88</v>
      </c>
      <c r="G4263" t="s">
        <v>22</v>
      </c>
      <c r="H4263" t="s">
        <v>12</v>
      </c>
    </row>
    <row r="4264" spans="1:8" x14ac:dyDescent="0.25">
      <c r="A4264" s="1">
        <v>45670.583333333336</v>
      </c>
      <c r="B4264" t="s">
        <v>28</v>
      </c>
      <c r="C4264">
        <v>464.87</v>
      </c>
      <c r="D4264">
        <v>85.89</v>
      </c>
      <c r="E4264" t="s">
        <v>14</v>
      </c>
      <c r="F4264">
        <v>54.31</v>
      </c>
      <c r="G4264" t="s">
        <v>22</v>
      </c>
      <c r="H4264" t="s">
        <v>12</v>
      </c>
    </row>
    <row r="4265" spans="1:8" x14ac:dyDescent="0.25">
      <c r="A4265" s="1">
        <v>45670.625</v>
      </c>
      <c r="B4265" t="s">
        <v>28</v>
      </c>
      <c r="C4265">
        <v>185.76</v>
      </c>
      <c r="D4265">
        <v>68.02</v>
      </c>
      <c r="E4265" t="s">
        <v>9</v>
      </c>
      <c r="F4265">
        <v>86.68</v>
      </c>
      <c r="G4265" t="s">
        <v>22</v>
      </c>
      <c r="H4265" t="s">
        <v>11</v>
      </c>
    </row>
    <row r="4266" spans="1:8" x14ac:dyDescent="0.25">
      <c r="A4266" s="1">
        <v>45670.666666666664</v>
      </c>
      <c r="B4266" t="s">
        <v>28</v>
      </c>
      <c r="C4266">
        <v>312.89</v>
      </c>
      <c r="D4266">
        <v>65.34</v>
      </c>
      <c r="E4266" t="s">
        <v>9</v>
      </c>
      <c r="F4266">
        <v>73.040000000000006</v>
      </c>
      <c r="G4266" t="s">
        <v>22</v>
      </c>
      <c r="H4266" t="s">
        <v>13</v>
      </c>
    </row>
    <row r="4267" spans="1:8" x14ac:dyDescent="0.25">
      <c r="A4267" s="1">
        <v>45670.708333333336</v>
      </c>
      <c r="B4267" t="s">
        <v>28</v>
      </c>
      <c r="C4267">
        <v>426.17</v>
      </c>
      <c r="D4267">
        <v>81.19</v>
      </c>
      <c r="E4267" t="s">
        <v>9</v>
      </c>
      <c r="F4267">
        <v>39.47</v>
      </c>
      <c r="G4267" t="s">
        <v>22</v>
      </c>
      <c r="H4267" t="s">
        <v>12</v>
      </c>
    </row>
    <row r="4268" spans="1:8" x14ac:dyDescent="0.25">
      <c r="A4268" s="1">
        <v>45670.75</v>
      </c>
      <c r="B4268" t="s">
        <v>28</v>
      </c>
      <c r="C4268">
        <v>83.89</v>
      </c>
      <c r="D4268">
        <v>65.91</v>
      </c>
      <c r="E4268" t="s">
        <v>9</v>
      </c>
      <c r="F4268">
        <v>78.92</v>
      </c>
      <c r="G4268" t="s">
        <v>22</v>
      </c>
      <c r="H4268" t="s">
        <v>12</v>
      </c>
    </row>
    <row r="4269" spans="1:8" x14ac:dyDescent="0.25">
      <c r="A4269" s="1">
        <v>45670.791666666664</v>
      </c>
      <c r="B4269" t="s">
        <v>28</v>
      </c>
      <c r="C4269">
        <v>496.88</v>
      </c>
      <c r="D4269">
        <v>76.41</v>
      </c>
      <c r="E4269" t="s">
        <v>9</v>
      </c>
      <c r="F4269">
        <v>61.04</v>
      </c>
      <c r="G4269" t="s">
        <v>22</v>
      </c>
      <c r="H4269" t="s">
        <v>13</v>
      </c>
    </row>
    <row r="4270" spans="1:8" x14ac:dyDescent="0.25">
      <c r="A4270" s="1">
        <v>45670.833333333336</v>
      </c>
      <c r="B4270" t="s">
        <v>28</v>
      </c>
      <c r="C4270">
        <v>172.3</v>
      </c>
      <c r="D4270">
        <v>94.44</v>
      </c>
      <c r="E4270" t="s">
        <v>14</v>
      </c>
      <c r="F4270">
        <v>40.99</v>
      </c>
      <c r="G4270" t="s">
        <v>22</v>
      </c>
      <c r="H4270" t="s">
        <v>11</v>
      </c>
    </row>
    <row r="4271" spans="1:8" x14ac:dyDescent="0.25">
      <c r="A4271" s="1">
        <v>45670.875</v>
      </c>
      <c r="B4271" t="s">
        <v>28</v>
      </c>
      <c r="C4271">
        <v>270.70999999999998</v>
      </c>
      <c r="D4271">
        <v>81.72</v>
      </c>
      <c r="E4271" t="s">
        <v>9</v>
      </c>
      <c r="F4271">
        <v>78.819999999999993</v>
      </c>
      <c r="G4271" t="s">
        <v>22</v>
      </c>
      <c r="H4271" t="s">
        <v>13</v>
      </c>
    </row>
    <row r="4272" spans="1:8" x14ac:dyDescent="0.25">
      <c r="A4272" s="1">
        <v>45670.916666666664</v>
      </c>
      <c r="B4272" t="s">
        <v>28</v>
      </c>
      <c r="C4272">
        <v>333.08</v>
      </c>
      <c r="D4272">
        <v>56.12</v>
      </c>
      <c r="E4272" t="s">
        <v>9</v>
      </c>
      <c r="F4272">
        <v>88.24</v>
      </c>
      <c r="G4272" t="s">
        <v>22</v>
      </c>
      <c r="H4272" t="s">
        <v>11</v>
      </c>
    </row>
    <row r="4273" spans="1:8" x14ac:dyDescent="0.25">
      <c r="A4273" s="1">
        <v>45670.958333333336</v>
      </c>
      <c r="B4273" t="s">
        <v>28</v>
      </c>
      <c r="C4273">
        <v>115.08</v>
      </c>
      <c r="D4273">
        <v>46.17</v>
      </c>
      <c r="E4273" t="s">
        <v>9</v>
      </c>
      <c r="F4273">
        <v>36.15</v>
      </c>
      <c r="G4273" t="s">
        <v>22</v>
      </c>
      <c r="H4273" t="s">
        <v>12</v>
      </c>
    </row>
    <row r="4274" spans="1:8" x14ac:dyDescent="0.25">
      <c r="A4274" s="1">
        <v>45671</v>
      </c>
      <c r="B4274" t="s">
        <v>28</v>
      </c>
      <c r="C4274">
        <v>434.63</v>
      </c>
      <c r="D4274">
        <v>26.13</v>
      </c>
      <c r="E4274" t="s">
        <v>9</v>
      </c>
      <c r="F4274">
        <v>86.76</v>
      </c>
      <c r="G4274" t="s">
        <v>22</v>
      </c>
      <c r="H4274" t="s">
        <v>12</v>
      </c>
    </row>
    <row r="4275" spans="1:8" x14ac:dyDescent="0.25">
      <c r="A4275" s="1">
        <v>45671.041666666664</v>
      </c>
      <c r="B4275" t="s">
        <v>28</v>
      </c>
      <c r="C4275">
        <v>455.53</v>
      </c>
      <c r="D4275">
        <v>92.66</v>
      </c>
      <c r="E4275" t="s">
        <v>14</v>
      </c>
      <c r="F4275">
        <v>84.57</v>
      </c>
      <c r="G4275" t="s">
        <v>22</v>
      </c>
      <c r="H4275" t="s">
        <v>12</v>
      </c>
    </row>
    <row r="4276" spans="1:8" x14ac:dyDescent="0.25">
      <c r="A4276" s="1">
        <v>45671.083333333336</v>
      </c>
      <c r="B4276" t="s">
        <v>28</v>
      </c>
      <c r="C4276">
        <v>267.29000000000002</v>
      </c>
      <c r="D4276">
        <v>64.78</v>
      </c>
      <c r="E4276" t="s">
        <v>9</v>
      </c>
      <c r="F4276">
        <v>60.26</v>
      </c>
      <c r="G4276" t="s">
        <v>22</v>
      </c>
      <c r="H4276" t="s">
        <v>12</v>
      </c>
    </row>
    <row r="4277" spans="1:8" x14ac:dyDescent="0.25">
      <c r="A4277" s="1">
        <v>45671.125</v>
      </c>
      <c r="B4277" t="s">
        <v>28</v>
      </c>
      <c r="C4277">
        <v>361.45</v>
      </c>
      <c r="D4277">
        <v>34.36</v>
      </c>
      <c r="E4277" t="s">
        <v>9</v>
      </c>
      <c r="F4277">
        <v>84.58</v>
      </c>
      <c r="G4277" t="s">
        <v>22</v>
      </c>
      <c r="H4277" t="s">
        <v>13</v>
      </c>
    </row>
    <row r="4278" spans="1:8" x14ac:dyDescent="0.25">
      <c r="A4278" s="1">
        <v>45671.166666666664</v>
      </c>
      <c r="B4278" t="s">
        <v>28</v>
      </c>
      <c r="C4278">
        <v>238.83</v>
      </c>
      <c r="D4278">
        <v>25.45</v>
      </c>
      <c r="E4278" t="s">
        <v>9</v>
      </c>
      <c r="F4278">
        <v>73.39</v>
      </c>
      <c r="G4278" t="s">
        <v>22</v>
      </c>
      <c r="H4278" t="s">
        <v>11</v>
      </c>
    </row>
    <row r="4279" spans="1:8" x14ac:dyDescent="0.25">
      <c r="A4279" s="1">
        <v>45671.208333333336</v>
      </c>
      <c r="B4279" t="s">
        <v>28</v>
      </c>
      <c r="C4279">
        <v>178.75</v>
      </c>
      <c r="D4279">
        <v>34.97</v>
      </c>
      <c r="E4279" t="s">
        <v>9</v>
      </c>
      <c r="F4279">
        <v>85.22</v>
      </c>
      <c r="G4279" t="s">
        <v>22</v>
      </c>
      <c r="H4279" t="s">
        <v>11</v>
      </c>
    </row>
    <row r="4280" spans="1:8" x14ac:dyDescent="0.25">
      <c r="A4280" s="1">
        <v>45671.25</v>
      </c>
      <c r="B4280" t="s">
        <v>28</v>
      </c>
      <c r="C4280">
        <v>191.74</v>
      </c>
      <c r="D4280">
        <v>39.520000000000003</v>
      </c>
      <c r="E4280" t="s">
        <v>9</v>
      </c>
      <c r="F4280">
        <v>30.52</v>
      </c>
      <c r="G4280" t="s">
        <v>22</v>
      </c>
      <c r="H4280" t="s">
        <v>13</v>
      </c>
    </row>
    <row r="4281" spans="1:8" x14ac:dyDescent="0.25">
      <c r="A4281" s="1">
        <v>45671.291666666664</v>
      </c>
      <c r="B4281" t="s">
        <v>28</v>
      </c>
      <c r="C4281">
        <v>85.33</v>
      </c>
      <c r="D4281">
        <v>80.83</v>
      </c>
      <c r="E4281" t="s">
        <v>9</v>
      </c>
      <c r="F4281">
        <v>62.85</v>
      </c>
      <c r="G4281" t="s">
        <v>22</v>
      </c>
      <c r="H4281" t="s">
        <v>13</v>
      </c>
    </row>
    <row r="4282" spans="1:8" x14ac:dyDescent="0.25">
      <c r="A4282" s="1">
        <v>45671.333333333336</v>
      </c>
      <c r="B4282" t="s">
        <v>28</v>
      </c>
      <c r="C4282">
        <v>157.56</v>
      </c>
      <c r="D4282">
        <v>62.82</v>
      </c>
      <c r="E4282" t="s">
        <v>9</v>
      </c>
      <c r="F4282">
        <v>68.84</v>
      </c>
      <c r="G4282" t="s">
        <v>22</v>
      </c>
      <c r="H4282" t="s">
        <v>13</v>
      </c>
    </row>
    <row r="4283" spans="1:8" x14ac:dyDescent="0.25">
      <c r="A4283" s="1">
        <v>45671.375</v>
      </c>
      <c r="B4283" t="s">
        <v>28</v>
      </c>
      <c r="C4283">
        <v>393.22</v>
      </c>
      <c r="D4283">
        <v>16.7</v>
      </c>
      <c r="E4283" t="s">
        <v>9</v>
      </c>
      <c r="F4283">
        <v>57.32</v>
      </c>
      <c r="G4283" t="s">
        <v>22</v>
      </c>
      <c r="H4283" t="s">
        <v>12</v>
      </c>
    </row>
    <row r="4284" spans="1:8" x14ac:dyDescent="0.25">
      <c r="A4284" s="1">
        <v>45671.416666666664</v>
      </c>
      <c r="B4284" t="s">
        <v>28</v>
      </c>
      <c r="C4284">
        <v>223.47</v>
      </c>
      <c r="D4284">
        <v>41.97</v>
      </c>
      <c r="E4284" t="s">
        <v>9</v>
      </c>
      <c r="F4284">
        <v>65.52</v>
      </c>
      <c r="G4284" t="s">
        <v>22</v>
      </c>
      <c r="H4284" t="s">
        <v>12</v>
      </c>
    </row>
    <row r="4285" spans="1:8" x14ac:dyDescent="0.25">
      <c r="A4285" s="1">
        <v>45671.458333333336</v>
      </c>
      <c r="B4285" t="s">
        <v>28</v>
      </c>
      <c r="C4285">
        <v>242.94</v>
      </c>
      <c r="D4285">
        <v>76.569999999999993</v>
      </c>
      <c r="E4285" t="s">
        <v>9</v>
      </c>
      <c r="F4285">
        <v>58.87</v>
      </c>
      <c r="G4285" t="s">
        <v>22</v>
      </c>
      <c r="H4285" t="s">
        <v>13</v>
      </c>
    </row>
    <row r="4286" spans="1:8" x14ac:dyDescent="0.25">
      <c r="A4286" s="1">
        <v>45671.5</v>
      </c>
      <c r="B4286" t="s">
        <v>28</v>
      </c>
      <c r="C4286">
        <v>455.74</v>
      </c>
      <c r="D4286">
        <v>19.71</v>
      </c>
      <c r="E4286" t="s">
        <v>9</v>
      </c>
      <c r="F4286">
        <v>84.1</v>
      </c>
      <c r="G4286" t="s">
        <v>22</v>
      </c>
      <c r="H4286" t="s">
        <v>11</v>
      </c>
    </row>
    <row r="4287" spans="1:8" x14ac:dyDescent="0.25">
      <c r="A4287" s="1">
        <v>45671.541666666664</v>
      </c>
      <c r="B4287" t="s">
        <v>28</v>
      </c>
      <c r="C4287">
        <v>83.64</v>
      </c>
      <c r="D4287">
        <v>17.489999999999998</v>
      </c>
      <c r="E4287" t="s">
        <v>9</v>
      </c>
      <c r="F4287">
        <v>39.39</v>
      </c>
      <c r="G4287" t="s">
        <v>22</v>
      </c>
      <c r="H4287" t="s">
        <v>12</v>
      </c>
    </row>
    <row r="4288" spans="1:8" x14ac:dyDescent="0.25">
      <c r="A4288" s="1">
        <v>45671.583333333336</v>
      </c>
      <c r="B4288" t="s">
        <v>28</v>
      </c>
      <c r="C4288">
        <v>165.07</v>
      </c>
      <c r="D4288">
        <v>75.849999999999994</v>
      </c>
      <c r="E4288" t="s">
        <v>9</v>
      </c>
      <c r="F4288">
        <v>72.63</v>
      </c>
      <c r="G4288" t="s">
        <v>22</v>
      </c>
      <c r="H4288" t="s">
        <v>11</v>
      </c>
    </row>
    <row r="4289" spans="1:8" x14ac:dyDescent="0.25">
      <c r="A4289" s="1">
        <v>45671.625</v>
      </c>
      <c r="B4289" t="s">
        <v>28</v>
      </c>
      <c r="C4289">
        <v>265.76</v>
      </c>
      <c r="D4289">
        <v>53.01</v>
      </c>
      <c r="E4289" t="s">
        <v>9</v>
      </c>
      <c r="F4289">
        <v>48.28</v>
      </c>
      <c r="G4289" t="s">
        <v>22</v>
      </c>
      <c r="H4289" t="s">
        <v>11</v>
      </c>
    </row>
    <row r="4290" spans="1:8" x14ac:dyDescent="0.25">
      <c r="A4290" s="1">
        <v>45671.666666666664</v>
      </c>
      <c r="B4290" t="s">
        <v>28</v>
      </c>
      <c r="C4290">
        <v>372.46</v>
      </c>
      <c r="D4290">
        <v>92.8</v>
      </c>
      <c r="E4290" t="s">
        <v>14</v>
      </c>
      <c r="F4290">
        <v>33.03</v>
      </c>
      <c r="G4290" t="s">
        <v>22</v>
      </c>
      <c r="H4290" t="s">
        <v>11</v>
      </c>
    </row>
    <row r="4291" spans="1:8" x14ac:dyDescent="0.25">
      <c r="A4291" s="1">
        <v>45671.708333333336</v>
      </c>
      <c r="B4291" t="s">
        <v>28</v>
      </c>
      <c r="C4291">
        <v>150.24</v>
      </c>
      <c r="D4291">
        <v>82.54</v>
      </c>
      <c r="E4291" t="s">
        <v>9</v>
      </c>
      <c r="F4291">
        <v>79.09</v>
      </c>
      <c r="G4291" t="s">
        <v>22</v>
      </c>
      <c r="H4291" t="s">
        <v>12</v>
      </c>
    </row>
    <row r="4292" spans="1:8" x14ac:dyDescent="0.25">
      <c r="A4292" s="1">
        <v>45671.75</v>
      </c>
      <c r="B4292" t="s">
        <v>28</v>
      </c>
      <c r="C4292">
        <v>210.85</v>
      </c>
      <c r="D4292">
        <v>81.66</v>
      </c>
      <c r="E4292" t="s">
        <v>9</v>
      </c>
      <c r="F4292">
        <v>37.71</v>
      </c>
      <c r="G4292" t="s">
        <v>22</v>
      </c>
      <c r="H4292" t="s">
        <v>11</v>
      </c>
    </row>
    <row r="4293" spans="1:8" x14ac:dyDescent="0.25">
      <c r="A4293" s="1">
        <v>45671.791666666664</v>
      </c>
      <c r="B4293" t="s">
        <v>28</v>
      </c>
      <c r="C4293">
        <v>189.06</v>
      </c>
      <c r="D4293">
        <v>82.36</v>
      </c>
      <c r="E4293" t="s">
        <v>9</v>
      </c>
      <c r="F4293">
        <v>43.04</v>
      </c>
      <c r="G4293" t="s">
        <v>22</v>
      </c>
      <c r="H4293" t="s">
        <v>12</v>
      </c>
    </row>
    <row r="4294" spans="1:8" x14ac:dyDescent="0.25">
      <c r="A4294" s="1">
        <v>45671.833333333336</v>
      </c>
      <c r="B4294" t="s">
        <v>28</v>
      </c>
      <c r="C4294">
        <v>399.79</v>
      </c>
      <c r="D4294">
        <v>41.76</v>
      </c>
      <c r="E4294" t="s">
        <v>9</v>
      </c>
      <c r="F4294">
        <v>69.680000000000007</v>
      </c>
      <c r="G4294" t="s">
        <v>22</v>
      </c>
      <c r="H4294" t="s">
        <v>11</v>
      </c>
    </row>
    <row r="4295" spans="1:8" x14ac:dyDescent="0.25">
      <c r="A4295" s="1">
        <v>45671.875</v>
      </c>
      <c r="B4295" t="s">
        <v>28</v>
      </c>
      <c r="C4295">
        <v>141.66999999999999</v>
      </c>
      <c r="D4295">
        <v>75.81</v>
      </c>
      <c r="E4295" t="s">
        <v>9</v>
      </c>
      <c r="F4295">
        <v>44.48</v>
      </c>
      <c r="G4295" t="s">
        <v>22</v>
      </c>
      <c r="H4295" t="s">
        <v>11</v>
      </c>
    </row>
    <row r="4296" spans="1:8" x14ac:dyDescent="0.25">
      <c r="A4296" s="1">
        <v>45671.916666666664</v>
      </c>
      <c r="B4296" t="s">
        <v>28</v>
      </c>
      <c r="C4296">
        <v>310.31</v>
      </c>
      <c r="D4296">
        <v>93.88</v>
      </c>
      <c r="E4296" t="s">
        <v>14</v>
      </c>
      <c r="F4296">
        <v>89.99</v>
      </c>
      <c r="G4296" t="s">
        <v>22</v>
      </c>
      <c r="H4296" t="s">
        <v>13</v>
      </c>
    </row>
    <row r="4297" spans="1:8" x14ac:dyDescent="0.25">
      <c r="A4297" s="1">
        <v>45671.958333333336</v>
      </c>
      <c r="B4297" t="s">
        <v>28</v>
      </c>
      <c r="C4297">
        <v>391.99</v>
      </c>
      <c r="D4297">
        <v>45.3</v>
      </c>
      <c r="E4297" t="s">
        <v>9</v>
      </c>
      <c r="F4297">
        <v>75.2</v>
      </c>
      <c r="G4297" t="s">
        <v>22</v>
      </c>
      <c r="H4297" t="s">
        <v>12</v>
      </c>
    </row>
    <row r="4298" spans="1:8" x14ac:dyDescent="0.25">
      <c r="A4298" s="1">
        <v>45672</v>
      </c>
      <c r="B4298" t="s">
        <v>28</v>
      </c>
      <c r="C4298">
        <v>59</v>
      </c>
      <c r="D4298">
        <v>18.52</v>
      </c>
      <c r="E4298" t="s">
        <v>9</v>
      </c>
      <c r="F4298">
        <v>85.1</v>
      </c>
      <c r="G4298" t="s">
        <v>22</v>
      </c>
      <c r="H4298" t="s">
        <v>13</v>
      </c>
    </row>
    <row r="4299" spans="1:8" x14ac:dyDescent="0.25">
      <c r="A4299" s="1">
        <v>45672.041666666664</v>
      </c>
      <c r="B4299" t="s">
        <v>28</v>
      </c>
      <c r="C4299">
        <v>301.04000000000002</v>
      </c>
      <c r="D4299">
        <v>51.78</v>
      </c>
      <c r="E4299" t="s">
        <v>9</v>
      </c>
      <c r="F4299">
        <v>64.55</v>
      </c>
      <c r="G4299" t="s">
        <v>22</v>
      </c>
      <c r="H4299" t="s">
        <v>12</v>
      </c>
    </row>
    <row r="4300" spans="1:8" x14ac:dyDescent="0.25">
      <c r="A4300" s="1">
        <v>45672.083333333336</v>
      </c>
      <c r="B4300" t="s">
        <v>28</v>
      </c>
      <c r="C4300">
        <v>298.48</v>
      </c>
      <c r="D4300">
        <v>82.54</v>
      </c>
      <c r="E4300" t="s">
        <v>9</v>
      </c>
      <c r="F4300">
        <v>49.19</v>
      </c>
      <c r="G4300" t="s">
        <v>22</v>
      </c>
      <c r="H4300" t="s">
        <v>11</v>
      </c>
    </row>
    <row r="4301" spans="1:8" x14ac:dyDescent="0.25">
      <c r="A4301" s="1">
        <v>45672.125</v>
      </c>
      <c r="B4301" t="s">
        <v>28</v>
      </c>
      <c r="C4301">
        <v>261.69</v>
      </c>
      <c r="D4301">
        <v>36.57</v>
      </c>
      <c r="E4301" t="s">
        <v>9</v>
      </c>
      <c r="F4301">
        <v>52.79</v>
      </c>
      <c r="G4301" t="s">
        <v>22</v>
      </c>
      <c r="H4301" t="s">
        <v>11</v>
      </c>
    </row>
    <row r="4302" spans="1:8" x14ac:dyDescent="0.25">
      <c r="A4302" s="1">
        <v>45672.166666666664</v>
      </c>
      <c r="B4302" t="s">
        <v>28</v>
      </c>
      <c r="C4302">
        <v>311.08</v>
      </c>
      <c r="D4302">
        <v>65.55</v>
      </c>
      <c r="E4302" t="s">
        <v>9</v>
      </c>
      <c r="F4302">
        <v>51.11</v>
      </c>
      <c r="G4302" t="s">
        <v>22</v>
      </c>
      <c r="H4302" t="s">
        <v>12</v>
      </c>
    </row>
    <row r="4303" spans="1:8" x14ac:dyDescent="0.25">
      <c r="A4303" s="1">
        <v>45672.208333333336</v>
      </c>
      <c r="B4303" t="s">
        <v>28</v>
      </c>
      <c r="C4303">
        <v>325.23</v>
      </c>
      <c r="D4303">
        <v>24.76</v>
      </c>
      <c r="E4303" t="s">
        <v>9</v>
      </c>
      <c r="F4303">
        <v>45.18</v>
      </c>
      <c r="G4303" t="s">
        <v>22</v>
      </c>
      <c r="H4303" t="s">
        <v>11</v>
      </c>
    </row>
    <row r="4304" spans="1:8" x14ac:dyDescent="0.25">
      <c r="A4304" s="1">
        <v>45672.25</v>
      </c>
      <c r="B4304" t="s">
        <v>28</v>
      </c>
      <c r="C4304">
        <v>82.67</v>
      </c>
      <c r="D4304">
        <v>33.71</v>
      </c>
      <c r="E4304" t="s">
        <v>9</v>
      </c>
      <c r="F4304">
        <v>31.17</v>
      </c>
      <c r="G4304" t="s">
        <v>22</v>
      </c>
      <c r="H4304" t="s">
        <v>11</v>
      </c>
    </row>
    <row r="4305" spans="1:8" x14ac:dyDescent="0.25">
      <c r="A4305" s="1">
        <v>45672.291666666664</v>
      </c>
      <c r="B4305" t="s">
        <v>28</v>
      </c>
      <c r="C4305">
        <v>344.74</v>
      </c>
      <c r="D4305">
        <v>18.95</v>
      </c>
      <c r="E4305" t="s">
        <v>9</v>
      </c>
      <c r="F4305">
        <v>56.2</v>
      </c>
      <c r="G4305" t="s">
        <v>22</v>
      </c>
      <c r="H4305" t="s">
        <v>12</v>
      </c>
    </row>
    <row r="4306" spans="1:8" x14ac:dyDescent="0.25">
      <c r="A4306" s="1">
        <v>45672.333333333336</v>
      </c>
      <c r="B4306" t="s">
        <v>28</v>
      </c>
      <c r="C4306">
        <v>408.73</v>
      </c>
      <c r="D4306">
        <v>90.09</v>
      </c>
      <c r="E4306" t="s">
        <v>14</v>
      </c>
      <c r="F4306">
        <v>66.239999999999995</v>
      </c>
      <c r="G4306" t="s">
        <v>22</v>
      </c>
      <c r="H4306" t="s">
        <v>11</v>
      </c>
    </row>
    <row r="4307" spans="1:8" x14ac:dyDescent="0.25">
      <c r="A4307" s="1">
        <v>45672.375</v>
      </c>
      <c r="B4307" t="s">
        <v>28</v>
      </c>
      <c r="C4307">
        <v>198.34</v>
      </c>
      <c r="D4307">
        <v>19.87</v>
      </c>
      <c r="E4307" t="s">
        <v>9</v>
      </c>
      <c r="F4307">
        <v>89.64</v>
      </c>
      <c r="G4307" t="s">
        <v>22</v>
      </c>
      <c r="H4307" t="s">
        <v>12</v>
      </c>
    </row>
    <row r="4308" spans="1:8" x14ac:dyDescent="0.25">
      <c r="A4308" s="1">
        <v>45672.416666666664</v>
      </c>
      <c r="B4308" t="s">
        <v>28</v>
      </c>
      <c r="C4308">
        <v>458.67</v>
      </c>
      <c r="D4308">
        <v>60.6</v>
      </c>
      <c r="E4308" t="s">
        <v>9</v>
      </c>
      <c r="F4308">
        <v>34.18</v>
      </c>
      <c r="G4308" t="s">
        <v>22</v>
      </c>
      <c r="H4308" t="s">
        <v>13</v>
      </c>
    </row>
    <row r="4309" spans="1:8" x14ac:dyDescent="0.25">
      <c r="A4309" s="1">
        <v>45672.458333333336</v>
      </c>
      <c r="B4309" t="s">
        <v>28</v>
      </c>
      <c r="C4309">
        <v>137.52000000000001</v>
      </c>
      <c r="D4309">
        <v>30.2</v>
      </c>
      <c r="E4309" t="s">
        <v>9</v>
      </c>
      <c r="F4309">
        <v>58.17</v>
      </c>
      <c r="G4309" t="s">
        <v>22</v>
      </c>
      <c r="H4309" t="s">
        <v>12</v>
      </c>
    </row>
    <row r="4310" spans="1:8" x14ac:dyDescent="0.25">
      <c r="A4310" s="1">
        <v>45672.5</v>
      </c>
      <c r="B4310" t="s">
        <v>28</v>
      </c>
      <c r="C4310">
        <v>398.8</v>
      </c>
      <c r="D4310">
        <v>75.2</v>
      </c>
      <c r="E4310" t="s">
        <v>9</v>
      </c>
      <c r="F4310">
        <v>66.260000000000005</v>
      </c>
      <c r="G4310" t="s">
        <v>22</v>
      </c>
      <c r="H4310" t="s">
        <v>12</v>
      </c>
    </row>
    <row r="4311" spans="1:8" x14ac:dyDescent="0.25">
      <c r="A4311" s="1">
        <v>45672.541666666664</v>
      </c>
      <c r="B4311" t="s">
        <v>28</v>
      </c>
      <c r="C4311">
        <v>265.2</v>
      </c>
      <c r="D4311">
        <v>65.66</v>
      </c>
      <c r="E4311" t="s">
        <v>9</v>
      </c>
      <c r="F4311">
        <v>71.209999999999994</v>
      </c>
      <c r="G4311" t="s">
        <v>22</v>
      </c>
      <c r="H4311" t="s">
        <v>12</v>
      </c>
    </row>
    <row r="4312" spans="1:8" x14ac:dyDescent="0.25">
      <c r="A4312" s="1">
        <v>45672.583333333336</v>
      </c>
      <c r="B4312" t="s">
        <v>28</v>
      </c>
      <c r="C4312">
        <v>453.94</v>
      </c>
      <c r="D4312">
        <v>51.08</v>
      </c>
      <c r="E4312" t="s">
        <v>9</v>
      </c>
      <c r="F4312">
        <v>67.58</v>
      </c>
      <c r="G4312" t="s">
        <v>22</v>
      </c>
      <c r="H4312" t="s">
        <v>11</v>
      </c>
    </row>
    <row r="4313" spans="1:8" x14ac:dyDescent="0.25">
      <c r="A4313" s="1">
        <v>45672.625</v>
      </c>
      <c r="B4313" t="s">
        <v>28</v>
      </c>
      <c r="C4313">
        <v>253.13</v>
      </c>
      <c r="D4313">
        <v>59.41</v>
      </c>
      <c r="E4313" t="s">
        <v>9</v>
      </c>
      <c r="F4313">
        <v>65.06</v>
      </c>
      <c r="G4313" t="s">
        <v>22</v>
      </c>
      <c r="H4313" t="s">
        <v>13</v>
      </c>
    </row>
    <row r="4314" spans="1:8" x14ac:dyDescent="0.25">
      <c r="A4314" s="1">
        <v>45672.666666666664</v>
      </c>
      <c r="B4314" t="s">
        <v>28</v>
      </c>
      <c r="C4314">
        <v>290.86</v>
      </c>
      <c r="D4314">
        <v>87.93</v>
      </c>
      <c r="E4314" t="s">
        <v>14</v>
      </c>
      <c r="F4314">
        <v>30.94</v>
      </c>
      <c r="G4314" t="s">
        <v>22</v>
      </c>
      <c r="H4314" t="s">
        <v>13</v>
      </c>
    </row>
    <row r="4315" spans="1:8" x14ac:dyDescent="0.25">
      <c r="A4315" s="1">
        <v>45672.708333333336</v>
      </c>
      <c r="B4315" t="s">
        <v>28</v>
      </c>
      <c r="C4315">
        <v>83.14</v>
      </c>
      <c r="D4315">
        <v>14.52</v>
      </c>
      <c r="E4315" t="s">
        <v>9</v>
      </c>
      <c r="F4315">
        <v>39.04</v>
      </c>
      <c r="G4315" t="s">
        <v>22</v>
      </c>
      <c r="H4315" t="s">
        <v>12</v>
      </c>
    </row>
    <row r="4316" spans="1:8" x14ac:dyDescent="0.25">
      <c r="A4316" s="1">
        <v>45672.75</v>
      </c>
      <c r="B4316" t="s">
        <v>28</v>
      </c>
      <c r="C4316">
        <v>328.01</v>
      </c>
      <c r="D4316">
        <v>25.14</v>
      </c>
      <c r="E4316" t="s">
        <v>9</v>
      </c>
      <c r="F4316">
        <v>32.24</v>
      </c>
      <c r="G4316" t="s">
        <v>22</v>
      </c>
      <c r="H4316" t="s">
        <v>13</v>
      </c>
    </row>
    <row r="4317" spans="1:8" x14ac:dyDescent="0.25">
      <c r="A4317" s="1">
        <v>45672.791666666664</v>
      </c>
      <c r="B4317" t="s">
        <v>28</v>
      </c>
      <c r="C4317">
        <v>155.44999999999999</v>
      </c>
      <c r="D4317">
        <v>55.65</v>
      </c>
      <c r="E4317" t="s">
        <v>9</v>
      </c>
      <c r="F4317">
        <v>77.849999999999994</v>
      </c>
      <c r="G4317" t="s">
        <v>22</v>
      </c>
      <c r="H4317" t="s">
        <v>12</v>
      </c>
    </row>
    <row r="4318" spans="1:8" x14ac:dyDescent="0.25">
      <c r="A4318" s="1">
        <v>45672.833333333336</v>
      </c>
      <c r="B4318" t="s">
        <v>28</v>
      </c>
      <c r="C4318">
        <v>268.82</v>
      </c>
      <c r="D4318">
        <v>36.369999999999997</v>
      </c>
      <c r="E4318" t="s">
        <v>9</v>
      </c>
      <c r="F4318">
        <v>53.87</v>
      </c>
      <c r="G4318" t="s">
        <v>22</v>
      </c>
      <c r="H4318" t="s">
        <v>12</v>
      </c>
    </row>
    <row r="4319" spans="1:8" x14ac:dyDescent="0.25">
      <c r="A4319" s="1">
        <v>45672.875</v>
      </c>
      <c r="B4319" t="s">
        <v>28</v>
      </c>
      <c r="C4319">
        <v>145.47999999999999</v>
      </c>
      <c r="D4319">
        <v>73.81</v>
      </c>
      <c r="E4319" t="s">
        <v>9</v>
      </c>
      <c r="F4319">
        <v>86.9</v>
      </c>
      <c r="G4319" t="s">
        <v>22</v>
      </c>
      <c r="H4319" t="s">
        <v>13</v>
      </c>
    </row>
    <row r="4320" spans="1:8" x14ac:dyDescent="0.25">
      <c r="A4320" s="1">
        <v>45672.916666666664</v>
      </c>
      <c r="B4320" t="s">
        <v>28</v>
      </c>
      <c r="C4320">
        <v>169.8</v>
      </c>
      <c r="D4320">
        <v>41.22</v>
      </c>
      <c r="E4320" t="s">
        <v>9</v>
      </c>
      <c r="F4320">
        <v>49.75</v>
      </c>
      <c r="G4320" t="s">
        <v>22</v>
      </c>
      <c r="H4320" t="s">
        <v>12</v>
      </c>
    </row>
    <row r="4321" spans="1:8" x14ac:dyDescent="0.25">
      <c r="A4321" s="1">
        <v>45672.958333333336</v>
      </c>
      <c r="B4321" t="s">
        <v>28</v>
      </c>
      <c r="C4321">
        <v>129.24</v>
      </c>
      <c r="D4321">
        <v>92.75</v>
      </c>
      <c r="E4321" t="s">
        <v>14</v>
      </c>
      <c r="F4321">
        <v>66.92</v>
      </c>
      <c r="G4321" t="s">
        <v>22</v>
      </c>
      <c r="H4321" t="s">
        <v>12</v>
      </c>
    </row>
    <row r="4322" spans="1:8" x14ac:dyDescent="0.25">
      <c r="A4322" s="1">
        <v>45658</v>
      </c>
      <c r="B4322" t="s">
        <v>29</v>
      </c>
      <c r="C4322">
        <v>452.71</v>
      </c>
      <c r="D4322">
        <v>29.01</v>
      </c>
      <c r="E4322" t="s">
        <v>9</v>
      </c>
      <c r="F4322">
        <v>32.35</v>
      </c>
      <c r="G4322" t="s">
        <v>20</v>
      </c>
      <c r="H4322" t="s">
        <v>12</v>
      </c>
    </row>
    <row r="4323" spans="1:8" x14ac:dyDescent="0.25">
      <c r="A4323" s="1">
        <v>45658.041666666664</v>
      </c>
      <c r="B4323" t="s">
        <v>29</v>
      </c>
      <c r="C4323">
        <v>308.67</v>
      </c>
      <c r="D4323">
        <v>62.89</v>
      </c>
      <c r="E4323" t="s">
        <v>9</v>
      </c>
      <c r="F4323">
        <v>71.209999999999994</v>
      </c>
      <c r="G4323" t="s">
        <v>20</v>
      </c>
      <c r="H4323" t="s">
        <v>11</v>
      </c>
    </row>
    <row r="4324" spans="1:8" x14ac:dyDescent="0.25">
      <c r="A4324" s="1">
        <v>45658.083333333336</v>
      </c>
      <c r="B4324" t="s">
        <v>29</v>
      </c>
      <c r="C4324">
        <v>372.14</v>
      </c>
      <c r="D4324">
        <v>18.12</v>
      </c>
      <c r="E4324" t="s">
        <v>9</v>
      </c>
      <c r="F4324">
        <v>59.86</v>
      </c>
      <c r="G4324" t="s">
        <v>20</v>
      </c>
      <c r="H4324" t="s">
        <v>11</v>
      </c>
    </row>
    <row r="4325" spans="1:8" x14ac:dyDescent="0.25">
      <c r="A4325" s="1">
        <v>45658.125</v>
      </c>
      <c r="B4325" t="s">
        <v>29</v>
      </c>
      <c r="C4325">
        <v>366.36</v>
      </c>
      <c r="D4325">
        <v>89.2</v>
      </c>
      <c r="E4325" t="s">
        <v>14</v>
      </c>
      <c r="F4325">
        <v>71.180000000000007</v>
      </c>
      <c r="G4325" t="s">
        <v>20</v>
      </c>
      <c r="H4325" t="s">
        <v>11</v>
      </c>
    </row>
    <row r="4326" spans="1:8" x14ac:dyDescent="0.25">
      <c r="A4326" s="1">
        <v>45658.166666666664</v>
      </c>
      <c r="B4326" t="s">
        <v>29</v>
      </c>
      <c r="C4326">
        <v>242.26</v>
      </c>
      <c r="D4326">
        <v>79.72</v>
      </c>
      <c r="E4326" t="s">
        <v>9</v>
      </c>
      <c r="F4326">
        <v>70.27</v>
      </c>
      <c r="G4326" t="s">
        <v>20</v>
      </c>
      <c r="H4326" t="s">
        <v>13</v>
      </c>
    </row>
    <row r="4327" spans="1:8" x14ac:dyDescent="0.25">
      <c r="A4327" s="1">
        <v>45658.208333333336</v>
      </c>
      <c r="B4327" t="s">
        <v>29</v>
      </c>
      <c r="C4327">
        <v>365.06</v>
      </c>
      <c r="D4327">
        <v>94.75</v>
      </c>
      <c r="E4327" t="s">
        <v>14</v>
      </c>
      <c r="F4327">
        <v>32.020000000000003</v>
      </c>
      <c r="G4327" t="s">
        <v>20</v>
      </c>
      <c r="H4327" t="s">
        <v>13</v>
      </c>
    </row>
    <row r="4328" spans="1:8" x14ac:dyDescent="0.25">
      <c r="A4328" s="1">
        <v>45658.25</v>
      </c>
      <c r="B4328" t="s">
        <v>29</v>
      </c>
      <c r="C4328">
        <v>314.02</v>
      </c>
      <c r="D4328">
        <v>31.53</v>
      </c>
      <c r="E4328" t="s">
        <v>9</v>
      </c>
      <c r="F4328">
        <v>52.95</v>
      </c>
      <c r="G4328" t="s">
        <v>20</v>
      </c>
      <c r="H4328" t="s">
        <v>11</v>
      </c>
    </row>
    <row r="4329" spans="1:8" x14ac:dyDescent="0.25">
      <c r="A4329" s="1">
        <v>45658.291666666664</v>
      </c>
      <c r="B4329" t="s">
        <v>29</v>
      </c>
      <c r="C4329">
        <v>330.1</v>
      </c>
      <c r="D4329">
        <v>40.299999999999997</v>
      </c>
      <c r="E4329" t="s">
        <v>9</v>
      </c>
      <c r="F4329">
        <v>57.44</v>
      </c>
      <c r="G4329" t="s">
        <v>20</v>
      </c>
      <c r="H4329" t="s">
        <v>13</v>
      </c>
    </row>
    <row r="4330" spans="1:8" x14ac:dyDescent="0.25">
      <c r="A4330" s="1">
        <v>45658.333333333336</v>
      </c>
      <c r="B4330" t="s">
        <v>29</v>
      </c>
      <c r="C4330">
        <v>195.8</v>
      </c>
      <c r="D4330">
        <v>84</v>
      </c>
      <c r="E4330" t="s">
        <v>9</v>
      </c>
      <c r="F4330">
        <v>76.540000000000006</v>
      </c>
      <c r="G4330" t="s">
        <v>20</v>
      </c>
      <c r="H4330" t="s">
        <v>13</v>
      </c>
    </row>
    <row r="4331" spans="1:8" x14ac:dyDescent="0.25">
      <c r="A4331" s="1">
        <v>45658.375</v>
      </c>
      <c r="B4331" t="s">
        <v>29</v>
      </c>
      <c r="C4331">
        <v>118.69</v>
      </c>
      <c r="D4331">
        <v>42.17</v>
      </c>
      <c r="E4331" t="s">
        <v>9</v>
      </c>
      <c r="F4331">
        <v>54.73</v>
      </c>
      <c r="G4331" t="s">
        <v>20</v>
      </c>
      <c r="H4331" t="s">
        <v>13</v>
      </c>
    </row>
    <row r="4332" spans="1:8" x14ac:dyDescent="0.25">
      <c r="A4332" s="1">
        <v>45658.416666666664</v>
      </c>
      <c r="B4332" t="s">
        <v>29</v>
      </c>
      <c r="C4332">
        <v>72.180000000000007</v>
      </c>
      <c r="D4332">
        <v>71.010000000000005</v>
      </c>
      <c r="E4332" t="s">
        <v>9</v>
      </c>
      <c r="F4332">
        <v>54.73</v>
      </c>
      <c r="G4332" t="s">
        <v>20</v>
      </c>
      <c r="H4332" t="s">
        <v>13</v>
      </c>
    </row>
    <row r="4333" spans="1:8" x14ac:dyDescent="0.25">
      <c r="A4333" s="1">
        <v>45658.458333333336</v>
      </c>
      <c r="B4333" t="s">
        <v>29</v>
      </c>
      <c r="C4333">
        <v>365.88</v>
      </c>
      <c r="D4333">
        <v>71.38</v>
      </c>
      <c r="E4333" t="s">
        <v>9</v>
      </c>
      <c r="F4333">
        <v>61.13</v>
      </c>
      <c r="G4333" t="s">
        <v>20</v>
      </c>
      <c r="H4333" t="s">
        <v>11</v>
      </c>
    </row>
    <row r="4334" spans="1:8" x14ac:dyDescent="0.25">
      <c r="A4334" s="1">
        <v>45658.5</v>
      </c>
      <c r="B4334" t="s">
        <v>29</v>
      </c>
      <c r="C4334">
        <v>180.43</v>
      </c>
      <c r="D4334">
        <v>38.82</v>
      </c>
      <c r="E4334" t="s">
        <v>9</v>
      </c>
      <c r="F4334">
        <v>39.65</v>
      </c>
      <c r="G4334" t="s">
        <v>20</v>
      </c>
      <c r="H4334" t="s">
        <v>12</v>
      </c>
    </row>
    <row r="4335" spans="1:8" x14ac:dyDescent="0.25">
      <c r="A4335" s="1">
        <v>45658.541666666664</v>
      </c>
      <c r="B4335" t="s">
        <v>29</v>
      </c>
      <c r="C4335">
        <v>491.99</v>
      </c>
      <c r="D4335">
        <v>83.82</v>
      </c>
      <c r="E4335" t="s">
        <v>9</v>
      </c>
      <c r="F4335">
        <v>76.319999999999993</v>
      </c>
      <c r="G4335" t="s">
        <v>20</v>
      </c>
      <c r="H4335" t="s">
        <v>11</v>
      </c>
    </row>
    <row r="4336" spans="1:8" x14ac:dyDescent="0.25">
      <c r="A4336" s="1">
        <v>45658.583333333336</v>
      </c>
      <c r="B4336" t="s">
        <v>29</v>
      </c>
      <c r="C4336">
        <v>262.92</v>
      </c>
      <c r="D4336">
        <v>59.5</v>
      </c>
      <c r="E4336" t="s">
        <v>9</v>
      </c>
      <c r="F4336">
        <v>78.52</v>
      </c>
      <c r="G4336" t="s">
        <v>20</v>
      </c>
      <c r="H4336" t="s">
        <v>12</v>
      </c>
    </row>
    <row r="4337" spans="1:8" x14ac:dyDescent="0.25">
      <c r="A4337" s="1">
        <v>45658.625</v>
      </c>
      <c r="B4337" t="s">
        <v>29</v>
      </c>
      <c r="C4337">
        <v>122.98</v>
      </c>
      <c r="D4337">
        <v>25.27</v>
      </c>
      <c r="E4337" t="s">
        <v>9</v>
      </c>
      <c r="F4337">
        <v>63.82</v>
      </c>
      <c r="G4337" t="s">
        <v>20</v>
      </c>
      <c r="H4337" t="s">
        <v>12</v>
      </c>
    </row>
    <row r="4338" spans="1:8" x14ac:dyDescent="0.25">
      <c r="A4338" s="1">
        <v>45658.666666666664</v>
      </c>
      <c r="B4338" t="s">
        <v>29</v>
      </c>
      <c r="C4338">
        <v>348.79</v>
      </c>
      <c r="D4338">
        <v>33.49</v>
      </c>
      <c r="E4338" t="s">
        <v>9</v>
      </c>
      <c r="F4338">
        <v>37.14</v>
      </c>
      <c r="G4338" t="s">
        <v>20</v>
      </c>
      <c r="H4338" t="s">
        <v>11</v>
      </c>
    </row>
    <row r="4339" spans="1:8" x14ac:dyDescent="0.25">
      <c r="A4339" s="1">
        <v>45658.708333333336</v>
      </c>
      <c r="B4339" t="s">
        <v>29</v>
      </c>
      <c r="C4339">
        <v>313</v>
      </c>
      <c r="D4339">
        <v>31.28</v>
      </c>
      <c r="E4339" t="s">
        <v>9</v>
      </c>
      <c r="F4339">
        <v>35.43</v>
      </c>
      <c r="G4339" t="s">
        <v>20</v>
      </c>
      <c r="H4339" t="s">
        <v>12</v>
      </c>
    </row>
    <row r="4340" spans="1:8" x14ac:dyDescent="0.25">
      <c r="A4340" s="1">
        <v>45658.75</v>
      </c>
      <c r="B4340" t="s">
        <v>29</v>
      </c>
      <c r="C4340">
        <v>236.33</v>
      </c>
      <c r="D4340">
        <v>75.52</v>
      </c>
      <c r="E4340" t="s">
        <v>9</v>
      </c>
      <c r="F4340">
        <v>82.45</v>
      </c>
      <c r="G4340" t="s">
        <v>20</v>
      </c>
      <c r="H4340" t="s">
        <v>12</v>
      </c>
    </row>
    <row r="4341" spans="1:8" x14ac:dyDescent="0.25">
      <c r="A4341" s="1">
        <v>45658.791666666664</v>
      </c>
      <c r="B4341" t="s">
        <v>29</v>
      </c>
      <c r="C4341">
        <v>286.10000000000002</v>
      </c>
      <c r="D4341">
        <v>35.33</v>
      </c>
      <c r="E4341" t="s">
        <v>9</v>
      </c>
      <c r="F4341">
        <v>52.48</v>
      </c>
      <c r="G4341" t="s">
        <v>20</v>
      </c>
      <c r="H4341" t="s">
        <v>12</v>
      </c>
    </row>
    <row r="4342" spans="1:8" x14ac:dyDescent="0.25">
      <c r="A4342" s="1">
        <v>45658.833333333336</v>
      </c>
      <c r="B4342" t="s">
        <v>29</v>
      </c>
      <c r="C4342">
        <v>324.74</v>
      </c>
      <c r="D4342">
        <v>22.98</v>
      </c>
      <c r="E4342" t="s">
        <v>9</v>
      </c>
      <c r="F4342">
        <v>70.95</v>
      </c>
      <c r="G4342" t="s">
        <v>20</v>
      </c>
      <c r="H4342" t="s">
        <v>12</v>
      </c>
    </row>
    <row r="4343" spans="1:8" x14ac:dyDescent="0.25">
      <c r="A4343" s="1">
        <v>45658.875</v>
      </c>
      <c r="B4343" t="s">
        <v>29</v>
      </c>
      <c r="C4343">
        <v>482.01</v>
      </c>
      <c r="D4343">
        <v>50.97</v>
      </c>
      <c r="E4343" t="s">
        <v>9</v>
      </c>
      <c r="F4343">
        <v>64.22</v>
      </c>
      <c r="G4343" t="s">
        <v>20</v>
      </c>
      <c r="H4343" t="s">
        <v>12</v>
      </c>
    </row>
    <row r="4344" spans="1:8" x14ac:dyDescent="0.25">
      <c r="A4344" s="1">
        <v>45658.916666666664</v>
      </c>
      <c r="B4344" t="s">
        <v>29</v>
      </c>
      <c r="C4344">
        <v>387.85</v>
      </c>
      <c r="D4344">
        <v>82.94</v>
      </c>
      <c r="E4344" t="s">
        <v>9</v>
      </c>
      <c r="F4344">
        <v>70.7</v>
      </c>
      <c r="G4344" t="s">
        <v>20</v>
      </c>
      <c r="H4344" t="s">
        <v>11</v>
      </c>
    </row>
    <row r="4345" spans="1:8" x14ac:dyDescent="0.25">
      <c r="A4345" s="1">
        <v>45658.958333333336</v>
      </c>
      <c r="B4345" t="s">
        <v>29</v>
      </c>
      <c r="C4345">
        <v>360.61</v>
      </c>
      <c r="D4345">
        <v>62.13</v>
      </c>
      <c r="E4345" t="s">
        <v>9</v>
      </c>
      <c r="F4345">
        <v>38.659999999999997</v>
      </c>
      <c r="G4345" t="s">
        <v>20</v>
      </c>
      <c r="H4345" t="s">
        <v>13</v>
      </c>
    </row>
    <row r="4346" spans="1:8" x14ac:dyDescent="0.25">
      <c r="A4346" s="1">
        <v>45659</v>
      </c>
      <c r="B4346" t="s">
        <v>29</v>
      </c>
      <c r="C4346">
        <v>99.4</v>
      </c>
      <c r="D4346">
        <v>66.45</v>
      </c>
      <c r="E4346" t="s">
        <v>9</v>
      </c>
      <c r="F4346">
        <v>56.26</v>
      </c>
      <c r="G4346" t="s">
        <v>20</v>
      </c>
      <c r="H4346" t="s">
        <v>12</v>
      </c>
    </row>
    <row r="4347" spans="1:8" x14ac:dyDescent="0.25">
      <c r="A4347" s="1">
        <v>45659.041666666664</v>
      </c>
      <c r="B4347" t="s">
        <v>29</v>
      </c>
      <c r="C4347">
        <v>76.62</v>
      </c>
      <c r="D4347">
        <v>76.08</v>
      </c>
      <c r="E4347" t="s">
        <v>9</v>
      </c>
      <c r="F4347">
        <v>82.96</v>
      </c>
      <c r="G4347" t="s">
        <v>20</v>
      </c>
      <c r="H4347" t="s">
        <v>13</v>
      </c>
    </row>
    <row r="4348" spans="1:8" x14ac:dyDescent="0.25">
      <c r="A4348" s="1">
        <v>45659.083333333336</v>
      </c>
      <c r="B4348" t="s">
        <v>29</v>
      </c>
      <c r="C4348">
        <v>141.02000000000001</v>
      </c>
      <c r="D4348">
        <v>69.87</v>
      </c>
      <c r="E4348" t="s">
        <v>9</v>
      </c>
      <c r="F4348">
        <v>30.64</v>
      </c>
      <c r="G4348" t="s">
        <v>20</v>
      </c>
      <c r="H4348" t="s">
        <v>13</v>
      </c>
    </row>
    <row r="4349" spans="1:8" x14ac:dyDescent="0.25">
      <c r="A4349" s="1">
        <v>45659.125</v>
      </c>
      <c r="B4349" t="s">
        <v>29</v>
      </c>
      <c r="C4349">
        <v>127.78</v>
      </c>
      <c r="D4349">
        <v>80.67</v>
      </c>
      <c r="E4349" t="s">
        <v>9</v>
      </c>
      <c r="F4349">
        <v>77.900000000000006</v>
      </c>
      <c r="G4349" t="s">
        <v>20</v>
      </c>
      <c r="H4349" t="s">
        <v>11</v>
      </c>
    </row>
    <row r="4350" spans="1:8" x14ac:dyDescent="0.25">
      <c r="A4350" s="1">
        <v>45659.166666666664</v>
      </c>
      <c r="B4350" t="s">
        <v>29</v>
      </c>
      <c r="C4350">
        <v>55.07</v>
      </c>
      <c r="D4350">
        <v>42.55</v>
      </c>
      <c r="E4350" t="s">
        <v>9</v>
      </c>
      <c r="F4350">
        <v>59.94</v>
      </c>
      <c r="G4350" t="s">
        <v>20</v>
      </c>
      <c r="H4350" t="s">
        <v>12</v>
      </c>
    </row>
    <row r="4351" spans="1:8" x14ac:dyDescent="0.25">
      <c r="A4351" s="1">
        <v>45659.208333333336</v>
      </c>
      <c r="B4351" t="s">
        <v>29</v>
      </c>
      <c r="C4351">
        <v>197.75</v>
      </c>
      <c r="D4351">
        <v>32.200000000000003</v>
      </c>
      <c r="E4351" t="s">
        <v>9</v>
      </c>
      <c r="F4351">
        <v>57.86</v>
      </c>
      <c r="G4351" t="s">
        <v>20</v>
      </c>
      <c r="H4351" t="s">
        <v>13</v>
      </c>
    </row>
    <row r="4352" spans="1:8" x14ac:dyDescent="0.25">
      <c r="A4352" s="1">
        <v>45659.25</v>
      </c>
      <c r="B4352" t="s">
        <v>29</v>
      </c>
      <c r="C4352">
        <v>447.8</v>
      </c>
      <c r="D4352">
        <v>41.38</v>
      </c>
      <c r="E4352" t="s">
        <v>9</v>
      </c>
      <c r="F4352">
        <v>64.569999999999993</v>
      </c>
      <c r="G4352" t="s">
        <v>20</v>
      </c>
      <c r="H4352" t="s">
        <v>11</v>
      </c>
    </row>
    <row r="4353" spans="1:8" x14ac:dyDescent="0.25">
      <c r="A4353" s="1">
        <v>45659.291666666664</v>
      </c>
      <c r="B4353" t="s">
        <v>29</v>
      </c>
      <c r="C4353">
        <v>292.08</v>
      </c>
      <c r="D4353">
        <v>34.049999999999997</v>
      </c>
      <c r="E4353" t="s">
        <v>9</v>
      </c>
      <c r="F4353">
        <v>35.54</v>
      </c>
      <c r="G4353" t="s">
        <v>20</v>
      </c>
      <c r="H4353" t="s">
        <v>12</v>
      </c>
    </row>
    <row r="4354" spans="1:8" x14ac:dyDescent="0.25">
      <c r="A4354" s="1">
        <v>45659.333333333336</v>
      </c>
      <c r="B4354" t="s">
        <v>29</v>
      </c>
      <c r="C4354">
        <v>127.67</v>
      </c>
      <c r="D4354">
        <v>74.88</v>
      </c>
      <c r="E4354" t="s">
        <v>9</v>
      </c>
      <c r="F4354">
        <v>77.48</v>
      </c>
      <c r="G4354" t="s">
        <v>20</v>
      </c>
      <c r="H4354" t="s">
        <v>13</v>
      </c>
    </row>
    <row r="4355" spans="1:8" x14ac:dyDescent="0.25">
      <c r="A4355" s="1">
        <v>45659.375</v>
      </c>
      <c r="B4355" t="s">
        <v>29</v>
      </c>
      <c r="C4355">
        <v>469.92</v>
      </c>
      <c r="D4355">
        <v>53.51</v>
      </c>
      <c r="E4355" t="s">
        <v>9</v>
      </c>
      <c r="F4355">
        <v>67.73</v>
      </c>
      <c r="G4355" t="s">
        <v>20</v>
      </c>
      <c r="H4355" t="s">
        <v>12</v>
      </c>
    </row>
    <row r="4356" spans="1:8" x14ac:dyDescent="0.25">
      <c r="A4356" s="1">
        <v>45659.416666666664</v>
      </c>
      <c r="B4356" t="s">
        <v>29</v>
      </c>
      <c r="C4356">
        <v>227.42</v>
      </c>
      <c r="D4356">
        <v>70.61</v>
      </c>
      <c r="E4356" t="s">
        <v>9</v>
      </c>
      <c r="F4356">
        <v>35.270000000000003</v>
      </c>
      <c r="G4356" t="s">
        <v>20</v>
      </c>
      <c r="H4356" t="s">
        <v>12</v>
      </c>
    </row>
    <row r="4357" spans="1:8" x14ac:dyDescent="0.25">
      <c r="A4357" s="1">
        <v>45659.458333333336</v>
      </c>
      <c r="B4357" t="s">
        <v>29</v>
      </c>
      <c r="C4357">
        <v>311.8</v>
      </c>
      <c r="D4357">
        <v>23.61</v>
      </c>
      <c r="E4357" t="s">
        <v>9</v>
      </c>
      <c r="F4357">
        <v>72.02</v>
      </c>
      <c r="G4357" t="s">
        <v>20</v>
      </c>
      <c r="H4357" t="s">
        <v>13</v>
      </c>
    </row>
    <row r="4358" spans="1:8" x14ac:dyDescent="0.25">
      <c r="A4358" s="1">
        <v>45659.5</v>
      </c>
      <c r="B4358" t="s">
        <v>29</v>
      </c>
      <c r="C4358">
        <v>134.29</v>
      </c>
      <c r="D4358">
        <v>65.34</v>
      </c>
      <c r="E4358" t="s">
        <v>9</v>
      </c>
      <c r="F4358">
        <v>65.430000000000007</v>
      </c>
      <c r="G4358" t="s">
        <v>20</v>
      </c>
      <c r="H4358" t="s">
        <v>11</v>
      </c>
    </row>
    <row r="4359" spans="1:8" x14ac:dyDescent="0.25">
      <c r="A4359" s="1">
        <v>45659.541666666664</v>
      </c>
      <c r="B4359" t="s">
        <v>29</v>
      </c>
      <c r="C4359">
        <v>72.92</v>
      </c>
      <c r="D4359">
        <v>52.68</v>
      </c>
      <c r="E4359" t="s">
        <v>9</v>
      </c>
      <c r="F4359">
        <v>84.39</v>
      </c>
      <c r="G4359" t="s">
        <v>20</v>
      </c>
      <c r="H4359" t="s">
        <v>13</v>
      </c>
    </row>
    <row r="4360" spans="1:8" x14ac:dyDescent="0.25">
      <c r="A4360" s="1">
        <v>45659.583333333336</v>
      </c>
      <c r="B4360" t="s">
        <v>29</v>
      </c>
      <c r="C4360">
        <v>143.38999999999999</v>
      </c>
      <c r="D4360">
        <v>30.87</v>
      </c>
      <c r="E4360" t="s">
        <v>9</v>
      </c>
      <c r="F4360">
        <v>46.57</v>
      </c>
      <c r="G4360" t="s">
        <v>20</v>
      </c>
      <c r="H4360" t="s">
        <v>13</v>
      </c>
    </row>
    <row r="4361" spans="1:8" x14ac:dyDescent="0.25">
      <c r="A4361" s="1">
        <v>45659.625</v>
      </c>
      <c r="B4361" t="s">
        <v>29</v>
      </c>
      <c r="C4361">
        <v>322.82</v>
      </c>
      <c r="D4361">
        <v>82.51</v>
      </c>
      <c r="E4361" t="s">
        <v>9</v>
      </c>
      <c r="F4361">
        <v>47.74</v>
      </c>
      <c r="G4361" t="s">
        <v>20</v>
      </c>
      <c r="H4361" t="s">
        <v>13</v>
      </c>
    </row>
    <row r="4362" spans="1:8" x14ac:dyDescent="0.25">
      <c r="A4362" s="1">
        <v>45659.666666666664</v>
      </c>
      <c r="B4362" t="s">
        <v>29</v>
      </c>
      <c r="C4362">
        <v>384.67</v>
      </c>
      <c r="D4362">
        <v>46</v>
      </c>
      <c r="E4362" t="s">
        <v>9</v>
      </c>
      <c r="F4362">
        <v>35.72</v>
      </c>
      <c r="G4362" t="s">
        <v>20</v>
      </c>
      <c r="H4362" t="s">
        <v>11</v>
      </c>
    </row>
    <row r="4363" spans="1:8" x14ac:dyDescent="0.25">
      <c r="A4363" s="1">
        <v>45659.708333333336</v>
      </c>
      <c r="B4363" t="s">
        <v>29</v>
      </c>
      <c r="C4363">
        <v>190.48</v>
      </c>
      <c r="D4363">
        <v>41.31</v>
      </c>
      <c r="E4363" t="s">
        <v>9</v>
      </c>
      <c r="F4363">
        <v>39.93</v>
      </c>
      <c r="G4363" t="s">
        <v>20</v>
      </c>
      <c r="H4363" t="s">
        <v>11</v>
      </c>
    </row>
    <row r="4364" spans="1:8" x14ac:dyDescent="0.25">
      <c r="A4364" s="1">
        <v>45659.75</v>
      </c>
      <c r="B4364" t="s">
        <v>29</v>
      </c>
      <c r="C4364">
        <v>135.32</v>
      </c>
      <c r="D4364">
        <v>79.36</v>
      </c>
      <c r="E4364" t="s">
        <v>9</v>
      </c>
      <c r="F4364">
        <v>46.54</v>
      </c>
      <c r="G4364" t="s">
        <v>20</v>
      </c>
      <c r="H4364" t="s">
        <v>13</v>
      </c>
    </row>
    <row r="4365" spans="1:8" x14ac:dyDescent="0.25">
      <c r="A4365" s="1">
        <v>45659.791666666664</v>
      </c>
      <c r="B4365" t="s">
        <v>29</v>
      </c>
      <c r="C4365">
        <v>387.2</v>
      </c>
      <c r="D4365">
        <v>71.91</v>
      </c>
      <c r="E4365" t="s">
        <v>9</v>
      </c>
      <c r="F4365">
        <v>46.84</v>
      </c>
      <c r="G4365" t="s">
        <v>20</v>
      </c>
      <c r="H4365" t="s">
        <v>11</v>
      </c>
    </row>
    <row r="4366" spans="1:8" x14ac:dyDescent="0.25">
      <c r="A4366" s="1">
        <v>45659.833333333336</v>
      </c>
      <c r="B4366" t="s">
        <v>29</v>
      </c>
      <c r="C4366">
        <v>276.68</v>
      </c>
      <c r="D4366">
        <v>79.97</v>
      </c>
      <c r="E4366" t="s">
        <v>9</v>
      </c>
      <c r="F4366">
        <v>79.16</v>
      </c>
      <c r="G4366" t="s">
        <v>20</v>
      </c>
      <c r="H4366" t="s">
        <v>12</v>
      </c>
    </row>
    <row r="4367" spans="1:8" x14ac:dyDescent="0.25">
      <c r="A4367" s="1">
        <v>45659.875</v>
      </c>
      <c r="B4367" t="s">
        <v>29</v>
      </c>
      <c r="C4367">
        <v>117.76</v>
      </c>
      <c r="D4367">
        <v>22.53</v>
      </c>
      <c r="E4367" t="s">
        <v>9</v>
      </c>
      <c r="F4367">
        <v>79.52</v>
      </c>
      <c r="G4367" t="s">
        <v>20</v>
      </c>
      <c r="H4367" t="s">
        <v>13</v>
      </c>
    </row>
    <row r="4368" spans="1:8" x14ac:dyDescent="0.25">
      <c r="A4368" s="1">
        <v>45659.916666666664</v>
      </c>
      <c r="B4368" t="s">
        <v>29</v>
      </c>
      <c r="C4368">
        <v>476.54</v>
      </c>
      <c r="D4368">
        <v>80.37</v>
      </c>
      <c r="E4368" t="s">
        <v>9</v>
      </c>
      <c r="F4368">
        <v>63.14</v>
      </c>
      <c r="G4368" t="s">
        <v>20</v>
      </c>
      <c r="H4368" t="s">
        <v>12</v>
      </c>
    </row>
    <row r="4369" spans="1:8" x14ac:dyDescent="0.25">
      <c r="A4369" s="1">
        <v>45659.958333333336</v>
      </c>
      <c r="B4369" t="s">
        <v>29</v>
      </c>
      <c r="C4369">
        <v>495.21</v>
      </c>
      <c r="D4369">
        <v>63.46</v>
      </c>
      <c r="E4369" t="s">
        <v>9</v>
      </c>
      <c r="F4369">
        <v>66.77</v>
      </c>
      <c r="G4369" t="s">
        <v>20</v>
      </c>
      <c r="H4369" t="s">
        <v>13</v>
      </c>
    </row>
    <row r="4370" spans="1:8" x14ac:dyDescent="0.25">
      <c r="A4370" s="1">
        <v>45660</v>
      </c>
      <c r="B4370" t="s">
        <v>29</v>
      </c>
      <c r="C4370">
        <v>154.46</v>
      </c>
      <c r="D4370">
        <v>27.54</v>
      </c>
      <c r="E4370" t="s">
        <v>9</v>
      </c>
      <c r="F4370">
        <v>75.569999999999993</v>
      </c>
      <c r="G4370" t="s">
        <v>20</v>
      </c>
      <c r="H4370" t="s">
        <v>11</v>
      </c>
    </row>
    <row r="4371" spans="1:8" x14ac:dyDescent="0.25">
      <c r="A4371" s="1">
        <v>45660.041666666664</v>
      </c>
      <c r="B4371" t="s">
        <v>29</v>
      </c>
      <c r="C4371">
        <v>482.19</v>
      </c>
      <c r="D4371">
        <v>41.83</v>
      </c>
      <c r="E4371" t="s">
        <v>9</v>
      </c>
      <c r="F4371">
        <v>88.23</v>
      </c>
      <c r="G4371" t="s">
        <v>20</v>
      </c>
      <c r="H4371" t="s">
        <v>11</v>
      </c>
    </row>
    <row r="4372" spans="1:8" x14ac:dyDescent="0.25">
      <c r="A4372" s="1">
        <v>45660.083333333336</v>
      </c>
      <c r="B4372" t="s">
        <v>29</v>
      </c>
      <c r="C4372">
        <v>257.73</v>
      </c>
      <c r="D4372">
        <v>67.28</v>
      </c>
      <c r="E4372" t="s">
        <v>9</v>
      </c>
      <c r="F4372">
        <v>78.95</v>
      </c>
      <c r="G4372" t="s">
        <v>20</v>
      </c>
      <c r="H4372" t="s">
        <v>11</v>
      </c>
    </row>
    <row r="4373" spans="1:8" x14ac:dyDescent="0.25">
      <c r="A4373" s="1">
        <v>45660.125</v>
      </c>
      <c r="B4373" t="s">
        <v>29</v>
      </c>
      <c r="C4373">
        <v>456.41</v>
      </c>
      <c r="D4373">
        <v>55.47</v>
      </c>
      <c r="E4373" t="s">
        <v>9</v>
      </c>
      <c r="F4373">
        <v>84.34</v>
      </c>
      <c r="G4373" t="s">
        <v>20</v>
      </c>
      <c r="H4373" t="s">
        <v>12</v>
      </c>
    </row>
    <row r="4374" spans="1:8" x14ac:dyDescent="0.25">
      <c r="A4374" s="1">
        <v>45660.166666666664</v>
      </c>
      <c r="B4374" t="s">
        <v>29</v>
      </c>
      <c r="C4374">
        <v>331.24</v>
      </c>
      <c r="D4374">
        <v>29.26</v>
      </c>
      <c r="E4374" t="s">
        <v>9</v>
      </c>
      <c r="F4374">
        <v>44.89</v>
      </c>
      <c r="G4374" t="s">
        <v>20</v>
      </c>
      <c r="H4374" t="s">
        <v>11</v>
      </c>
    </row>
    <row r="4375" spans="1:8" x14ac:dyDescent="0.25">
      <c r="A4375" s="1">
        <v>45660.208333333336</v>
      </c>
      <c r="B4375" t="s">
        <v>29</v>
      </c>
      <c r="C4375">
        <v>275.48</v>
      </c>
      <c r="D4375">
        <v>67.37</v>
      </c>
      <c r="E4375" t="s">
        <v>9</v>
      </c>
      <c r="F4375">
        <v>71.16</v>
      </c>
      <c r="G4375" t="s">
        <v>20</v>
      </c>
      <c r="H4375" t="s">
        <v>11</v>
      </c>
    </row>
    <row r="4376" spans="1:8" x14ac:dyDescent="0.25">
      <c r="A4376" s="1">
        <v>45660.25</v>
      </c>
      <c r="B4376" t="s">
        <v>29</v>
      </c>
      <c r="C4376">
        <v>177.24</v>
      </c>
      <c r="D4376">
        <v>38.86</v>
      </c>
      <c r="E4376" t="s">
        <v>9</v>
      </c>
      <c r="F4376">
        <v>43.16</v>
      </c>
      <c r="G4376" t="s">
        <v>20</v>
      </c>
      <c r="H4376" t="s">
        <v>12</v>
      </c>
    </row>
    <row r="4377" spans="1:8" x14ac:dyDescent="0.25">
      <c r="A4377" s="1">
        <v>45660.291666666664</v>
      </c>
      <c r="B4377" t="s">
        <v>29</v>
      </c>
      <c r="C4377">
        <v>334.64</v>
      </c>
      <c r="D4377">
        <v>58.73</v>
      </c>
      <c r="E4377" t="s">
        <v>9</v>
      </c>
      <c r="F4377">
        <v>65.150000000000006</v>
      </c>
      <c r="G4377" t="s">
        <v>20</v>
      </c>
      <c r="H4377" t="s">
        <v>11</v>
      </c>
    </row>
    <row r="4378" spans="1:8" x14ac:dyDescent="0.25">
      <c r="A4378" s="1">
        <v>45660.333333333336</v>
      </c>
      <c r="B4378" t="s">
        <v>29</v>
      </c>
      <c r="C4378">
        <v>456.03</v>
      </c>
      <c r="D4378">
        <v>69.75</v>
      </c>
      <c r="E4378" t="s">
        <v>9</v>
      </c>
      <c r="F4378">
        <v>33.700000000000003</v>
      </c>
      <c r="G4378" t="s">
        <v>20</v>
      </c>
      <c r="H4378" t="s">
        <v>13</v>
      </c>
    </row>
    <row r="4379" spans="1:8" x14ac:dyDescent="0.25">
      <c r="A4379" s="1">
        <v>45660.375</v>
      </c>
      <c r="B4379" t="s">
        <v>29</v>
      </c>
      <c r="C4379">
        <v>300.87</v>
      </c>
      <c r="D4379">
        <v>29.66</v>
      </c>
      <c r="E4379" t="s">
        <v>9</v>
      </c>
      <c r="F4379">
        <v>70.89</v>
      </c>
      <c r="G4379" t="s">
        <v>20</v>
      </c>
      <c r="H4379" t="s">
        <v>11</v>
      </c>
    </row>
    <row r="4380" spans="1:8" x14ac:dyDescent="0.25">
      <c r="A4380" s="1">
        <v>45660.416666666664</v>
      </c>
      <c r="B4380" t="s">
        <v>29</v>
      </c>
      <c r="C4380">
        <v>386.69</v>
      </c>
      <c r="D4380">
        <v>62.76</v>
      </c>
      <c r="E4380" t="s">
        <v>9</v>
      </c>
      <c r="F4380">
        <v>63.9</v>
      </c>
      <c r="G4380" t="s">
        <v>20</v>
      </c>
      <c r="H4380" t="s">
        <v>12</v>
      </c>
    </row>
    <row r="4381" spans="1:8" x14ac:dyDescent="0.25">
      <c r="A4381" s="1">
        <v>45660.458333333336</v>
      </c>
      <c r="B4381" t="s">
        <v>29</v>
      </c>
      <c r="C4381">
        <v>381.52</v>
      </c>
      <c r="D4381">
        <v>46.94</v>
      </c>
      <c r="E4381" t="s">
        <v>9</v>
      </c>
      <c r="F4381">
        <v>33.76</v>
      </c>
      <c r="G4381" t="s">
        <v>20</v>
      </c>
      <c r="H4381" t="s">
        <v>12</v>
      </c>
    </row>
    <row r="4382" spans="1:8" x14ac:dyDescent="0.25">
      <c r="A4382" s="1">
        <v>45660.5</v>
      </c>
      <c r="B4382" t="s">
        <v>29</v>
      </c>
      <c r="C4382">
        <v>487.15</v>
      </c>
      <c r="D4382">
        <v>15.51</v>
      </c>
      <c r="E4382" t="s">
        <v>9</v>
      </c>
      <c r="F4382">
        <v>67.56</v>
      </c>
      <c r="G4382" t="s">
        <v>20</v>
      </c>
      <c r="H4382" t="s">
        <v>12</v>
      </c>
    </row>
    <row r="4383" spans="1:8" x14ac:dyDescent="0.25">
      <c r="A4383" s="1">
        <v>45660.541666666664</v>
      </c>
      <c r="B4383" t="s">
        <v>29</v>
      </c>
      <c r="C4383">
        <v>195.46</v>
      </c>
      <c r="D4383">
        <v>85.89</v>
      </c>
      <c r="E4383" t="s">
        <v>14</v>
      </c>
      <c r="F4383">
        <v>70.209999999999994</v>
      </c>
      <c r="G4383" t="s">
        <v>20</v>
      </c>
      <c r="H4383" t="s">
        <v>13</v>
      </c>
    </row>
    <row r="4384" spans="1:8" x14ac:dyDescent="0.25">
      <c r="A4384" s="1">
        <v>45660.583333333336</v>
      </c>
      <c r="B4384" t="s">
        <v>29</v>
      </c>
      <c r="C4384">
        <v>125.9</v>
      </c>
      <c r="D4384">
        <v>21.11</v>
      </c>
      <c r="E4384" t="s">
        <v>9</v>
      </c>
      <c r="F4384">
        <v>38.36</v>
      </c>
      <c r="G4384" t="s">
        <v>20</v>
      </c>
      <c r="H4384" t="s">
        <v>11</v>
      </c>
    </row>
    <row r="4385" spans="1:8" x14ac:dyDescent="0.25">
      <c r="A4385" s="1">
        <v>45660.625</v>
      </c>
      <c r="B4385" t="s">
        <v>29</v>
      </c>
      <c r="C4385">
        <v>428.06</v>
      </c>
      <c r="D4385">
        <v>19.53</v>
      </c>
      <c r="E4385" t="s">
        <v>9</v>
      </c>
      <c r="F4385">
        <v>34.700000000000003</v>
      </c>
      <c r="G4385" t="s">
        <v>20</v>
      </c>
      <c r="H4385" t="s">
        <v>13</v>
      </c>
    </row>
    <row r="4386" spans="1:8" x14ac:dyDescent="0.25">
      <c r="A4386" s="1">
        <v>45660.666666666664</v>
      </c>
      <c r="B4386" t="s">
        <v>29</v>
      </c>
      <c r="C4386">
        <v>461.86</v>
      </c>
      <c r="D4386">
        <v>51.49</v>
      </c>
      <c r="E4386" t="s">
        <v>9</v>
      </c>
      <c r="F4386">
        <v>68.819999999999993</v>
      </c>
      <c r="G4386" t="s">
        <v>20</v>
      </c>
      <c r="H4386" t="s">
        <v>13</v>
      </c>
    </row>
    <row r="4387" spans="1:8" x14ac:dyDescent="0.25">
      <c r="A4387" s="1">
        <v>45660.708333333336</v>
      </c>
      <c r="B4387" t="s">
        <v>29</v>
      </c>
      <c r="C4387">
        <v>120.21</v>
      </c>
      <c r="D4387">
        <v>84.43</v>
      </c>
      <c r="E4387" t="s">
        <v>9</v>
      </c>
      <c r="F4387">
        <v>36.57</v>
      </c>
      <c r="G4387" t="s">
        <v>20</v>
      </c>
      <c r="H4387" t="s">
        <v>13</v>
      </c>
    </row>
    <row r="4388" spans="1:8" x14ac:dyDescent="0.25">
      <c r="A4388" s="1">
        <v>45660.75</v>
      </c>
      <c r="B4388" t="s">
        <v>29</v>
      </c>
      <c r="C4388">
        <v>87.64</v>
      </c>
      <c r="D4388">
        <v>59.79</v>
      </c>
      <c r="E4388" t="s">
        <v>9</v>
      </c>
      <c r="F4388">
        <v>63.11</v>
      </c>
      <c r="G4388" t="s">
        <v>20</v>
      </c>
      <c r="H4388" t="s">
        <v>11</v>
      </c>
    </row>
    <row r="4389" spans="1:8" x14ac:dyDescent="0.25">
      <c r="A4389" s="1">
        <v>45660.791666666664</v>
      </c>
      <c r="B4389" t="s">
        <v>29</v>
      </c>
      <c r="C4389">
        <v>176.75</v>
      </c>
      <c r="D4389">
        <v>60.53</v>
      </c>
      <c r="E4389" t="s">
        <v>9</v>
      </c>
      <c r="F4389">
        <v>30.78</v>
      </c>
      <c r="G4389" t="s">
        <v>20</v>
      </c>
      <c r="H4389" t="s">
        <v>11</v>
      </c>
    </row>
    <row r="4390" spans="1:8" x14ac:dyDescent="0.25">
      <c r="A4390" s="1">
        <v>45660.833333333336</v>
      </c>
      <c r="B4390" t="s">
        <v>29</v>
      </c>
      <c r="C4390">
        <v>147.72</v>
      </c>
      <c r="D4390">
        <v>74.23</v>
      </c>
      <c r="E4390" t="s">
        <v>9</v>
      </c>
      <c r="F4390">
        <v>32.58</v>
      </c>
      <c r="G4390" t="s">
        <v>20</v>
      </c>
      <c r="H4390" t="s">
        <v>11</v>
      </c>
    </row>
    <row r="4391" spans="1:8" x14ac:dyDescent="0.25">
      <c r="A4391" s="1">
        <v>45660.875</v>
      </c>
      <c r="B4391" t="s">
        <v>29</v>
      </c>
      <c r="C4391">
        <v>479.97</v>
      </c>
      <c r="D4391">
        <v>56.37</v>
      </c>
      <c r="E4391" t="s">
        <v>9</v>
      </c>
      <c r="F4391">
        <v>84.79</v>
      </c>
      <c r="G4391" t="s">
        <v>20</v>
      </c>
      <c r="H4391" t="s">
        <v>12</v>
      </c>
    </row>
    <row r="4392" spans="1:8" x14ac:dyDescent="0.25">
      <c r="A4392" s="1">
        <v>45660.916666666664</v>
      </c>
      <c r="B4392" t="s">
        <v>29</v>
      </c>
      <c r="C4392">
        <v>336.94</v>
      </c>
      <c r="D4392">
        <v>38.86</v>
      </c>
      <c r="E4392" t="s">
        <v>9</v>
      </c>
      <c r="F4392">
        <v>55.91</v>
      </c>
      <c r="G4392" t="s">
        <v>20</v>
      </c>
      <c r="H4392" t="s">
        <v>12</v>
      </c>
    </row>
    <row r="4393" spans="1:8" x14ac:dyDescent="0.25">
      <c r="A4393" s="1">
        <v>45660.958333333336</v>
      </c>
      <c r="B4393" t="s">
        <v>29</v>
      </c>
      <c r="C4393">
        <v>289.02</v>
      </c>
      <c r="D4393">
        <v>73.180000000000007</v>
      </c>
      <c r="E4393" t="s">
        <v>9</v>
      </c>
      <c r="F4393">
        <v>35.659999999999997</v>
      </c>
      <c r="G4393" t="s">
        <v>20</v>
      </c>
      <c r="H4393" t="s">
        <v>11</v>
      </c>
    </row>
    <row r="4394" spans="1:8" x14ac:dyDescent="0.25">
      <c r="A4394" s="1">
        <v>45661</v>
      </c>
      <c r="B4394" t="s">
        <v>29</v>
      </c>
      <c r="C4394">
        <v>181.07</v>
      </c>
      <c r="D4394">
        <v>92.79</v>
      </c>
      <c r="E4394" t="s">
        <v>14</v>
      </c>
      <c r="F4394">
        <v>81.430000000000007</v>
      </c>
      <c r="G4394" t="s">
        <v>20</v>
      </c>
      <c r="H4394" t="s">
        <v>12</v>
      </c>
    </row>
    <row r="4395" spans="1:8" x14ac:dyDescent="0.25">
      <c r="A4395" s="1">
        <v>45661.041666666664</v>
      </c>
      <c r="B4395" t="s">
        <v>29</v>
      </c>
      <c r="C4395">
        <v>470.19</v>
      </c>
      <c r="D4395">
        <v>42.1</v>
      </c>
      <c r="E4395" t="s">
        <v>9</v>
      </c>
      <c r="F4395">
        <v>84.05</v>
      </c>
      <c r="G4395" t="s">
        <v>20</v>
      </c>
      <c r="H4395" t="s">
        <v>11</v>
      </c>
    </row>
    <row r="4396" spans="1:8" x14ac:dyDescent="0.25">
      <c r="A4396" s="1">
        <v>45661.083333333336</v>
      </c>
      <c r="B4396" t="s">
        <v>29</v>
      </c>
      <c r="C4396">
        <v>379.76</v>
      </c>
      <c r="D4396">
        <v>73.650000000000006</v>
      </c>
      <c r="E4396" t="s">
        <v>9</v>
      </c>
      <c r="F4396">
        <v>31.1</v>
      </c>
      <c r="G4396" t="s">
        <v>20</v>
      </c>
      <c r="H4396" t="s">
        <v>11</v>
      </c>
    </row>
    <row r="4397" spans="1:8" x14ac:dyDescent="0.25">
      <c r="A4397" s="1">
        <v>45661.125</v>
      </c>
      <c r="B4397" t="s">
        <v>29</v>
      </c>
      <c r="C4397">
        <v>218.87</v>
      </c>
      <c r="D4397">
        <v>25.3</v>
      </c>
      <c r="E4397" t="s">
        <v>9</v>
      </c>
      <c r="F4397">
        <v>42.64</v>
      </c>
      <c r="G4397" t="s">
        <v>20</v>
      </c>
      <c r="H4397" t="s">
        <v>11</v>
      </c>
    </row>
    <row r="4398" spans="1:8" x14ac:dyDescent="0.25">
      <c r="A4398" s="1">
        <v>45661.166666666664</v>
      </c>
      <c r="B4398" t="s">
        <v>29</v>
      </c>
      <c r="C4398">
        <v>294.26</v>
      </c>
      <c r="D4398">
        <v>78.040000000000006</v>
      </c>
      <c r="E4398" t="s">
        <v>9</v>
      </c>
      <c r="F4398">
        <v>42.08</v>
      </c>
      <c r="G4398" t="s">
        <v>20</v>
      </c>
      <c r="H4398" t="s">
        <v>11</v>
      </c>
    </row>
    <row r="4399" spans="1:8" x14ac:dyDescent="0.25">
      <c r="A4399" s="1">
        <v>45661.208333333336</v>
      </c>
      <c r="B4399" t="s">
        <v>29</v>
      </c>
      <c r="C4399">
        <v>82.45</v>
      </c>
      <c r="D4399">
        <v>31.23</v>
      </c>
      <c r="E4399" t="s">
        <v>9</v>
      </c>
      <c r="F4399">
        <v>38.99</v>
      </c>
      <c r="G4399" t="s">
        <v>20</v>
      </c>
      <c r="H4399" t="s">
        <v>12</v>
      </c>
    </row>
    <row r="4400" spans="1:8" x14ac:dyDescent="0.25">
      <c r="A4400" s="1">
        <v>45661.25</v>
      </c>
      <c r="B4400" t="s">
        <v>29</v>
      </c>
      <c r="C4400">
        <v>136.19</v>
      </c>
      <c r="D4400">
        <v>83.8</v>
      </c>
      <c r="E4400" t="s">
        <v>9</v>
      </c>
      <c r="F4400">
        <v>36.89</v>
      </c>
      <c r="G4400" t="s">
        <v>20</v>
      </c>
      <c r="H4400" t="s">
        <v>13</v>
      </c>
    </row>
    <row r="4401" spans="1:8" x14ac:dyDescent="0.25">
      <c r="A4401" s="1">
        <v>45661.291666666664</v>
      </c>
      <c r="B4401" t="s">
        <v>29</v>
      </c>
      <c r="C4401">
        <v>464.13</v>
      </c>
      <c r="D4401">
        <v>85.28</v>
      </c>
      <c r="E4401" t="s">
        <v>14</v>
      </c>
      <c r="F4401">
        <v>59</v>
      </c>
      <c r="G4401" t="s">
        <v>20</v>
      </c>
      <c r="H4401" t="s">
        <v>13</v>
      </c>
    </row>
    <row r="4402" spans="1:8" x14ac:dyDescent="0.25">
      <c r="A4402" s="1">
        <v>45661.333333333336</v>
      </c>
      <c r="B4402" t="s">
        <v>29</v>
      </c>
      <c r="C4402">
        <v>318.37</v>
      </c>
      <c r="D4402">
        <v>88.34</v>
      </c>
      <c r="E4402" t="s">
        <v>14</v>
      </c>
      <c r="F4402">
        <v>65.13</v>
      </c>
      <c r="G4402" t="s">
        <v>20</v>
      </c>
      <c r="H4402" t="s">
        <v>12</v>
      </c>
    </row>
    <row r="4403" spans="1:8" x14ac:dyDescent="0.25">
      <c r="A4403" s="1">
        <v>45661.375</v>
      </c>
      <c r="B4403" t="s">
        <v>29</v>
      </c>
      <c r="C4403">
        <v>412.24</v>
      </c>
      <c r="D4403">
        <v>39.159999999999997</v>
      </c>
      <c r="E4403" t="s">
        <v>9</v>
      </c>
      <c r="F4403">
        <v>41.41</v>
      </c>
      <c r="G4403" t="s">
        <v>20</v>
      </c>
      <c r="H4403" t="s">
        <v>12</v>
      </c>
    </row>
    <row r="4404" spans="1:8" x14ac:dyDescent="0.25">
      <c r="A4404" s="1">
        <v>45661.416666666664</v>
      </c>
      <c r="B4404" t="s">
        <v>29</v>
      </c>
      <c r="C4404">
        <v>81.069999999999993</v>
      </c>
      <c r="D4404">
        <v>70.81</v>
      </c>
      <c r="E4404" t="s">
        <v>9</v>
      </c>
      <c r="F4404">
        <v>61.1</v>
      </c>
      <c r="G4404" t="s">
        <v>20</v>
      </c>
      <c r="H4404" t="s">
        <v>11</v>
      </c>
    </row>
    <row r="4405" spans="1:8" x14ac:dyDescent="0.25">
      <c r="A4405" s="1">
        <v>45661.458333333336</v>
      </c>
      <c r="B4405" t="s">
        <v>29</v>
      </c>
      <c r="C4405">
        <v>483.15</v>
      </c>
      <c r="D4405">
        <v>32.74</v>
      </c>
      <c r="E4405" t="s">
        <v>9</v>
      </c>
      <c r="F4405">
        <v>52.05</v>
      </c>
      <c r="G4405" t="s">
        <v>20</v>
      </c>
      <c r="H4405" t="s">
        <v>13</v>
      </c>
    </row>
    <row r="4406" spans="1:8" x14ac:dyDescent="0.25">
      <c r="A4406" s="1">
        <v>45661.5</v>
      </c>
      <c r="B4406" t="s">
        <v>29</v>
      </c>
      <c r="C4406">
        <v>441.42</v>
      </c>
      <c r="D4406">
        <v>44.51</v>
      </c>
      <c r="E4406" t="s">
        <v>9</v>
      </c>
      <c r="F4406">
        <v>82.84</v>
      </c>
      <c r="G4406" t="s">
        <v>20</v>
      </c>
      <c r="H4406" t="s">
        <v>12</v>
      </c>
    </row>
    <row r="4407" spans="1:8" x14ac:dyDescent="0.25">
      <c r="A4407" s="1">
        <v>45661.541666666664</v>
      </c>
      <c r="B4407" t="s">
        <v>29</v>
      </c>
      <c r="C4407">
        <v>136.1</v>
      </c>
      <c r="D4407">
        <v>34.79</v>
      </c>
      <c r="E4407" t="s">
        <v>9</v>
      </c>
      <c r="F4407">
        <v>37.49</v>
      </c>
      <c r="G4407" t="s">
        <v>20</v>
      </c>
      <c r="H4407" t="s">
        <v>11</v>
      </c>
    </row>
    <row r="4408" spans="1:8" x14ac:dyDescent="0.25">
      <c r="A4408" s="1">
        <v>45661.583333333336</v>
      </c>
      <c r="B4408" t="s">
        <v>29</v>
      </c>
      <c r="C4408">
        <v>212.7</v>
      </c>
      <c r="D4408">
        <v>31.84</v>
      </c>
      <c r="E4408" t="s">
        <v>9</v>
      </c>
      <c r="F4408">
        <v>60.44</v>
      </c>
      <c r="G4408" t="s">
        <v>20</v>
      </c>
      <c r="H4408" t="s">
        <v>11</v>
      </c>
    </row>
    <row r="4409" spans="1:8" x14ac:dyDescent="0.25">
      <c r="A4409" s="1">
        <v>45661.625</v>
      </c>
      <c r="B4409" t="s">
        <v>29</v>
      </c>
      <c r="C4409">
        <v>385.99</v>
      </c>
      <c r="D4409">
        <v>72.34</v>
      </c>
      <c r="E4409" t="s">
        <v>9</v>
      </c>
      <c r="F4409">
        <v>69.569999999999993</v>
      </c>
      <c r="G4409" t="s">
        <v>20</v>
      </c>
      <c r="H4409" t="s">
        <v>13</v>
      </c>
    </row>
    <row r="4410" spans="1:8" x14ac:dyDescent="0.25">
      <c r="A4410" s="1">
        <v>45661.666666666664</v>
      </c>
      <c r="B4410" t="s">
        <v>29</v>
      </c>
      <c r="C4410">
        <v>273.93</v>
      </c>
      <c r="D4410">
        <v>82.87</v>
      </c>
      <c r="E4410" t="s">
        <v>9</v>
      </c>
      <c r="F4410">
        <v>44.82</v>
      </c>
      <c r="G4410" t="s">
        <v>20</v>
      </c>
      <c r="H4410" t="s">
        <v>11</v>
      </c>
    </row>
    <row r="4411" spans="1:8" x14ac:dyDescent="0.25">
      <c r="A4411" s="1">
        <v>45661.708333333336</v>
      </c>
      <c r="B4411" t="s">
        <v>29</v>
      </c>
      <c r="C4411">
        <v>58.2</v>
      </c>
      <c r="D4411">
        <v>43.7</v>
      </c>
      <c r="E4411" t="s">
        <v>9</v>
      </c>
      <c r="F4411">
        <v>73.73</v>
      </c>
      <c r="G4411" t="s">
        <v>20</v>
      </c>
      <c r="H4411" t="s">
        <v>13</v>
      </c>
    </row>
    <row r="4412" spans="1:8" x14ac:dyDescent="0.25">
      <c r="A4412" s="1">
        <v>45661.75</v>
      </c>
      <c r="B4412" t="s">
        <v>29</v>
      </c>
      <c r="C4412">
        <v>205.06</v>
      </c>
      <c r="D4412">
        <v>74.61</v>
      </c>
      <c r="E4412" t="s">
        <v>9</v>
      </c>
      <c r="F4412">
        <v>84.46</v>
      </c>
      <c r="G4412" t="s">
        <v>20</v>
      </c>
      <c r="H4412" t="s">
        <v>11</v>
      </c>
    </row>
    <row r="4413" spans="1:8" x14ac:dyDescent="0.25">
      <c r="A4413" s="1">
        <v>45661.791666666664</v>
      </c>
      <c r="B4413" t="s">
        <v>29</v>
      </c>
      <c r="C4413">
        <v>298.33999999999997</v>
      </c>
      <c r="D4413">
        <v>55.04</v>
      </c>
      <c r="E4413" t="s">
        <v>9</v>
      </c>
      <c r="F4413">
        <v>49.1</v>
      </c>
      <c r="G4413" t="s">
        <v>20</v>
      </c>
      <c r="H4413" t="s">
        <v>13</v>
      </c>
    </row>
    <row r="4414" spans="1:8" x14ac:dyDescent="0.25">
      <c r="A4414" s="1">
        <v>45661.833333333336</v>
      </c>
      <c r="B4414" t="s">
        <v>29</v>
      </c>
      <c r="C4414">
        <v>70.290000000000006</v>
      </c>
      <c r="D4414">
        <v>60.46</v>
      </c>
      <c r="E4414" t="s">
        <v>9</v>
      </c>
      <c r="F4414">
        <v>40.869999999999997</v>
      </c>
      <c r="G4414" t="s">
        <v>20</v>
      </c>
      <c r="H4414" t="s">
        <v>11</v>
      </c>
    </row>
    <row r="4415" spans="1:8" x14ac:dyDescent="0.25">
      <c r="A4415" s="1">
        <v>45661.875</v>
      </c>
      <c r="B4415" t="s">
        <v>29</v>
      </c>
      <c r="C4415">
        <v>139.08000000000001</v>
      </c>
      <c r="D4415">
        <v>21.07</v>
      </c>
      <c r="E4415" t="s">
        <v>9</v>
      </c>
      <c r="F4415">
        <v>73.06</v>
      </c>
      <c r="G4415" t="s">
        <v>20</v>
      </c>
      <c r="H4415" t="s">
        <v>12</v>
      </c>
    </row>
    <row r="4416" spans="1:8" x14ac:dyDescent="0.25">
      <c r="A4416" s="1">
        <v>45661.916666666664</v>
      </c>
      <c r="B4416" t="s">
        <v>29</v>
      </c>
      <c r="C4416">
        <v>471.68</v>
      </c>
      <c r="D4416">
        <v>82.63</v>
      </c>
      <c r="E4416" t="s">
        <v>9</v>
      </c>
      <c r="F4416">
        <v>44.75</v>
      </c>
      <c r="G4416" t="s">
        <v>20</v>
      </c>
      <c r="H4416" t="s">
        <v>11</v>
      </c>
    </row>
    <row r="4417" spans="1:8" x14ac:dyDescent="0.25">
      <c r="A4417" s="1">
        <v>45661.958333333336</v>
      </c>
      <c r="B4417" t="s">
        <v>29</v>
      </c>
      <c r="C4417">
        <v>479.11</v>
      </c>
      <c r="D4417">
        <v>73.599999999999994</v>
      </c>
      <c r="E4417" t="s">
        <v>9</v>
      </c>
      <c r="F4417">
        <v>71.3</v>
      </c>
      <c r="G4417" t="s">
        <v>20</v>
      </c>
      <c r="H4417" t="s">
        <v>12</v>
      </c>
    </row>
    <row r="4418" spans="1:8" x14ac:dyDescent="0.25">
      <c r="A4418" s="1">
        <v>45662</v>
      </c>
      <c r="B4418" t="s">
        <v>29</v>
      </c>
      <c r="C4418">
        <v>376.64</v>
      </c>
      <c r="D4418">
        <v>91.09</v>
      </c>
      <c r="E4418" t="s">
        <v>14</v>
      </c>
      <c r="F4418">
        <v>74.290000000000006</v>
      </c>
      <c r="G4418" t="s">
        <v>20</v>
      </c>
      <c r="H4418" t="s">
        <v>12</v>
      </c>
    </row>
    <row r="4419" spans="1:8" x14ac:dyDescent="0.25">
      <c r="A4419" s="1">
        <v>45662.041666666664</v>
      </c>
      <c r="B4419" t="s">
        <v>29</v>
      </c>
      <c r="C4419">
        <v>450.47</v>
      </c>
      <c r="D4419">
        <v>15.53</v>
      </c>
      <c r="E4419" t="s">
        <v>9</v>
      </c>
      <c r="F4419">
        <v>54.86</v>
      </c>
      <c r="G4419" t="s">
        <v>20</v>
      </c>
      <c r="H4419" t="s">
        <v>11</v>
      </c>
    </row>
    <row r="4420" spans="1:8" x14ac:dyDescent="0.25">
      <c r="A4420" s="1">
        <v>45662.083333333336</v>
      </c>
      <c r="B4420" t="s">
        <v>29</v>
      </c>
      <c r="C4420">
        <v>190.7</v>
      </c>
      <c r="D4420">
        <v>24.55</v>
      </c>
      <c r="E4420" t="s">
        <v>9</v>
      </c>
      <c r="F4420">
        <v>79.599999999999994</v>
      </c>
      <c r="G4420" t="s">
        <v>20</v>
      </c>
      <c r="H4420" t="s">
        <v>11</v>
      </c>
    </row>
    <row r="4421" spans="1:8" x14ac:dyDescent="0.25">
      <c r="A4421" s="1">
        <v>45662.125</v>
      </c>
      <c r="B4421" t="s">
        <v>29</v>
      </c>
      <c r="C4421">
        <v>100.68</v>
      </c>
      <c r="D4421">
        <v>54.05</v>
      </c>
      <c r="E4421" t="s">
        <v>9</v>
      </c>
      <c r="F4421">
        <v>58.01</v>
      </c>
      <c r="G4421" t="s">
        <v>20</v>
      </c>
      <c r="H4421" t="s">
        <v>11</v>
      </c>
    </row>
    <row r="4422" spans="1:8" x14ac:dyDescent="0.25">
      <c r="A4422" s="1">
        <v>45662.166666666664</v>
      </c>
      <c r="B4422" t="s">
        <v>29</v>
      </c>
      <c r="C4422">
        <v>409.89</v>
      </c>
      <c r="D4422">
        <v>43.7</v>
      </c>
      <c r="E4422" t="s">
        <v>9</v>
      </c>
      <c r="F4422">
        <v>75.72</v>
      </c>
      <c r="G4422" t="s">
        <v>20</v>
      </c>
      <c r="H4422" t="s">
        <v>12</v>
      </c>
    </row>
    <row r="4423" spans="1:8" x14ac:dyDescent="0.25">
      <c r="A4423" s="1">
        <v>45662.208333333336</v>
      </c>
      <c r="B4423" t="s">
        <v>29</v>
      </c>
      <c r="C4423">
        <v>423.53</v>
      </c>
      <c r="D4423">
        <v>27.84</v>
      </c>
      <c r="E4423" t="s">
        <v>9</v>
      </c>
      <c r="F4423">
        <v>52.34</v>
      </c>
      <c r="G4423" t="s">
        <v>20</v>
      </c>
      <c r="H4423" t="s">
        <v>11</v>
      </c>
    </row>
    <row r="4424" spans="1:8" x14ac:dyDescent="0.25">
      <c r="A4424" s="1">
        <v>45662.25</v>
      </c>
      <c r="B4424" t="s">
        <v>29</v>
      </c>
      <c r="C4424">
        <v>447.43</v>
      </c>
      <c r="D4424">
        <v>22.84</v>
      </c>
      <c r="E4424" t="s">
        <v>9</v>
      </c>
      <c r="F4424">
        <v>35.74</v>
      </c>
      <c r="G4424" t="s">
        <v>20</v>
      </c>
      <c r="H4424" t="s">
        <v>12</v>
      </c>
    </row>
    <row r="4425" spans="1:8" x14ac:dyDescent="0.25">
      <c r="A4425" s="1">
        <v>45662.291666666664</v>
      </c>
      <c r="B4425" t="s">
        <v>29</v>
      </c>
      <c r="C4425">
        <v>105.46</v>
      </c>
      <c r="D4425">
        <v>83.91</v>
      </c>
      <c r="E4425" t="s">
        <v>9</v>
      </c>
      <c r="F4425">
        <v>31.89</v>
      </c>
      <c r="G4425" t="s">
        <v>20</v>
      </c>
      <c r="H4425" t="s">
        <v>11</v>
      </c>
    </row>
    <row r="4426" spans="1:8" x14ac:dyDescent="0.25">
      <c r="A4426" s="1">
        <v>45662.333333333336</v>
      </c>
      <c r="B4426" t="s">
        <v>29</v>
      </c>
      <c r="C4426">
        <v>116.2</v>
      </c>
      <c r="D4426">
        <v>76.08</v>
      </c>
      <c r="E4426" t="s">
        <v>9</v>
      </c>
      <c r="F4426">
        <v>32.090000000000003</v>
      </c>
      <c r="G4426" t="s">
        <v>20</v>
      </c>
      <c r="H4426" t="s">
        <v>13</v>
      </c>
    </row>
    <row r="4427" spans="1:8" x14ac:dyDescent="0.25">
      <c r="A4427" s="1">
        <v>45662.375</v>
      </c>
      <c r="B4427" t="s">
        <v>29</v>
      </c>
      <c r="C4427">
        <v>85.99</v>
      </c>
      <c r="D4427">
        <v>62.8</v>
      </c>
      <c r="E4427" t="s">
        <v>9</v>
      </c>
      <c r="F4427">
        <v>81.040000000000006</v>
      </c>
      <c r="G4427" t="s">
        <v>20</v>
      </c>
      <c r="H4427" t="s">
        <v>12</v>
      </c>
    </row>
    <row r="4428" spans="1:8" x14ac:dyDescent="0.25">
      <c r="A4428" s="1">
        <v>45662.416666666664</v>
      </c>
      <c r="B4428" t="s">
        <v>29</v>
      </c>
      <c r="C4428">
        <v>327.67</v>
      </c>
      <c r="D4428">
        <v>78.67</v>
      </c>
      <c r="E4428" t="s">
        <v>9</v>
      </c>
      <c r="F4428">
        <v>82.55</v>
      </c>
      <c r="G4428" t="s">
        <v>20</v>
      </c>
      <c r="H4428" t="s">
        <v>13</v>
      </c>
    </row>
    <row r="4429" spans="1:8" x14ac:dyDescent="0.25">
      <c r="A4429" s="1">
        <v>45662.458333333336</v>
      </c>
      <c r="B4429" t="s">
        <v>29</v>
      </c>
      <c r="C4429">
        <v>270.63</v>
      </c>
      <c r="D4429">
        <v>64.349999999999994</v>
      </c>
      <c r="E4429" t="s">
        <v>9</v>
      </c>
      <c r="F4429">
        <v>73.75</v>
      </c>
      <c r="G4429" t="s">
        <v>20</v>
      </c>
      <c r="H4429" t="s">
        <v>11</v>
      </c>
    </row>
    <row r="4430" spans="1:8" x14ac:dyDescent="0.25">
      <c r="A4430" s="1">
        <v>45662.5</v>
      </c>
      <c r="B4430" t="s">
        <v>29</v>
      </c>
      <c r="C4430">
        <v>294.91000000000003</v>
      </c>
      <c r="D4430">
        <v>17.170000000000002</v>
      </c>
      <c r="E4430" t="s">
        <v>9</v>
      </c>
      <c r="F4430">
        <v>57.87</v>
      </c>
      <c r="G4430" t="s">
        <v>20</v>
      </c>
      <c r="H4430" t="s">
        <v>11</v>
      </c>
    </row>
    <row r="4431" spans="1:8" x14ac:dyDescent="0.25">
      <c r="A4431" s="1">
        <v>45662.541666666664</v>
      </c>
      <c r="B4431" t="s">
        <v>29</v>
      </c>
      <c r="C4431">
        <v>314.47000000000003</v>
      </c>
      <c r="D4431">
        <v>32.159999999999997</v>
      </c>
      <c r="E4431" t="s">
        <v>9</v>
      </c>
      <c r="F4431">
        <v>65.28</v>
      </c>
      <c r="G4431" t="s">
        <v>20</v>
      </c>
      <c r="H4431" t="s">
        <v>11</v>
      </c>
    </row>
    <row r="4432" spans="1:8" x14ac:dyDescent="0.25">
      <c r="A4432" s="1">
        <v>45662.583333333336</v>
      </c>
      <c r="B4432" t="s">
        <v>29</v>
      </c>
      <c r="C4432">
        <v>104.16</v>
      </c>
      <c r="D4432">
        <v>87.71</v>
      </c>
      <c r="E4432" t="s">
        <v>14</v>
      </c>
      <c r="F4432">
        <v>80.790000000000006</v>
      </c>
      <c r="G4432" t="s">
        <v>20</v>
      </c>
      <c r="H4432" t="s">
        <v>12</v>
      </c>
    </row>
    <row r="4433" spans="1:8" x14ac:dyDescent="0.25">
      <c r="A4433" s="1">
        <v>45662.625</v>
      </c>
      <c r="B4433" t="s">
        <v>29</v>
      </c>
      <c r="C4433">
        <v>200.64</v>
      </c>
      <c r="D4433">
        <v>55.11</v>
      </c>
      <c r="E4433" t="s">
        <v>9</v>
      </c>
      <c r="F4433">
        <v>76.78</v>
      </c>
      <c r="G4433" t="s">
        <v>20</v>
      </c>
      <c r="H4433" t="s">
        <v>12</v>
      </c>
    </row>
    <row r="4434" spans="1:8" x14ac:dyDescent="0.25">
      <c r="A4434" s="1">
        <v>45662.666666666664</v>
      </c>
      <c r="B4434" t="s">
        <v>29</v>
      </c>
      <c r="C4434">
        <v>302.27</v>
      </c>
      <c r="D4434">
        <v>42.78</v>
      </c>
      <c r="E4434" t="s">
        <v>9</v>
      </c>
      <c r="F4434">
        <v>64.13</v>
      </c>
      <c r="G4434" t="s">
        <v>20</v>
      </c>
      <c r="H4434" t="s">
        <v>13</v>
      </c>
    </row>
    <row r="4435" spans="1:8" x14ac:dyDescent="0.25">
      <c r="A4435" s="1">
        <v>45662.708333333336</v>
      </c>
      <c r="B4435" t="s">
        <v>29</v>
      </c>
      <c r="C4435">
        <v>487.04</v>
      </c>
      <c r="D4435">
        <v>94.68</v>
      </c>
      <c r="E4435" t="s">
        <v>14</v>
      </c>
      <c r="F4435">
        <v>44.44</v>
      </c>
      <c r="G4435" t="s">
        <v>20</v>
      </c>
      <c r="H4435" t="s">
        <v>11</v>
      </c>
    </row>
    <row r="4436" spans="1:8" x14ac:dyDescent="0.25">
      <c r="A4436" s="1">
        <v>45662.75</v>
      </c>
      <c r="B4436" t="s">
        <v>29</v>
      </c>
      <c r="C4436">
        <v>194.84</v>
      </c>
      <c r="D4436">
        <v>83.01</v>
      </c>
      <c r="E4436" t="s">
        <v>9</v>
      </c>
      <c r="F4436">
        <v>52.86</v>
      </c>
      <c r="G4436" t="s">
        <v>20</v>
      </c>
      <c r="H4436" t="s">
        <v>13</v>
      </c>
    </row>
    <row r="4437" spans="1:8" x14ac:dyDescent="0.25">
      <c r="A4437" s="1">
        <v>45662.791666666664</v>
      </c>
      <c r="B4437" t="s">
        <v>29</v>
      </c>
      <c r="C4437">
        <v>128.84</v>
      </c>
      <c r="D4437">
        <v>48.38</v>
      </c>
      <c r="E4437" t="s">
        <v>9</v>
      </c>
      <c r="F4437">
        <v>36.89</v>
      </c>
      <c r="G4437" t="s">
        <v>20</v>
      </c>
      <c r="H4437" t="s">
        <v>12</v>
      </c>
    </row>
    <row r="4438" spans="1:8" x14ac:dyDescent="0.25">
      <c r="A4438" s="1">
        <v>45662.833333333336</v>
      </c>
      <c r="B4438" t="s">
        <v>29</v>
      </c>
      <c r="C4438">
        <v>130.16</v>
      </c>
      <c r="D4438">
        <v>21.56</v>
      </c>
      <c r="E4438" t="s">
        <v>9</v>
      </c>
      <c r="F4438">
        <v>50.36</v>
      </c>
      <c r="G4438" t="s">
        <v>20</v>
      </c>
      <c r="H4438" t="s">
        <v>11</v>
      </c>
    </row>
    <row r="4439" spans="1:8" x14ac:dyDescent="0.25">
      <c r="A4439" s="1">
        <v>45662.875</v>
      </c>
      <c r="B4439" t="s">
        <v>29</v>
      </c>
      <c r="C4439">
        <v>263.49</v>
      </c>
      <c r="D4439">
        <v>83.93</v>
      </c>
      <c r="E4439" t="s">
        <v>9</v>
      </c>
      <c r="F4439">
        <v>40.450000000000003</v>
      </c>
      <c r="G4439" t="s">
        <v>20</v>
      </c>
      <c r="H4439" t="s">
        <v>12</v>
      </c>
    </row>
    <row r="4440" spans="1:8" x14ac:dyDescent="0.25">
      <c r="A4440" s="1">
        <v>45662.916666666664</v>
      </c>
      <c r="B4440" t="s">
        <v>29</v>
      </c>
      <c r="C4440">
        <v>96.26</v>
      </c>
      <c r="D4440">
        <v>50.2</v>
      </c>
      <c r="E4440" t="s">
        <v>9</v>
      </c>
      <c r="F4440">
        <v>86.5</v>
      </c>
      <c r="G4440" t="s">
        <v>20</v>
      </c>
      <c r="H4440" t="s">
        <v>12</v>
      </c>
    </row>
    <row r="4441" spans="1:8" x14ac:dyDescent="0.25">
      <c r="A4441" s="1">
        <v>45662.958333333336</v>
      </c>
      <c r="B4441" t="s">
        <v>29</v>
      </c>
      <c r="C4441">
        <v>324.33</v>
      </c>
      <c r="D4441">
        <v>52.11</v>
      </c>
      <c r="E4441" t="s">
        <v>9</v>
      </c>
      <c r="F4441">
        <v>55.8</v>
      </c>
      <c r="G4441" t="s">
        <v>20</v>
      </c>
      <c r="H4441" t="s">
        <v>11</v>
      </c>
    </row>
    <row r="4442" spans="1:8" x14ac:dyDescent="0.25">
      <c r="A4442" s="1">
        <v>45663</v>
      </c>
      <c r="B4442" t="s">
        <v>29</v>
      </c>
      <c r="C4442">
        <v>82.15</v>
      </c>
      <c r="D4442">
        <v>93.56</v>
      </c>
      <c r="E4442" t="s">
        <v>14</v>
      </c>
      <c r="F4442">
        <v>87.01</v>
      </c>
      <c r="G4442" t="s">
        <v>20</v>
      </c>
      <c r="H4442" t="s">
        <v>12</v>
      </c>
    </row>
    <row r="4443" spans="1:8" x14ac:dyDescent="0.25">
      <c r="A4443" s="1">
        <v>45663.041666666664</v>
      </c>
      <c r="B4443" t="s">
        <v>29</v>
      </c>
      <c r="C4443">
        <v>57.9</v>
      </c>
      <c r="D4443">
        <v>65.069999999999993</v>
      </c>
      <c r="E4443" t="s">
        <v>9</v>
      </c>
      <c r="F4443">
        <v>68.91</v>
      </c>
      <c r="G4443" t="s">
        <v>20</v>
      </c>
      <c r="H4443" t="s">
        <v>13</v>
      </c>
    </row>
    <row r="4444" spans="1:8" x14ac:dyDescent="0.25">
      <c r="A4444" s="1">
        <v>45663.083333333336</v>
      </c>
      <c r="B4444" t="s">
        <v>29</v>
      </c>
      <c r="C4444">
        <v>132.57</v>
      </c>
      <c r="D4444">
        <v>62.87</v>
      </c>
      <c r="E4444" t="s">
        <v>9</v>
      </c>
      <c r="F4444">
        <v>33.39</v>
      </c>
      <c r="G4444" t="s">
        <v>20</v>
      </c>
      <c r="H4444" t="s">
        <v>13</v>
      </c>
    </row>
    <row r="4445" spans="1:8" x14ac:dyDescent="0.25">
      <c r="A4445" s="1">
        <v>45663.125</v>
      </c>
      <c r="B4445" t="s">
        <v>29</v>
      </c>
      <c r="C4445">
        <v>452.89</v>
      </c>
      <c r="D4445">
        <v>60.82</v>
      </c>
      <c r="E4445" t="s">
        <v>9</v>
      </c>
      <c r="F4445">
        <v>69.37</v>
      </c>
      <c r="G4445" t="s">
        <v>20</v>
      </c>
      <c r="H4445" t="s">
        <v>12</v>
      </c>
    </row>
    <row r="4446" spans="1:8" x14ac:dyDescent="0.25">
      <c r="A4446" s="1">
        <v>45663.166666666664</v>
      </c>
      <c r="B4446" t="s">
        <v>29</v>
      </c>
      <c r="C4446">
        <v>432.66</v>
      </c>
      <c r="D4446">
        <v>93.43</v>
      </c>
      <c r="E4446" t="s">
        <v>14</v>
      </c>
      <c r="F4446">
        <v>88.57</v>
      </c>
      <c r="G4446" t="s">
        <v>20</v>
      </c>
      <c r="H4446" t="s">
        <v>12</v>
      </c>
    </row>
    <row r="4447" spans="1:8" x14ac:dyDescent="0.25">
      <c r="A4447" s="1">
        <v>45663.208333333336</v>
      </c>
      <c r="B4447" t="s">
        <v>29</v>
      </c>
      <c r="C4447">
        <v>480.39</v>
      </c>
      <c r="D4447">
        <v>84.25</v>
      </c>
      <c r="E4447" t="s">
        <v>9</v>
      </c>
      <c r="F4447">
        <v>73.650000000000006</v>
      </c>
      <c r="G4447" t="s">
        <v>20</v>
      </c>
      <c r="H4447" t="s">
        <v>11</v>
      </c>
    </row>
    <row r="4448" spans="1:8" x14ac:dyDescent="0.25">
      <c r="A4448" s="1">
        <v>45663.25</v>
      </c>
      <c r="B4448" t="s">
        <v>29</v>
      </c>
      <c r="C4448">
        <v>223.37</v>
      </c>
      <c r="D4448">
        <v>59.54</v>
      </c>
      <c r="E4448" t="s">
        <v>9</v>
      </c>
      <c r="F4448">
        <v>85.46</v>
      </c>
      <c r="G4448" t="s">
        <v>20</v>
      </c>
      <c r="H4448" t="s">
        <v>13</v>
      </c>
    </row>
    <row r="4449" spans="1:8" x14ac:dyDescent="0.25">
      <c r="A4449" s="1">
        <v>45663.291666666664</v>
      </c>
      <c r="B4449" t="s">
        <v>29</v>
      </c>
      <c r="C4449">
        <v>416.57</v>
      </c>
      <c r="D4449">
        <v>39.340000000000003</v>
      </c>
      <c r="E4449" t="s">
        <v>9</v>
      </c>
      <c r="F4449">
        <v>53.86</v>
      </c>
      <c r="G4449" t="s">
        <v>20</v>
      </c>
      <c r="H4449" t="s">
        <v>11</v>
      </c>
    </row>
    <row r="4450" spans="1:8" x14ac:dyDescent="0.25">
      <c r="A4450" s="1">
        <v>45663.333333333336</v>
      </c>
      <c r="B4450" t="s">
        <v>29</v>
      </c>
      <c r="C4450">
        <v>441.5</v>
      </c>
      <c r="D4450">
        <v>14.7</v>
      </c>
      <c r="E4450" t="s">
        <v>9</v>
      </c>
      <c r="F4450">
        <v>72.63</v>
      </c>
      <c r="G4450" t="s">
        <v>20</v>
      </c>
      <c r="H4450" t="s">
        <v>11</v>
      </c>
    </row>
    <row r="4451" spans="1:8" x14ac:dyDescent="0.25">
      <c r="A4451" s="1">
        <v>45663.375</v>
      </c>
      <c r="B4451" t="s">
        <v>29</v>
      </c>
      <c r="C4451">
        <v>406.86</v>
      </c>
      <c r="D4451">
        <v>39.56</v>
      </c>
      <c r="E4451" t="s">
        <v>9</v>
      </c>
      <c r="F4451">
        <v>51.31</v>
      </c>
      <c r="G4451" t="s">
        <v>20</v>
      </c>
      <c r="H4451" t="s">
        <v>12</v>
      </c>
    </row>
    <row r="4452" spans="1:8" x14ac:dyDescent="0.25">
      <c r="A4452" s="1">
        <v>45663.416666666664</v>
      </c>
      <c r="B4452" t="s">
        <v>29</v>
      </c>
      <c r="C4452">
        <v>460.51</v>
      </c>
      <c r="D4452">
        <v>18.97</v>
      </c>
      <c r="E4452" t="s">
        <v>9</v>
      </c>
      <c r="F4452">
        <v>61.31</v>
      </c>
      <c r="G4452" t="s">
        <v>20</v>
      </c>
      <c r="H4452" t="s">
        <v>12</v>
      </c>
    </row>
    <row r="4453" spans="1:8" x14ac:dyDescent="0.25">
      <c r="A4453" s="1">
        <v>45663.458333333336</v>
      </c>
      <c r="B4453" t="s">
        <v>29</v>
      </c>
      <c r="C4453">
        <v>137.30000000000001</v>
      </c>
      <c r="D4453">
        <v>82.58</v>
      </c>
      <c r="E4453" t="s">
        <v>9</v>
      </c>
      <c r="F4453">
        <v>64.260000000000005</v>
      </c>
      <c r="G4453" t="s">
        <v>20</v>
      </c>
      <c r="H4453" t="s">
        <v>11</v>
      </c>
    </row>
    <row r="4454" spans="1:8" x14ac:dyDescent="0.25">
      <c r="A4454" s="1">
        <v>45663.5</v>
      </c>
      <c r="B4454" t="s">
        <v>29</v>
      </c>
      <c r="C4454">
        <v>102.63</v>
      </c>
      <c r="D4454">
        <v>81.319999999999993</v>
      </c>
      <c r="E4454" t="s">
        <v>9</v>
      </c>
      <c r="F4454">
        <v>70.459999999999994</v>
      </c>
      <c r="G4454" t="s">
        <v>20</v>
      </c>
      <c r="H4454" t="s">
        <v>11</v>
      </c>
    </row>
    <row r="4455" spans="1:8" x14ac:dyDescent="0.25">
      <c r="A4455" s="1">
        <v>45663.541666666664</v>
      </c>
      <c r="B4455" t="s">
        <v>29</v>
      </c>
      <c r="C4455">
        <v>285.5</v>
      </c>
      <c r="D4455">
        <v>87.93</v>
      </c>
      <c r="E4455" t="s">
        <v>14</v>
      </c>
      <c r="F4455">
        <v>80.69</v>
      </c>
      <c r="G4455" t="s">
        <v>20</v>
      </c>
      <c r="H4455" t="s">
        <v>12</v>
      </c>
    </row>
    <row r="4456" spans="1:8" x14ac:dyDescent="0.25">
      <c r="A4456" s="1">
        <v>45663.583333333336</v>
      </c>
      <c r="B4456" t="s">
        <v>29</v>
      </c>
      <c r="C4456">
        <v>241.12</v>
      </c>
      <c r="D4456">
        <v>61.3</v>
      </c>
      <c r="E4456" t="s">
        <v>9</v>
      </c>
      <c r="F4456">
        <v>67.180000000000007</v>
      </c>
      <c r="G4456" t="s">
        <v>20</v>
      </c>
      <c r="H4456" t="s">
        <v>11</v>
      </c>
    </row>
    <row r="4457" spans="1:8" x14ac:dyDescent="0.25">
      <c r="A4457" s="1">
        <v>45663.625</v>
      </c>
      <c r="B4457" t="s">
        <v>29</v>
      </c>
      <c r="C4457">
        <v>80.08</v>
      </c>
      <c r="D4457">
        <v>14.7</v>
      </c>
      <c r="E4457" t="s">
        <v>9</v>
      </c>
      <c r="F4457">
        <v>39.5</v>
      </c>
      <c r="G4457" t="s">
        <v>20</v>
      </c>
      <c r="H4457" t="s">
        <v>13</v>
      </c>
    </row>
    <row r="4458" spans="1:8" x14ac:dyDescent="0.25">
      <c r="A4458" s="1">
        <v>45663.666666666664</v>
      </c>
      <c r="B4458" t="s">
        <v>29</v>
      </c>
      <c r="C4458">
        <v>157.94</v>
      </c>
      <c r="D4458">
        <v>92.59</v>
      </c>
      <c r="E4458" t="s">
        <v>14</v>
      </c>
      <c r="F4458">
        <v>65.84</v>
      </c>
      <c r="G4458" t="s">
        <v>20</v>
      </c>
      <c r="H4458" t="s">
        <v>12</v>
      </c>
    </row>
    <row r="4459" spans="1:8" x14ac:dyDescent="0.25">
      <c r="A4459" s="1">
        <v>45663.708333333336</v>
      </c>
      <c r="B4459" t="s">
        <v>29</v>
      </c>
      <c r="C4459">
        <v>121.57</v>
      </c>
      <c r="D4459">
        <v>91.96</v>
      </c>
      <c r="E4459" t="s">
        <v>14</v>
      </c>
      <c r="F4459">
        <v>49.16</v>
      </c>
      <c r="G4459" t="s">
        <v>20</v>
      </c>
      <c r="H4459" t="s">
        <v>11</v>
      </c>
    </row>
    <row r="4460" spans="1:8" x14ac:dyDescent="0.25">
      <c r="A4460" s="1">
        <v>45663.75</v>
      </c>
      <c r="B4460" t="s">
        <v>29</v>
      </c>
      <c r="C4460">
        <v>431.27</v>
      </c>
      <c r="D4460">
        <v>16.12</v>
      </c>
      <c r="E4460" t="s">
        <v>9</v>
      </c>
      <c r="F4460">
        <v>86.87</v>
      </c>
      <c r="G4460" t="s">
        <v>20</v>
      </c>
      <c r="H4460" t="s">
        <v>12</v>
      </c>
    </row>
    <row r="4461" spans="1:8" x14ac:dyDescent="0.25">
      <c r="A4461" s="1">
        <v>45663.791666666664</v>
      </c>
      <c r="B4461" t="s">
        <v>29</v>
      </c>
      <c r="C4461">
        <v>249.02</v>
      </c>
      <c r="D4461">
        <v>52.56</v>
      </c>
      <c r="E4461" t="s">
        <v>9</v>
      </c>
      <c r="F4461">
        <v>67.38</v>
      </c>
      <c r="G4461" t="s">
        <v>20</v>
      </c>
      <c r="H4461" t="s">
        <v>11</v>
      </c>
    </row>
    <row r="4462" spans="1:8" x14ac:dyDescent="0.25">
      <c r="A4462" s="1">
        <v>45663.833333333336</v>
      </c>
      <c r="B4462" t="s">
        <v>29</v>
      </c>
      <c r="C4462">
        <v>218.42</v>
      </c>
      <c r="D4462">
        <v>85.62</v>
      </c>
      <c r="E4462" t="s">
        <v>14</v>
      </c>
      <c r="F4462">
        <v>70.06</v>
      </c>
      <c r="G4462" t="s">
        <v>20</v>
      </c>
      <c r="H4462" t="s">
        <v>13</v>
      </c>
    </row>
    <row r="4463" spans="1:8" x14ac:dyDescent="0.25">
      <c r="A4463" s="1">
        <v>45663.875</v>
      </c>
      <c r="B4463" t="s">
        <v>29</v>
      </c>
      <c r="C4463">
        <v>193.96</v>
      </c>
      <c r="D4463">
        <v>77.81</v>
      </c>
      <c r="E4463" t="s">
        <v>9</v>
      </c>
      <c r="F4463">
        <v>36.270000000000003</v>
      </c>
      <c r="G4463" t="s">
        <v>20</v>
      </c>
      <c r="H4463" t="s">
        <v>12</v>
      </c>
    </row>
    <row r="4464" spans="1:8" x14ac:dyDescent="0.25">
      <c r="A4464" s="1">
        <v>45663.916666666664</v>
      </c>
      <c r="B4464" t="s">
        <v>29</v>
      </c>
      <c r="C4464">
        <v>203.75</v>
      </c>
      <c r="D4464">
        <v>27.01</v>
      </c>
      <c r="E4464" t="s">
        <v>9</v>
      </c>
      <c r="F4464">
        <v>76</v>
      </c>
      <c r="G4464" t="s">
        <v>20</v>
      </c>
      <c r="H4464" t="s">
        <v>13</v>
      </c>
    </row>
    <row r="4465" spans="1:8" x14ac:dyDescent="0.25">
      <c r="A4465" s="1">
        <v>45663.958333333336</v>
      </c>
      <c r="B4465" t="s">
        <v>29</v>
      </c>
      <c r="C4465">
        <v>493.91</v>
      </c>
      <c r="D4465">
        <v>87.37</v>
      </c>
      <c r="E4465" t="s">
        <v>14</v>
      </c>
      <c r="F4465">
        <v>85.71</v>
      </c>
      <c r="G4465" t="s">
        <v>20</v>
      </c>
      <c r="H4465" t="s">
        <v>13</v>
      </c>
    </row>
    <row r="4466" spans="1:8" x14ac:dyDescent="0.25">
      <c r="A4466" s="1">
        <v>45664</v>
      </c>
      <c r="B4466" t="s">
        <v>29</v>
      </c>
      <c r="C4466">
        <v>145.83000000000001</v>
      </c>
      <c r="D4466">
        <v>43.16</v>
      </c>
      <c r="E4466" t="s">
        <v>9</v>
      </c>
      <c r="F4466">
        <v>58.63</v>
      </c>
      <c r="G4466" t="s">
        <v>20</v>
      </c>
      <c r="H4466" t="s">
        <v>13</v>
      </c>
    </row>
    <row r="4467" spans="1:8" x14ac:dyDescent="0.25">
      <c r="A4467" s="1">
        <v>45664.041666666664</v>
      </c>
      <c r="B4467" t="s">
        <v>29</v>
      </c>
      <c r="C4467">
        <v>147.88</v>
      </c>
      <c r="D4467">
        <v>71.67</v>
      </c>
      <c r="E4467" t="s">
        <v>9</v>
      </c>
      <c r="F4467">
        <v>84.86</v>
      </c>
      <c r="G4467" t="s">
        <v>20</v>
      </c>
      <c r="H4467" t="s">
        <v>11</v>
      </c>
    </row>
    <row r="4468" spans="1:8" x14ac:dyDescent="0.25">
      <c r="A4468" s="1">
        <v>45664.083333333336</v>
      </c>
      <c r="B4468" t="s">
        <v>29</v>
      </c>
      <c r="C4468">
        <v>450.91</v>
      </c>
      <c r="D4468">
        <v>20.59</v>
      </c>
      <c r="E4468" t="s">
        <v>9</v>
      </c>
      <c r="F4468">
        <v>57.98</v>
      </c>
      <c r="G4468" t="s">
        <v>20</v>
      </c>
      <c r="H4468" t="s">
        <v>12</v>
      </c>
    </row>
    <row r="4469" spans="1:8" x14ac:dyDescent="0.25">
      <c r="A4469" s="1">
        <v>45664.125</v>
      </c>
      <c r="B4469" t="s">
        <v>29</v>
      </c>
      <c r="C4469">
        <v>77.39</v>
      </c>
      <c r="D4469">
        <v>71.13</v>
      </c>
      <c r="E4469" t="s">
        <v>9</v>
      </c>
      <c r="F4469">
        <v>79.180000000000007</v>
      </c>
      <c r="G4469" t="s">
        <v>20</v>
      </c>
      <c r="H4469" t="s">
        <v>13</v>
      </c>
    </row>
    <row r="4470" spans="1:8" x14ac:dyDescent="0.25">
      <c r="A4470" s="1">
        <v>45664.166666666664</v>
      </c>
      <c r="B4470" t="s">
        <v>29</v>
      </c>
      <c r="C4470">
        <v>55.82</v>
      </c>
      <c r="D4470">
        <v>28.6</v>
      </c>
      <c r="E4470" t="s">
        <v>9</v>
      </c>
      <c r="F4470">
        <v>50.53</v>
      </c>
      <c r="G4470" t="s">
        <v>20</v>
      </c>
      <c r="H4470" t="s">
        <v>12</v>
      </c>
    </row>
    <row r="4471" spans="1:8" x14ac:dyDescent="0.25">
      <c r="A4471" s="1">
        <v>45664.208333333336</v>
      </c>
      <c r="B4471" t="s">
        <v>29</v>
      </c>
      <c r="C4471">
        <v>337.81</v>
      </c>
      <c r="D4471">
        <v>23.36</v>
      </c>
      <c r="E4471" t="s">
        <v>9</v>
      </c>
      <c r="F4471">
        <v>73.86</v>
      </c>
      <c r="G4471" t="s">
        <v>20</v>
      </c>
      <c r="H4471" t="s">
        <v>11</v>
      </c>
    </row>
    <row r="4472" spans="1:8" x14ac:dyDescent="0.25">
      <c r="A4472" s="1">
        <v>45664.25</v>
      </c>
      <c r="B4472" t="s">
        <v>29</v>
      </c>
      <c r="C4472">
        <v>499.17</v>
      </c>
      <c r="D4472">
        <v>80.73</v>
      </c>
      <c r="E4472" t="s">
        <v>9</v>
      </c>
      <c r="F4472">
        <v>50.63</v>
      </c>
      <c r="G4472" t="s">
        <v>20</v>
      </c>
      <c r="H4472" t="s">
        <v>11</v>
      </c>
    </row>
    <row r="4473" spans="1:8" x14ac:dyDescent="0.25">
      <c r="A4473" s="1">
        <v>45664.291666666664</v>
      </c>
      <c r="B4473" t="s">
        <v>29</v>
      </c>
      <c r="C4473">
        <v>139.74</v>
      </c>
      <c r="D4473">
        <v>92.66</v>
      </c>
      <c r="E4473" t="s">
        <v>14</v>
      </c>
      <c r="F4473">
        <v>61.04</v>
      </c>
      <c r="G4473" t="s">
        <v>20</v>
      </c>
      <c r="H4473" t="s">
        <v>12</v>
      </c>
    </row>
    <row r="4474" spans="1:8" x14ac:dyDescent="0.25">
      <c r="A4474" s="1">
        <v>45664.333333333336</v>
      </c>
      <c r="B4474" t="s">
        <v>29</v>
      </c>
      <c r="C4474">
        <v>389.83</v>
      </c>
      <c r="D4474">
        <v>15.49</v>
      </c>
      <c r="E4474" t="s">
        <v>9</v>
      </c>
      <c r="F4474">
        <v>38.14</v>
      </c>
      <c r="G4474" t="s">
        <v>20</v>
      </c>
      <c r="H4474" t="s">
        <v>12</v>
      </c>
    </row>
    <row r="4475" spans="1:8" x14ac:dyDescent="0.25">
      <c r="A4475" s="1">
        <v>45664.375</v>
      </c>
      <c r="B4475" t="s">
        <v>29</v>
      </c>
      <c r="C4475">
        <v>99.01</v>
      </c>
      <c r="D4475">
        <v>62.69</v>
      </c>
      <c r="E4475" t="s">
        <v>9</v>
      </c>
      <c r="F4475">
        <v>33.049999999999997</v>
      </c>
      <c r="G4475" t="s">
        <v>20</v>
      </c>
      <c r="H4475" t="s">
        <v>11</v>
      </c>
    </row>
    <row r="4476" spans="1:8" x14ac:dyDescent="0.25">
      <c r="A4476" s="1">
        <v>45664.416666666664</v>
      </c>
      <c r="B4476" t="s">
        <v>29</v>
      </c>
      <c r="C4476">
        <v>147.32</v>
      </c>
      <c r="D4476">
        <v>53.19</v>
      </c>
      <c r="E4476" t="s">
        <v>9</v>
      </c>
      <c r="F4476">
        <v>57.11</v>
      </c>
      <c r="G4476" t="s">
        <v>20</v>
      </c>
      <c r="H4476" t="s">
        <v>12</v>
      </c>
    </row>
    <row r="4477" spans="1:8" x14ac:dyDescent="0.25">
      <c r="A4477" s="1">
        <v>45664.458333333336</v>
      </c>
      <c r="B4477" t="s">
        <v>29</v>
      </c>
      <c r="C4477">
        <v>400.36</v>
      </c>
      <c r="D4477">
        <v>45.88</v>
      </c>
      <c r="E4477" t="s">
        <v>9</v>
      </c>
      <c r="F4477">
        <v>80.739999999999995</v>
      </c>
      <c r="G4477" t="s">
        <v>20</v>
      </c>
      <c r="H4477" t="s">
        <v>11</v>
      </c>
    </row>
    <row r="4478" spans="1:8" x14ac:dyDescent="0.25">
      <c r="A4478" s="1">
        <v>45664.5</v>
      </c>
      <c r="B4478" t="s">
        <v>29</v>
      </c>
      <c r="C4478">
        <v>259.79000000000002</v>
      </c>
      <c r="D4478">
        <v>92.93</v>
      </c>
      <c r="E4478" t="s">
        <v>14</v>
      </c>
      <c r="F4478">
        <v>82.87</v>
      </c>
      <c r="G4478" t="s">
        <v>20</v>
      </c>
      <c r="H4478" t="s">
        <v>12</v>
      </c>
    </row>
    <row r="4479" spans="1:8" x14ac:dyDescent="0.25">
      <c r="A4479" s="1">
        <v>45664.541666666664</v>
      </c>
      <c r="B4479" t="s">
        <v>29</v>
      </c>
      <c r="C4479">
        <v>271.95</v>
      </c>
      <c r="D4479">
        <v>50.43</v>
      </c>
      <c r="E4479" t="s">
        <v>9</v>
      </c>
      <c r="F4479">
        <v>61.23</v>
      </c>
      <c r="G4479" t="s">
        <v>20</v>
      </c>
      <c r="H4479" t="s">
        <v>12</v>
      </c>
    </row>
    <row r="4480" spans="1:8" x14ac:dyDescent="0.25">
      <c r="A4480" s="1">
        <v>45664.583333333336</v>
      </c>
      <c r="B4480" t="s">
        <v>29</v>
      </c>
      <c r="C4480">
        <v>374.43</v>
      </c>
      <c r="D4480">
        <v>51.21</v>
      </c>
      <c r="E4480" t="s">
        <v>9</v>
      </c>
      <c r="F4480">
        <v>70.81</v>
      </c>
      <c r="G4480" t="s">
        <v>20</v>
      </c>
      <c r="H4480" t="s">
        <v>11</v>
      </c>
    </row>
    <row r="4481" spans="1:8" x14ac:dyDescent="0.25">
      <c r="A4481" s="1">
        <v>45664.625</v>
      </c>
      <c r="B4481" t="s">
        <v>29</v>
      </c>
      <c r="C4481">
        <v>229.99</v>
      </c>
      <c r="D4481">
        <v>54.97</v>
      </c>
      <c r="E4481" t="s">
        <v>9</v>
      </c>
      <c r="F4481">
        <v>68.680000000000007</v>
      </c>
      <c r="G4481" t="s">
        <v>20</v>
      </c>
      <c r="H4481" t="s">
        <v>11</v>
      </c>
    </row>
    <row r="4482" spans="1:8" x14ac:dyDescent="0.25">
      <c r="A4482" s="1">
        <v>45664.666666666664</v>
      </c>
      <c r="B4482" t="s">
        <v>29</v>
      </c>
      <c r="C4482">
        <v>246.02</v>
      </c>
      <c r="D4482">
        <v>93</v>
      </c>
      <c r="E4482" t="s">
        <v>14</v>
      </c>
      <c r="F4482">
        <v>75.97</v>
      </c>
      <c r="G4482" t="s">
        <v>20</v>
      </c>
      <c r="H4482" t="s">
        <v>12</v>
      </c>
    </row>
    <row r="4483" spans="1:8" x14ac:dyDescent="0.25">
      <c r="A4483" s="1">
        <v>45664.708333333336</v>
      </c>
      <c r="B4483" t="s">
        <v>29</v>
      </c>
      <c r="C4483">
        <v>262.62</v>
      </c>
      <c r="D4483">
        <v>92.53</v>
      </c>
      <c r="E4483" t="s">
        <v>14</v>
      </c>
      <c r="F4483">
        <v>62.84</v>
      </c>
      <c r="G4483" t="s">
        <v>20</v>
      </c>
      <c r="H4483" t="s">
        <v>12</v>
      </c>
    </row>
    <row r="4484" spans="1:8" x14ac:dyDescent="0.25">
      <c r="A4484" s="1">
        <v>45664.75</v>
      </c>
      <c r="B4484" t="s">
        <v>29</v>
      </c>
      <c r="C4484">
        <v>199.13</v>
      </c>
      <c r="D4484">
        <v>67.260000000000005</v>
      </c>
      <c r="E4484" t="s">
        <v>9</v>
      </c>
      <c r="F4484">
        <v>43.79</v>
      </c>
      <c r="G4484" t="s">
        <v>20</v>
      </c>
      <c r="H4484" t="s">
        <v>11</v>
      </c>
    </row>
    <row r="4485" spans="1:8" x14ac:dyDescent="0.25">
      <c r="A4485" s="1">
        <v>45664.791666666664</v>
      </c>
      <c r="B4485" t="s">
        <v>29</v>
      </c>
      <c r="C4485">
        <v>229.31</v>
      </c>
      <c r="D4485">
        <v>16.12</v>
      </c>
      <c r="E4485" t="s">
        <v>9</v>
      </c>
      <c r="F4485">
        <v>56.46</v>
      </c>
      <c r="G4485" t="s">
        <v>20</v>
      </c>
      <c r="H4485" t="s">
        <v>13</v>
      </c>
    </row>
    <row r="4486" spans="1:8" x14ac:dyDescent="0.25">
      <c r="A4486" s="1">
        <v>45664.833333333336</v>
      </c>
      <c r="B4486" t="s">
        <v>29</v>
      </c>
      <c r="C4486">
        <v>298.43</v>
      </c>
      <c r="D4486">
        <v>37.71</v>
      </c>
      <c r="E4486" t="s">
        <v>9</v>
      </c>
      <c r="F4486">
        <v>89.04</v>
      </c>
      <c r="G4486" t="s">
        <v>20</v>
      </c>
      <c r="H4486" t="s">
        <v>13</v>
      </c>
    </row>
    <row r="4487" spans="1:8" x14ac:dyDescent="0.25">
      <c r="A4487" s="1">
        <v>45664.875</v>
      </c>
      <c r="B4487" t="s">
        <v>29</v>
      </c>
      <c r="C4487">
        <v>248.44</v>
      </c>
      <c r="D4487">
        <v>22.37</v>
      </c>
      <c r="E4487" t="s">
        <v>9</v>
      </c>
      <c r="F4487">
        <v>45.64</v>
      </c>
      <c r="G4487" t="s">
        <v>20</v>
      </c>
      <c r="H4487" t="s">
        <v>11</v>
      </c>
    </row>
    <row r="4488" spans="1:8" x14ac:dyDescent="0.25">
      <c r="A4488" s="1">
        <v>45664.916666666664</v>
      </c>
      <c r="B4488" t="s">
        <v>29</v>
      </c>
      <c r="C4488">
        <v>301.77999999999997</v>
      </c>
      <c r="D4488">
        <v>74.84</v>
      </c>
      <c r="E4488" t="s">
        <v>9</v>
      </c>
      <c r="F4488">
        <v>41.74</v>
      </c>
      <c r="G4488" t="s">
        <v>20</v>
      </c>
      <c r="H4488" t="s">
        <v>13</v>
      </c>
    </row>
    <row r="4489" spans="1:8" x14ac:dyDescent="0.25">
      <c r="A4489" s="1">
        <v>45664.958333333336</v>
      </c>
      <c r="B4489" t="s">
        <v>29</v>
      </c>
      <c r="C4489">
        <v>131.01</v>
      </c>
      <c r="D4489">
        <v>30.15</v>
      </c>
      <c r="E4489" t="s">
        <v>9</v>
      </c>
      <c r="F4489">
        <v>85.5</v>
      </c>
      <c r="G4489" t="s">
        <v>20</v>
      </c>
      <c r="H4489" t="s">
        <v>11</v>
      </c>
    </row>
    <row r="4490" spans="1:8" x14ac:dyDescent="0.25">
      <c r="A4490" s="1">
        <v>45665</v>
      </c>
      <c r="B4490" t="s">
        <v>29</v>
      </c>
      <c r="C4490">
        <v>78.459999999999994</v>
      </c>
      <c r="D4490">
        <v>43.56</v>
      </c>
      <c r="E4490" t="s">
        <v>9</v>
      </c>
      <c r="F4490">
        <v>87.32</v>
      </c>
      <c r="G4490" t="s">
        <v>20</v>
      </c>
      <c r="H4490" t="s">
        <v>13</v>
      </c>
    </row>
    <row r="4491" spans="1:8" x14ac:dyDescent="0.25">
      <c r="A4491" s="1">
        <v>45665.041666666664</v>
      </c>
      <c r="B4491" t="s">
        <v>29</v>
      </c>
      <c r="C4491">
        <v>401.65</v>
      </c>
      <c r="D4491">
        <v>17.55</v>
      </c>
      <c r="E4491" t="s">
        <v>9</v>
      </c>
      <c r="F4491">
        <v>71.58</v>
      </c>
      <c r="G4491" t="s">
        <v>20</v>
      </c>
      <c r="H4491" t="s">
        <v>13</v>
      </c>
    </row>
    <row r="4492" spans="1:8" x14ac:dyDescent="0.25">
      <c r="A4492" s="1">
        <v>45665.083333333336</v>
      </c>
      <c r="B4492" t="s">
        <v>29</v>
      </c>
      <c r="C4492">
        <v>498.88</v>
      </c>
      <c r="D4492">
        <v>76.75</v>
      </c>
      <c r="E4492" t="s">
        <v>9</v>
      </c>
      <c r="F4492">
        <v>54.26</v>
      </c>
      <c r="G4492" t="s">
        <v>20</v>
      </c>
      <c r="H4492" t="s">
        <v>13</v>
      </c>
    </row>
    <row r="4493" spans="1:8" x14ac:dyDescent="0.25">
      <c r="A4493" s="1">
        <v>45665.125</v>
      </c>
      <c r="B4493" t="s">
        <v>29</v>
      </c>
      <c r="C4493">
        <v>340.39</v>
      </c>
      <c r="D4493">
        <v>43.61</v>
      </c>
      <c r="E4493" t="s">
        <v>9</v>
      </c>
      <c r="F4493">
        <v>66.010000000000005</v>
      </c>
      <c r="G4493" t="s">
        <v>20</v>
      </c>
      <c r="H4493" t="s">
        <v>11</v>
      </c>
    </row>
    <row r="4494" spans="1:8" x14ac:dyDescent="0.25">
      <c r="A4494" s="1">
        <v>45665.166666666664</v>
      </c>
      <c r="B4494" t="s">
        <v>29</v>
      </c>
      <c r="C4494">
        <v>252.02</v>
      </c>
      <c r="D4494">
        <v>14.99</v>
      </c>
      <c r="E4494" t="s">
        <v>9</v>
      </c>
      <c r="F4494">
        <v>61.23</v>
      </c>
      <c r="G4494" t="s">
        <v>20</v>
      </c>
      <c r="H4494" t="s">
        <v>11</v>
      </c>
    </row>
    <row r="4495" spans="1:8" x14ac:dyDescent="0.25">
      <c r="A4495" s="1">
        <v>45665.208333333336</v>
      </c>
      <c r="B4495" t="s">
        <v>29</v>
      </c>
      <c r="C4495">
        <v>386.38</v>
      </c>
      <c r="D4495">
        <v>79.45</v>
      </c>
      <c r="E4495" t="s">
        <v>9</v>
      </c>
      <c r="F4495">
        <v>45.18</v>
      </c>
      <c r="G4495" t="s">
        <v>20</v>
      </c>
      <c r="H4495" t="s">
        <v>11</v>
      </c>
    </row>
    <row r="4496" spans="1:8" x14ac:dyDescent="0.25">
      <c r="A4496" s="1">
        <v>45665.25</v>
      </c>
      <c r="B4496" t="s">
        <v>29</v>
      </c>
      <c r="C4496">
        <v>209.62</v>
      </c>
      <c r="D4496">
        <v>88.38</v>
      </c>
      <c r="E4496" t="s">
        <v>14</v>
      </c>
      <c r="F4496">
        <v>89.79</v>
      </c>
      <c r="G4496" t="s">
        <v>20</v>
      </c>
      <c r="H4496" t="s">
        <v>12</v>
      </c>
    </row>
    <row r="4497" spans="1:8" x14ac:dyDescent="0.25">
      <c r="A4497" s="1">
        <v>45665.291666666664</v>
      </c>
      <c r="B4497" t="s">
        <v>29</v>
      </c>
      <c r="C4497">
        <v>366.45</v>
      </c>
      <c r="D4497">
        <v>34.450000000000003</v>
      </c>
      <c r="E4497" t="s">
        <v>9</v>
      </c>
      <c r="F4497">
        <v>84.66</v>
      </c>
      <c r="G4497" t="s">
        <v>20</v>
      </c>
      <c r="H4497" t="s">
        <v>13</v>
      </c>
    </row>
    <row r="4498" spans="1:8" x14ac:dyDescent="0.25">
      <c r="A4498" s="1">
        <v>45665.333333333336</v>
      </c>
      <c r="B4498" t="s">
        <v>29</v>
      </c>
      <c r="C4498">
        <v>292.55</v>
      </c>
      <c r="D4498">
        <v>71.28</v>
      </c>
      <c r="E4498" t="s">
        <v>9</v>
      </c>
      <c r="F4498">
        <v>55.13</v>
      </c>
      <c r="G4498" t="s">
        <v>20</v>
      </c>
      <c r="H4498" t="s">
        <v>13</v>
      </c>
    </row>
    <row r="4499" spans="1:8" x14ac:dyDescent="0.25">
      <c r="A4499" s="1">
        <v>45665.375</v>
      </c>
      <c r="B4499" t="s">
        <v>29</v>
      </c>
      <c r="C4499">
        <v>101.15</v>
      </c>
      <c r="D4499">
        <v>76.12</v>
      </c>
      <c r="E4499" t="s">
        <v>9</v>
      </c>
      <c r="F4499">
        <v>53.22</v>
      </c>
      <c r="G4499" t="s">
        <v>20</v>
      </c>
      <c r="H4499" t="s">
        <v>12</v>
      </c>
    </row>
    <row r="4500" spans="1:8" x14ac:dyDescent="0.25">
      <c r="A4500" s="1">
        <v>45665.416666666664</v>
      </c>
      <c r="B4500" t="s">
        <v>29</v>
      </c>
      <c r="C4500">
        <v>125.06</v>
      </c>
      <c r="D4500">
        <v>15.51</v>
      </c>
      <c r="E4500" t="s">
        <v>9</v>
      </c>
      <c r="F4500">
        <v>69.97</v>
      </c>
      <c r="G4500" t="s">
        <v>20</v>
      </c>
      <c r="H4500" t="s">
        <v>13</v>
      </c>
    </row>
    <row r="4501" spans="1:8" x14ac:dyDescent="0.25">
      <c r="A4501" s="1">
        <v>45665.458333333336</v>
      </c>
      <c r="B4501" t="s">
        <v>29</v>
      </c>
      <c r="C4501">
        <v>365.93</v>
      </c>
      <c r="D4501">
        <v>47.53</v>
      </c>
      <c r="E4501" t="s">
        <v>9</v>
      </c>
      <c r="F4501">
        <v>65.900000000000006</v>
      </c>
      <c r="G4501" t="s">
        <v>20</v>
      </c>
      <c r="H4501" t="s">
        <v>12</v>
      </c>
    </row>
    <row r="4502" spans="1:8" x14ac:dyDescent="0.25">
      <c r="A4502" s="1">
        <v>45665.5</v>
      </c>
      <c r="B4502" t="s">
        <v>29</v>
      </c>
      <c r="C4502">
        <v>423.63</v>
      </c>
      <c r="D4502">
        <v>75.67</v>
      </c>
      <c r="E4502" t="s">
        <v>9</v>
      </c>
      <c r="F4502">
        <v>50.21</v>
      </c>
      <c r="G4502" t="s">
        <v>20</v>
      </c>
      <c r="H4502" t="s">
        <v>11</v>
      </c>
    </row>
    <row r="4503" spans="1:8" x14ac:dyDescent="0.25">
      <c r="A4503" s="1">
        <v>45665.541666666664</v>
      </c>
      <c r="B4503" t="s">
        <v>29</v>
      </c>
      <c r="C4503">
        <v>96.65</v>
      </c>
      <c r="D4503">
        <v>14.22</v>
      </c>
      <c r="E4503" t="s">
        <v>9</v>
      </c>
      <c r="F4503">
        <v>48.84</v>
      </c>
      <c r="G4503" t="s">
        <v>20</v>
      </c>
      <c r="H4503" t="s">
        <v>12</v>
      </c>
    </row>
    <row r="4504" spans="1:8" x14ac:dyDescent="0.25">
      <c r="A4504" s="1">
        <v>45665.583333333336</v>
      </c>
      <c r="B4504" t="s">
        <v>29</v>
      </c>
      <c r="C4504">
        <v>416.06</v>
      </c>
      <c r="D4504">
        <v>42.39</v>
      </c>
      <c r="E4504" t="s">
        <v>9</v>
      </c>
      <c r="F4504">
        <v>73.099999999999994</v>
      </c>
      <c r="G4504" t="s">
        <v>20</v>
      </c>
      <c r="H4504" t="s">
        <v>12</v>
      </c>
    </row>
    <row r="4505" spans="1:8" x14ac:dyDescent="0.25">
      <c r="A4505" s="1">
        <v>45665.625</v>
      </c>
      <c r="B4505" t="s">
        <v>29</v>
      </c>
      <c r="C4505">
        <v>199.72</v>
      </c>
      <c r="D4505">
        <v>16.559999999999999</v>
      </c>
      <c r="E4505" t="s">
        <v>9</v>
      </c>
      <c r="F4505">
        <v>66.47</v>
      </c>
      <c r="G4505" t="s">
        <v>20</v>
      </c>
      <c r="H4505" t="s">
        <v>12</v>
      </c>
    </row>
    <row r="4506" spans="1:8" x14ac:dyDescent="0.25">
      <c r="A4506" s="1">
        <v>45665.666666666664</v>
      </c>
      <c r="B4506" t="s">
        <v>29</v>
      </c>
      <c r="C4506">
        <v>280.75</v>
      </c>
      <c r="D4506">
        <v>72.819999999999993</v>
      </c>
      <c r="E4506" t="s">
        <v>9</v>
      </c>
      <c r="F4506">
        <v>58.58</v>
      </c>
      <c r="G4506" t="s">
        <v>20</v>
      </c>
      <c r="H4506" t="s">
        <v>13</v>
      </c>
    </row>
    <row r="4507" spans="1:8" x14ac:dyDescent="0.25">
      <c r="A4507" s="1">
        <v>45665.708333333336</v>
      </c>
      <c r="B4507" t="s">
        <v>29</v>
      </c>
      <c r="C4507">
        <v>51.2</v>
      </c>
      <c r="D4507">
        <v>78.42</v>
      </c>
      <c r="E4507" t="s">
        <v>9</v>
      </c>
      <c r="F4507">
        <v>51.22</v>
      </c>
      <c r="G4507" t="s">
        <v>20</v>
      </c>
      <c r="H4507" t="s">
        <v>13</v>
      </c>
    </row>
    <row r="4508" spans="1:8" x14ac:dyDescent="0.25">
      <c r="A4508" s="1">
        <v>45665.75</v>
      </c>
      <c r="B4508" t="s">
        <v>29</v>
      </c>
      <c r="C4508">
        <v>189.68</v>
      </c>
      <c r="D4508">
        <v>52.16</v>
      </c>
      <c r="E4508" t="s">
        <v>9</v>
      </c>
      <c r="F4508">
        <v>44.05</v>
      </c>
      <c r="G4508" t="s">
        <v>20</v>
      </c>
      <c r="H4508" t="s">
        <v>12</v>
      </c>
    </row>
    <row r="4509" spans="1:8" x14ac:dyDescent="0.25">
      <c r="A4509" s="1">
        <v>45665.791666666664</v>
      </c>
      <c r="B4509" t="s">
        <v>29</v>
      </c>
      <c r="C4509">
        <v>347.49</v>
      </c>
      <c r="D4509">
        <v>74.680000000000007</v>
      </c>
      <c r="E4509" t="s">
        <v>9</v>
      </c>
      <c r="F4509">
        <v>44.75</v>
      </c>
      <c r="G4509" t="s">
        <v>20</v>
      </c>
      <c r="H4509" t="s">
        <v>11</v>
      </c>
    </row>
    <row r="4510" spans="1:8" x14ac:dyDescent="0.25">
      <c r="A4510" s="1">
        <v>45665.833333333336</v>
      </c>
      <c r="B4510" t="s">
        <v>29</v>
      </c>
      <c r="C4510">
        <v>444.21</v>
      </c>
      <c r="D4510">
        <v>18.18</v>
      </c>
      <c r="E4510" t="s">
        <v>9</v>
      </c>
      <c r="F4510">
        <v>48.06</v>
      </c>
      <c r="G4510" t="s">
        <v>20</v>
      </c>
      <c r="H4510" t="s">
        <v>13</v>
      </c>
    </row>
    <row r="4511" spans="1:8" x14ac:dyDescent="0.25">
      <c r="A4511" s="1">
        <v>45665.875</v>
      </c>
      <c r="B4511" t="s">
        <v>29</v>
      </c>
      <c r="C4511">
        <v>400.07</v>
      </c>
      <c r="D4511">
        <v>92.97</v>
      </c>
      <c r="E4511" t="s">
        <v>14</v>
      </c>
      <c r="F4511">
        <v>71.59</v>
      </c>
      <c r="G4511" t="s">
        <v>20</v>
      </c>
      <c r="H4511" t="s">
        <v>12</v>
      </c>
    </row>
    <row r="4512" spans="1:8" x14ac:dyDescent="0.25">
      <c r="A4512" s="1">
        <v>45665.916666666664</v>
      </c>
      <c r="B4512" t="s">
        <v>29</v>
      </c>
      <c r="C4512">
        <v>225.38</v>
      </c>
      <c r="D4512">
        <v>53.58</v>
      </c>
      <c r="E4512" t="s">
        <v>9</v>
      </c>
      <c r="F4512">
        <v>55.01</v>
      </c>
      <c r="G4512" t="s">
        <v>20</v>
      </c>
      <c r="H4512" t="s">
        <v>11</v>
      </c>
    </row>
    <row r="4513" spans="1:8" x14ac:dyDescent="0.25">
      <c r="A4513" s="1">
        <v>45665.958333333336</v>
      </c>
      <c r="B4513" t="s">
        <v>29</v>
      </c>
      <c r="C4513">
        <v>407</v>
      </c>
      <c r="D4513">
        <v>71.010000000000005</v>
      </c>
      <c r="E4513" t="s">
        <v>9</v>
      </c>
      <c r="F4513">
        <v>77.5</v>
      </c>
      <c r="G4513" t="s">
        <v>20</v>
      </c>
      <c r="H4513" t="s">
        <v>11</v>
      </c>
    </row>
    <row r="4514" spans="1:8" x14ac:dyDescent="0.25">
      <c r="A4514" s="1">
        <v>45666</v>
      </c>
      <c r="B4514" t="s">
        <v>29</v>
      </c>
      <c r="C4514">
        <v>434.49</v>
      </c>
      <c r="D4514">
        <v>48.06</v>
      </c>
      <c r="E4514" t="s">
        <v>9</v>
      </c>
      <c r="F4514">
        <v>70.069999999999993</v>
      </c>
      <c r="G4514" t="s">
        <v>20</v>
      </c>
      <c r="H4514" t="s">
        <v>13</v>
      </c>
    </row>
    <row r="4515" spans="1:8" x14ac:dyDescent="0.25">
      <c r="A4515" s="1">
        <v>45666.041666666664</v>
      </c>
      <c r="B4515" t="s">
        <v>29</v>
      </c>
      <c r="C4515">
        <v>470.56</v>
      </c>
      <c r="D4515">
        <v>53.49</v>
      </c>
      <c r="E4515" t="s">
        <v>9</v>
      </c>
      <c r="F4515">
        <v>36.659999999999997</v>
      </c>
      <c r="G4515" t="s">
        <v>20</v>
      </c>
      <c r="H4515" t="s">
        <v>12</v>
      </c>
    </row>
    <row r="4516" spans="1:8" x14ac:dyDescent="0.25">
      <c r="A4516" s="1">
        <v>45666.083333333336</v>
      </c>
      <c r="B4516" t="s">
        <v>29</v>
      </c>
      <c r="C4516">
        <v>325.82</v>
      </c>
      <c r="D4516">
        <v>38.57</v>
      </c>
      <c r="E4516" t="s">
        <v>9</v>
      </c>
      <c r="F4516">
        <v>74.55</v>
      </c>
      <c r="G4516" t="s">
        <v>20</v>
      </c>
      <c r="H4516" t="s">
        <v>13</v>
      </c>
    </row>
    <row r="4517" spans="1:8" x14ac:dyDescent="0.25">
      <c r="A4517" s="1">
        <v>45666.125</v>
      </c>
      <c r="B4517" t="s">
        <v>29</v>
      </c>
      <c r="C4517">
        <v>224.84</v>
      </c>
      <c r="D4517">
        <v>65.95</v>
      </c>
      <c r="E4517" t="s">
        <v>9</v>
      </c>
      <c r="F4517">
        <v>46.69</v>
      </c>
      <c r="G4517" t="s">
        <v>20</v>
      </c>
      <c r="H4517" t="s">
        <v>13</v>
      </c>
    </row>
    <row r="4518" spans="1:8" x14ac:dyDescent="0.25">
      <c r="A4518" s="1">
        <v>45666.166666666664</v>
      </c>
      <c r="B4518" t="s">
        <v>29</v>
      </c>
      <c r="C4518">
        <v>100.45</v>
      </c>
      <c r="D4518">
        <v>66.78</v>
      </c>
      <c r="E4518" t="s">
        <v>9</v>
      </c>
      <c r="F4518">
        <v>66.569999999999993</v>
      </c>
      <c r="G4518" t="s">
        <v>20</v>
      </c>
      <c r="H4518" t="s">
        <v>13</v>
      </c>
    </row>
    <row r="4519" spans="1:8" x14ac:dyDescent="0.25">
      <c r="A4519" s="1">
        <v>45666.208333333336</v>
      </c>
      <c r="B4519" t="s">
        <v>29</v>
      </c>
      <c r="C4519">
        <v>456.89</v>
      </c>
      <c r="D4519">
        <v>24.8</v>
      </c>
      <c r="E4519" t="s">
        <v>9</v>
      </c>
      <c r="F4519">
        <v>85.08</v>
      </c>
      <c r="G4519" t="s">
        <v>20</v>
      </c>
      <c r="H4519" t="s">
        <v>13</v>
      </c>
    </row>
    <row r="4520" spans="1:8" x14ac:dyDescent="0.25">
      <c r="A4520" s="1">
        <v>45666.25</v>
      </c>
      <c r="B4520" t="s">
        <v>29</v>
      </c>
      <c r="C4520">
        <v>279.14999999999998</v>
      </c>
      <c r="D4520">
        <v>23.38</v>
      </c>
      <c r="E4520" t="s">
        <v>9</v>
      </c>
      <c r="F4520">
        <v>58.23</v>
      </c>
      <c r="G4520" t="s">
        <v>20</v>
      </c>
      <c r="H4520" t="s">
        <v>12</v>
      </c>
    </row>
    <row r="4521" spans="1:8" x14ac:dyDescent="0.25">
      <c r="A4521" s="1">
        <v>45666.291666666664</v>
      </c>
      <c r="B4521" t="s">
        <v>29</v>
      </c>
      <c r="C4521">
        <v>318.70999999999998</v>
      </c>
      <c r="D4521">
        <v>70.14</v>
      </c>
      <c r="E4521" t="s">
        <v>9</v>
      </c>
      <c r="F4521">
        <v>58.11</v>
      </c>
      <c r="G4521" t="s">
        <v>20</v>
      </c>
      <c r="H4521" t="s">
        <v>11</v>
      </c>
    </row>
    <row r="4522" spans="1:8" x14ac:dyDescent="0.25">
      <c r="A4522" s="1">
        <v>45666.333333333336</v>
      </c>
      <c r="B4522" t="s">
        <v>29</v>
      </c>
      <c r="C4522">
        <v>203.58</v>
      </c>
      <c r="D4522">
        <v>75.94</v>
      </c>
      <c r="E4522" t="s">
        <v>9</v>
      </c>
      <c r="F4522">
        <v>68.260000000000005</v>
      </c>
      <c r="G4522" t="s">
        <v>20</v>
      </c>
      <c r="H4522" t="s">
        <v>11</v>
      </c>
    </row>
    <row r="4523" spans="1:8" x14ac:dyDescent="0.25">
      <c r="A4523" s="1">
        <v>45666.375</v>
      </c>
      <c r="B4523" t="s">
        <v>29</v>
      </c>
      <c r="C4523">
        <v>405.67</v>
      </c>
      <c r="D4523">
        <v>91.96</v>
      </c>
      <c r="E4523" t="s">
        <v>14</v>
      </c>
      <c r="F4523">
        <v>38.93</v>
      </c>
      <c r="G4523" t="s">
        <v>20</v>
      </c>
      <c r="H4523" t="s">
        <v>13</v>
      </c>
    </row>
    <row r="4524" spans="1:8" x14ac:dyDescent="0.25">
      <c r="A4524" s="1">
        <v>45666.416666666664</v>
      </c>
      <c r="B4524" t="s">
        <v>29</v>
      </c>
      <c r="C4524">
        <v>399.32</v>
      </c>
      <c r="D4524">
        <v>16.09</v>
      </c>
      <c r="E4524" t="s">
        <v>9</v>
      </c>
      <c r="F4524">
        <v>59.84</v>
      </c>
      <c r="G4524" t="s">
        <v>20</v>
      </c>
      <c r="H4524" t="s">
        <v>12</v>
      </c>
    </row>
    <row r="4525" spans="1:8" x14ac:dyDescent="0.25">
      <c r="A4525" s="1">
        <v>45666.458333333336</v>
      </c>
      <c r="B4525" t="s">
        <v>29</v>
      </c>
      <c r="C4525">
        <v>115.48</v>
      </c>
      <c r="D4525">
        <v>49.35</v>
      </c>
      <c r="E4525" t="s">
        <v>9</v>
      </c>
      <c r="F4525">
        <v>69.290000000000006</v>
      </c>
      <c r="G4525" t="s">
        <v>20</v>
      </c>
      <c r="H4525" t="s">
        <v>12</v>
      </c>
    </row>
    <row r="4526" spans="1:8" x14ac:dyDescent="0.25">
      <c r="A4526" s="1">
        <v>45666.5</v>
      </c>
      <c r="B4526" t="s">
        <v>29</v>
      </c>
      <c r="C4526">
        <v>241.75</v>
      </c>
      <c r="D4526">
        <v>29.12</v>
      </c>
      <c r="E4526" t="s">
        <v>9</v>
      </c>
      <c r="F4526">
        <v>60.8</v>
      </c>
      <c r="G4526" t="s">
        <v>20</v>
      </c>
      <c r="H4526" t="s">
        <v>11</v>
      </c>
    </row>
    <row r="4527" spans="1:8" x14ac:dyDescent="0.25">
      <c r="A4527" s="1">
        <v>45666.541666666664</v>
      </c>
      <c r="B4527" t="s">
        <v>29</v>
      </c>
      <c r="C4527">
        <v>76.61</v>
      </c>
      <c r="D4527">
        <v>93.69</v>
      </c>
      <c r="E4527" t="s">
        <v>14</v>
      </c>
      <c r="F4527">
        <v>81.47</v>
      </c>
      <c r="G4527" t="s">
        <v>20</v>
      </c>
      <c r="H4527" t="s">
        <v>12</v>
      </c>
    </row>
    <row r="4528" spans="1:8" x14ac:dyDescent="0.25">
      <c r="A4528" s="1">
        <v>45666.583333333336</v>
      </c>
      <c r="B4528" t="s">
        <v>29</v>
      </c>
      <c r="C4528">
        <v>380.75</v>
      </c>
      <c r="D4528">
        <v>19.89</v>
      </c>
      <c r="E4528" t="s">
        <v>9</v>
      </c>
      <c r="F4528">
        <v>32.49</v>
      </c>
      <c r="G4528" t="s">
        <v>20</v>
      </c>
      <c r="H4528" t="s">
        <v>12</v>
      </c>
    </row>
    <row r="4529" spans="1:8" x14ac:dyDescent="0.25">
      <c r="A4529" s="1">
        <v>45666.625</v>
      </c>
      <c r="B4529" t="s">
        <v>29</v>
      </c>
      <c r="C4529">
        <v>50.56</v>
      </c>
      <c r="D4529">
        <v>82.26</v>
      </c>
      <c r="E4529" t="s">
        <v>9</v>
      </c>
      <c r="F4529">
        <v>60.37</v>
      </c>
      <c r="G4529" t="s">
        <v>20</v>
      </c>
      <c r="H4529" t="s">
        <v>12</v>
      </c>
    </row>
    <row r="4530" spans="1:8" x14ac:dyDescent="0.25">
      <c r="A4530" s="1">
        <v>45666.666666666664</v>
      </c>
      <c r="B4530" t="s">
        <v>29</v>
      </c>
      <c r="C4530">
        <v>437.09</v>
      </c>
      <c r="D4530">
        <v>50.11</v>
      </c>
      <c r="E4530" t="s">
        <v>9</v>
      </c>
      <c r="F4530">
        <v>71.73</v>
      </c>
      <c r="G4530" t="s">
        <v>20</v>
      </c>
      <c r="H4530" t="s">
        <v>13</v>
      </c>
    </row>
    <row r="4531" spans="1:8" x14ac:dyDescent="0.25">
      <c r="A4531" s="1">
        <v>45666.708333333336</v>
      </c>
      <c r="B4531" t="s">
        <v>29</v>
      </c>
      <c r="C4531">
        <v>130.57</v>
      </c>
      <c r="D4531">
        <v>33.6</v>
      </c>
      <c r="E4531" t="s">
        <v>9</v>
      </c>
      <c r="F4531">
        <v>63.11</v>
      </c>
      <c r="G4531" t="s">
        <v>20</v>
      </c>
      <c r="H4531" t="s">
        <v>11</v>
      </c>
    </row>
    <row r="4532" spans="1:8" x14ac:dyDescent="0.25">
      <c r="A4532" s="1">
        <v>45666.75</v>
      </c>
      <c r="B4532" t="s">
        <v>29</v>
      </c>
      <c r="C4532">
        <v>313.82</v>
      </c>
      <c r="D4532">
        <v>34.54</v>
      </c>
      <c r="E4532" t="s">
        <v>9</v>
      </c>
      <c r="F4532">
        <v>79.069999999999993</v>
      </c>
      <c r="G4532" t="s">
        <v>20</v>
      </c>
      <c r="H4532" t="s">
        <v>12</v>
      </c>
    </row>
    <row r="4533" spans="1:8" x14ac:dyDescent="0.25">
      <c r="A4533" s="1">
        <v>45666.791666666664</v>
      </c>
      <c r="B4533" t="s">
        <v>29</v>
      </c>
      <c r="C4533">
        <v>225.68</v>
      </c>
      <c r="D4533">
        <v>17.78</v>
      </c>
      <c r="E4533" t="s">
        <v>9</v>
      </c>
      <c r="F4533">
        <v>60.64</v>
      </c>
      <c r="G4533" t="s">
        <v>20</v>
      </c>
      <c r="H4533" t="s">
        <v>13</v>
      </c>
    </row>
    <row r="4534" spans="1:8" x14ac:dyDescent="0.25">
      <c r="A4534" s="1">
        <v>45666.833333333336</v>
      </c>
      <c r="B4534" t="s">
        <v>29</v>
      </c>
      <c r="C4534">
        <v>467.36</v>
      </c>
      <c r="D4534">
        <v>74.75</v>
      </c>
      <c r="E4534" t="s">
        <v>9</v>
      </c>
      <c r="F4534">
        <v>56.52</v>
      </c>
      <c r="G4534" t="s">
        <v>20</v>
      </c>
      <c r="H4534" t="s">
        <v>12</v>
      </c>
    </row>
    <row r="4535" spans="1:8" x14ac:dyDescent="0.25">
      <c r="A4535" s="1">
        <v>45666.875</v>
      </c>
      <c r="B4535" t="s">
        <v>29</v>
      </c>
      <c r="C4535">
        <v>412.86</v>
      </c>
      <c r="D4535">
        <v>51.31</v>
      </c>
      <c r="E4535" t="s">
        <v>9</v>
      </c>
      <c r="F4535">
        <v>34.520000000000003</v>
      </c>
      <c r="G4535" t="s">
        <v>20</v>
      </c>
      <c r="H4535" t="s">
        <v>11</v>
      </c>
    </row>
    <row r="4536" spans="1:8" x14ac:dyDescent="0.25">
      <c r="A4536" s="1">
        <v>45666.916666666664</v>
      </c>
      <c r="B4536" t="s">
        <v>29</v>
      </c>
      <c r="C4536">
        <v>408.09</v>
      </c>
      <c r="D4536">
        <v>76.98</v>
      </c>
      <c r="E4536" t="s">
        <v>9</v>
      </c>
      <c r="F4536">
        <v>35.409999999999997</v>
      </c>
      <c r="G4536" t="s">
        <v>20</v>
      </c>
      <c r="H4536" t="s">
        <v>12</v>
      </c>
    </row>
    <row r="4537" spans="1:8" x14ac:dyDescent="0.25">
      <c r="A4537" s="1">
        <v>45666.958333333336</v>
      </c>
      <c r="B4537" t="s">
        <v>29</v>
      </c>
      <c r="C4537">
        <v>267.39999999999998</v>
      </c>
      <c r="D4537">
        <v>36.75</v>
      </c>
      <c r="E4537" t="s">
        <v>9</v>
      </c>
      <c r="F4537">
        <v>72.98</v>
      </c>
      <c r="G4537" t="s">
        <v>20</v>
      </c>
      <c r="H4537" t="s">
        <v>12</v>
      </c>
    </row>
    <row r="4538" spans="1:8" x14ac:dyDescent="0.25">
      <c r="A4538" s="1">
        <v>45667</v>
      </c>
      <c r="B4538" t="s">
        <v>29</v>
      </c>
      <c r="C4538">
        <v>213.06</v>
      </c>
      <c r="D4538">
        <v>87.98</v>
      </c>
      <c r="E4538" t="s">
        <v>14</v>
      </c>
      <c r="F4538">
        <v>58.57</v>
      </c>
      <c r="G4538" t="s">
        <v>20</v>
      </c>
      <c r="H4538" t="s">
        <v>13</v>
      </c>
    </row>
    <row r="4539" spans="1:8" x14ac:dyDescent="0.25">
      <c r="A4539" s="1">
        <v>45667.041666666664</v>
      </c>
      <c r="B4539" t="s">
        <v>29</v>
      </c>
      <c r="C4539">
        <v>144.47</v>
      </c>
      <c r="D4539">
        <v>53.65</v>
      </c>
      <c r="E4539" t="s">
        <v>9</v>
      </c>
      <c r="F4539">
        <v>35.36</v>
      </c>
      <c r="G4539" t="s">
        <v>20</v>
      </c>
      <c r="H4539" t="s">
        <v>11</v>
      </c>
    </row>
    <row r="4540" spans="1:8" x14ac:dyDescent="0.25">
      <c r="A4540" s="1">
        <v>45667.083333333336</v>
      </c>
      <c r="B4540" t="s">
        <v>29</v>
      </c>
      <c r="C4540">
        <v>326.95999999999998</v>
      </c>
      <c r="D4540">
        <v>45.72</v>
      </c>
      <c r="E4540" t="s">
        <v>9</v>
      </c>
      <c r="F4540">
        <v>50.76</v>
      </c>
      <c r="G4540" t="s">
        <v>20</v>
      </c>
      <c r="H4540" t="s">
        <v>13</v>
      </c>
    </row>
    <row r="4541" spans="1:8" x14ac:dyDescent="0.25">
      <c r="A4541" s="1">
        <v>45667.125</v>
      </c>
      <c r="B4541" t="s">
        <v>29</v>
      </c>
      <c r="C4541">
        <v>397.21</v>
      </c>
      <c r="D4541">
        <v>42.1</v>
      </c>
      <c r="E4541" t="s">
        <v>9</v>
      </c>
      <c r="F4541">
        <v>71.42</v>
      </c>
      <c r="G4541" t="s">
        <v>20</v>
      </c>
      <c r="H4541" t="s">
        <v>11</v>
      </c>
    </row>
    <row r="4542" spans="1:8" x14ac:dyDescent="0.25">
      <c r="A4542" s="1">
        <v>45667.166666666664</v>
      </c>
      <c r="B4542" t="s">
        <v>29</v>
      </c>
      <c r="C4542">
        <v>469.31</v>
      </c>
      <c r="D4542">
        <v>58.59</v>
      </c>
      <c r="E4542" t="s">
        <v>9</v>
      </c>
      <c r="F4542">
        <v>67.22</v>
      </c>
      <c r="G4542" t="s">
        <v>20</v>
      </c>
      <c r="H4542" t="s">
        <v>11</v>
      </c>
    </row>
    <row r="4543" spans="1:8" x14ac:dyDescent="0.25">
      <c r="A4543" s="1">
        <v>45667.208333333336</v>
      </c>
      <c r="B4543" t="s">
        <v>29</v>
      </c>
      <c r="C4543">
        <v>220.56</v>
      </c>
      <c r="D4543">
        <v>18.91</v>
      </c>
      <c r="E4543" t="s">
        <v>9</v>
      </c>
      <c r="F4543">
        <v>55.08</v>
      </c>
      <c r="G4543" t="s">
        <v>20</v>
      </c>
      <c r="H4543" t="s">
        <v>11</v>
      </c>
    </row>
    <row r="4544" spans="1:8" x14ac:dyDescent="0.25">
      <c r="A4544" s="1">
        <v>45667.25</v>
      </c>
      <c r="B4544" t="s">
        <v>29</v>
      </c>
      <c r="C4544">
        <v>458.49</v>
      </c>
      <c r="D4544">
        <v>61.16</v>
      </c>
      <c r="E4544" t="s">
        <v>9</v>
      </c>
      <c r="F4544">
        <v>40.270000000000003</v>
      </c>
      <c r="G4544" t="s">
        <v>20</v>
      </c>
      <c r="H4544" t="s">
        <v>13</v>
      </c>
    </row>
    <row r="4545" spans="1:8" x14ac:dyDescent="0.25">
      <c r="A4545" s="1">
        <v>45667.291666666664</v>
      </c>
      <c r="B4545" t="s">
        <v>29</v>
      </c>
      <c r="C4545">
        <v>333.78</v>
      </c>
      <c r="D4545">
        <v>27.95</v>
      </c>
      <c r="E4545" t="s">
        <v>9</v>
      </c>
      <c r="F4545">
        <v>39.729999999999997</v>
      </c>
      <c r="G4545" t="s">
        <v>20</v>
      </c>
      <c r="H4545" t="s">
        <v>13</v>
      </c>
    </row>
    <row r="4546" spans="1:8" x14ac:dyDescent="0.25">
      <c r="A4546" s="1">
        <v>45667.333333333336</v>
      </c>
      <c r="B4546" t="s">
        <v>29</v>
      </c>
      <c r="C4546">
        <v>83.84</v>
      </c>
      <c r="D4546">
        <v>48.72</v>
      </c>
      <c r="E4546" t="s">
        <v>9</v>
      </c>
      <c r="F4546">
        <v>44.35</v>
      </c>
      <c r="G4546" t="s">
        <v>20</v>
      </c>
      <c r="H4546" t="s">
        <v>12</v>
      </c>
    </row>
    <row r="4547" spans="1:8" x14ac:dyDescent="0.25">
      <c r="A4547" s="1">
        <v>45667.375</v>
      </c>
      <c r="B4547" t="s">
        <v>29</v>
      </c>
      <c r="C4547">
        <v>394.22</v>
      </c>
      <c r="D4547">
        <v>23.43</v>
      </c>
      <c r="E4547" t="s">
        <v>9</v>
      </c>
      <c r="F4547">
        <v>83.38</v>
      </c>
      <c r="G4547" t="s">
        <v>20</v>
      </c>
      <c r="H4547" t="s">
        <v>13</v>
      </c>
    </row>
    <row r="4548" spans="1:8" x14ac:dyDescent="0.25">
      <c r="A4548" s="1">
        <v>45667.416666666664</v>
      </c>
      <c r="B4548" t="s">
        <v>29</v>
      </c>
      <c r="C4548">
        <v>403.8</v>
      </c>
      <c r="D4548">
        <v>88.29</v>
      </c>
      <c r="E4548" t="s">
        <v>14</v>
      </c>
      <c r="F4548">
        <v>71</v>
      </c>
      <c r="G4548" t="s">
        <v>20</v>
      </c>
      <c r="H4548" t="s">
        <v>11</v>
      </c>
    </row>
    <row r="4549" spans="1:8" x14ac:dyDescent="0.25">
      <c r="A4549" s="1">
        <v>45667.458333333336</v>
      </c>
      <c r="B4549" t="s">
        <v>29</v>
      </c>
      <c r="C4549">
        <v>365.65</v>
      </c>
      <c r="D4549">
        <v>23.49</v>
      </c>
      <c r="E4549" t="s">
        <v>9</v>
      </c>
      <c r="F4549">
        <v>37.619999999999997</v>
      </c>
      <c r="G4549" t="s">
        <v>20</v>
      </c>
      <c r="H4549" t="s">
        <v>13</v>
      </c>
    </row>
    <row r="4550" spans="1:8" x14ac:dyDescent="0.25">
      <c r="A4550" s="1">
        <v>45667.5</v>
      </c>
      <c r="B4550" t="s">
        <v>29</v>
      </c>
      <c r="C4550">
        <v>339.06</v>
      </c>
      <c r="D4550">
        <v>85.84</v>
      </c>
      <c r="E4550" t="s">
        <v>14</v>
      </c>
      <c r="F4550">
        <v>42.02</v>
      </c>
      <c r="G4550" t="s">
        <v>20</v>
      </c>
      <c r="H4550" t="s">
        <v>11</v>
      </c>
    </row>
    <row r="4551" spans="1:8" x14ac:dyDescent="0.25">
      <c r="A4551" s="1">
        <v>45667.541666666664</v>
      </c>
      <c r="B4551" t="s">
        <v>29</v>
      </c>
      <c r="C4551">
        <v>169.74</v>
      </c>
      <c r="D4551">
        <v>49.69</v>
      </c>
      <c r="E4551" t="s">
        <v>9</v>
      </c>
      <c r="F4551">
        <v>80.650000000000006</v>
      </c>
      <c r="G4551" t="s">
        <v>20</v>
      </c>
      <c r="H4551" t="s">
        <v>13</v>
      </c>
    </row>
    <row r="4552" spans="1:8" x14ac:dyDescent="0.25">
      <c r="A4552" s="1">
        <v>45667.583333333336</v>
      </c>
      <c r="B4552" t="s">
        <v>29</v>
      </c>
      <c r="C4552">
        <v>239.25</v>
      </c>
      <c r="D4552">
        <v>61.75</v>
      </c>
      <c r="E4552" t="s">
        <v>9</v>
      </c>
      <c r="F4552">
        <v>66.23</v>
      </c>
      <c r="G4552" t="s">
        <v>20</v>
      </c>
      <c r="H4552" t="s">
        <v>12</v>
      </c>
    </row>
    <row r="4553" spans="1:8" x14ac:dyDescent="0.25">
      <c r="A4553" s="1">
        <v>45667.625</v>
      </c>
      <c r="B4553" t="s">
        <v>29</v>
      </c>
      <c r="C4553">
        <v>281.12</v>
      </c>
      <c r="D4553">
        <v>74.61</v>
      </c>
      <c r="E4553" t="s">
        <v>9</v>
      </c>
      <c r="F4553">
        <v>59.53</v>
      </c>
      <c r="G4553" t="s">
        <v>20</v>
      </c>
      <c r="H4553" t="s">
        <v>11</v>
      </c>
    </row>
    <row r="4554" spans="1:8" x14ac:dyDescent="0.25">
      <c r="A4554" s="1">
        <v>45667.666666666664</v>
      </c>
      <c r="B4554" t="s">
        <v>29</v>
      </c>
      <c r="C4554">
        <v>245.43</v>
      </c>
      <c r="D4554">
        <v>70.900000000000006</v>
      </c>
      <c r="E4554" t="s">
        <v>9</v>
      </c>
      <c r="F4554">
        <v>69.78</v>
      </c>
      <c r="G4554" t="s">
        <v>20</v>
      </c>
      <c r="H4554" t="s">
        <v>12</v>
      </c>
    </row>
    <row r="4555" spans="1:8" x14ac:dyDescent="0.25">
      <c r="A4555" s="1">
        <v>45667.708333333336</v>
      </c>
      <c r="B4555" t="s">
        <v>29</v>
      </c>
      <c r="C4555">
        <v>236.41</v>
      </c>
      <c r="D4555">
        <v>42.19</v>
      </c>
      <c r="E4555" t="s">
        <v>9</v>
      </c>
      <c r="F4555">
        <v>44.12</v>
      </c>
      <c r="G4555" t="s">
        <v>20</v>
      </c>
      <c r="H4555" t="s">
        <v>13</v>
      </c>
    </row>
    <row r="4556" spans="1:8" x14ac:dyDescent="0.25">
      <c r="A4556" s="1">
        <v>45667.75</v>
      </c>
      <c r="B4556" t="s">
        <v>29</v>
      </c>
      <c r="C4556">
        <v>131.59</v>
      </c>
      <c r="D4556">
        <v>63.05</v>
      </c>
      <c r="E4556" t="s">
        <v>9</v>
      </c>
      <c r="F4556">
        <v>56.34</v>
      </c>
      <c r="G4556" t="s">
        <v>20</v>
      </c>
      <c r="H4556" t="s">
        <v>12</v>
      </c>
    </row>
    <row r="4557" spans="1:8" x14ac:dyDescent="0.25">
      <c r="A4557" s="1">
        <v>45667.791666666664</v>
      </c>
      <c r="B4557" t="s">
        <v>29</v>
      </c>
      <c r="C4557">
        <v>218.63</v>
      </c>
      <c r="D4557">
        <v>75.94</v>
      </c>
      <c r="E4557" t="s">
        <v>9</v>
      </c>
      <c r="F4557">
        <v>30.39</v>
      </c>
      <c r="G4557" t="s">
        <v>20</v>
      </c>
      <c r="H4557" t="s">
        <v>11</v>
      </c>
    </row>
    <row r="4558" spans="1:8" x14ac:dyDescent="0.25">
      <c r="A4558" s="1">
        <v>45667.833333333336</v>
      </c>
      <c r="B4558" t="s">
        <v>29</v>
      </c>
      <c r="C4558">
        <v>402.31</v>
      </c>
      <c r="D4558">
        <v>81.64</v>
      </c>
      <c r="E4558" t="s">
        <v>9</v>
      </c>
      <c r="F4558">
        <v>86.57</v>
      </c>
      <c r="G4558" t="s">
        <v>20</v>
      </c>
      <c r="H4558" t="s">
        <v>12</v>
      </c>
    </row>
    <row r="4559" spans="1:8" x14ac:dyDescent="0.25">
      <c r="A4559" s="1">
        <v>45667.875</v>
      </c>
      <c r="B4559" t="s">
        <v>29</v>
      </c>
      <c r="C4559">
        <v>275.02999999999997</v>
      </c>
      <c r="D4559">
        <v>91.87</v>
      </c>
      <c r="E4559" t="s">
        <v>14</v>
      </c>
      <c r="F4559">
        <v>57.51</v>
      </c>
      <c r="G4559" t="s">
        <v>20</v>
      </c>
      <c r="H4559" t="s">
        <v>12</v>
      </c>
    </row>
    <row r="4560" spans="1:8" x14ac:dyDescent="0.25">
      <c r="A4560" s="1">
        <v>45667.916666666664</v>
      </c>
      <c r="B4560" t="s">
        <v>29</v>
      </c>
      <c r="C4560">
        <v>199.51</v>
      </c>
      <c r="D4560">
        <v>16.559999999999999</v>
      </c>
      <c r="E4560" t="s">
        <v>9</v>
      </c>
      <c r="F4560">
        <v>55.98</v>
      </c>
      <c r="G4560" t="s">
        <v>20</v>
      </c>
      <c r="H4560" t="s">
        <v>12</v>
      </c>
    </row>
    <row r="4561" spans="1:8" x14ac:dyDescent="0.25">
      <c r="A4561" s="1">
        <v>45667.958333333336</v>
      </c>
      <c r="B4561" t="s">
        <v>29</v>
      </c>
      <c r="C4561">
        <v>218.52</v>
      </c>
      <c r="D4561">
        <v>59.79</v>
      </c>
      <c r="E4561" t="s">
        <v>9</v>
      </c>
      <c r="F4561">
        <v>77.83</v>
      </c>
      <c r="G4561" t="s">
        <v>20</v>
      </c>
      <c r="H4561" t="s">
        <v>13</v>
      </c>
    </row>
    <row r="4562" spans="1:8" x14ac:dyDescent="0.25">
      <c r="A4562" s="1">
        <v>45668</v>
      </c>
      <c r="B4562" t="s">
        <v>29</v>
      </c>
      <c r="C4562">
        <v>271.58999999999997</v>
      </c>
      <c r="D4562">
        <v>56.17</v>
      </c>
      <c r="E4562" t="s">
        <v>9</v>
      </c>
      <c r="F4562">
        <v>87.7</v>
      </c>
      <c r="G4562" t="s">
        <v>20</v>
      </c>
      <c r="H4562" t="s">
        <v>11</v>
      </c>
    </row>
    <row r="4563" spans="1:8" x14ac:dyDescent="0.25">
      <c r="A4563" s="1">
        <v>45668.041666666664</v>
      </c>
      <c r="B4563" t="s">
        <v>29</v>
      </c>
      <c r="C4563">
        <v>238.56</v>
      </c>
      <c r="D4563">
        <v>53.37</v>
      </c>
      <c r="E4563" t="s">
        <v>9</v>
      </c>
      <c r="F4563">
        <v>78.150000000000006</v>
      </c>
      <c r="G4563" t="s">
        <v>20</v>
      </c>
      <c r="H4563" t="s">
        <v>12</v>
      </c>
    </row>
    <row r="4564" spans="1:8" x14ac:dyDescent="0.25">
      <c r="A4564" s="1">
        <v>45668.083333333336</v>
      </c>
      <c r="B4564" t="s">
        <v>29</v>
      </c>
      <c r="C4564">
        <v>238.02</v>
      </c>
      <c r="D4564">
        <v>36.61</v>
      </c>
      <c r="E4564" t="s">
        <v>9</v>
      </c>
      <c r="F4564">
        <v>62.77</v>
      </c>
      <c r="G4564" t="s">
        <v>20</v>
      </c>
      <c r="H4564" t="s">
        <v>11</v>
      </c>
    </row>
    <row r="4565" spans="1:8" x14ac:dyDescent="0.25">
      <c r="A4565" s="1">
        <v>45668.125</v>
      </c>
      <c r="B4565" t="s">
        <v>29</v>
      </c>
      <c r="C4565">
        <v>150.31</v>
      </c>
      <c r="D4565">
        <v>81.99</v>
      </c>
      <c r="E4565" t="s">
        <v>9</v>
      </c>
      <c r="F4565">
        <v>58.55</v>
      </c>
      <c r="G4565" t="s">
        <v>20</v>
      </c>
      <c r="H4565" t="s">
        <v>11</v>
      </c>
    </row>
    <row r="4566" spans="1:8" x14ac:dyDescent="0.25">
      <c r="A4566" s="1">
        <v>45668.166666666664</v>
      </c>
      <c r="B4566" t="s">
        <v>29</v>
      </c>
      <c r="C4566">
        <v>263.31</v>
      </c>
      <c r="D4566">
        <v>59.11</v>
      </c>
      <c r="E4566" t="s">
        <v>9</v>
      </c>
      <c r="F4566">
        <v>89.72</v>
      </c>
      <c r="G4566" t="s">
        <v>20</v>
      </c>
      <c r="H4566" t="s">
        <v>13</v>
      </c>
    </row>
    <row r="4567" spans="1:8" x14ac:dyDescent="0.25">
      <c r="A4567" s="1">
        <v>45668.208333333336</v>
      </c>
      <c r="B4567" t="s">
        <v>29</v>
      </c>
      <c r="C4567">
        <v>284.81</v>
      </c>
      <c r="D4567">
        <v>27.09</v>
      </c>
      <c r="E4567" t="s">
        <v>9</v>
      </c>
      <c r="F4567">
        <v>53.05</v>
      </c>
      <c r="G4567" t="s">
        <v>20</v>
      </c>
      <c r="H4567" t="s">
        <v>13</v>
      </c>
    </row>
    <row r="4568" spans="1:8" x14ac:dyDescent="0.25">
      <c r="A4568" s="1">
        <v>45668.25</v>
      </c>
      <c r="B4568" t="s">
        <v>29</v>
      </c>
      <c r="C4568">
        <v>309.10000000000002</v>
      </c>
      <c r="D4568">
        <v>93.15</v>
      </c>
      <c r="E4568" t="s">
        <v>14</v>
      </c>
      <c r="F4568">
        <v>88.46</v>
      </c>
      <c r="G4568" t="s">
        <v>20</v>
      </c>
      <c r="H4568" t="s">
        <v>11</v>
      </c>
    </row>
    <row r="4569" spans="1:8" x14ac:dyDescent="0.25">
      <c r="A4569" s="1">
        <v>45668.291666666664</v>
      </c>
      <c r="B4569" t="s">
        <v>29</v>
      </c>
      <c r="C4569">
        <v>377.43</v>
      </c>
      <c r="D4569">
        <v>25.65</v>
      </c>
      <c r="E4569" t="s">
        <v>9</v>
      </c>
      <c r="F4569">
        <v>39.76</v>
      </c>
      <c r="G4569" t="s">
        <v>20</v>
      </c>
      <c r="H4569" t="s">
        <v>12</v>
      </c>
    </row>
    <row r="4570" spans="1:8" x14ac:dyDescent="0.25">
      <c r="A4570" s="1">
        <v>45668.333333333336</v>
      </c>
      <c r="B4570" t="s">
        <v>29</v>
      </c>
      <c r="C4570">
        <v>450.89</v>
      </c>
      <c r="D4570">
        <v>20.16</v>
      </c>
      <c r="E4570" t="s">
        <v>9</v>
      </c>
      <c r="F4570">
        <v>78.09</v>
      </c>
      <c r="G4570" t="s">
        <v>20</v>
      </c>
      <c r="H4570" t="s">
        <v>11</v>
      </c>
    </row>
    <row r="4571" spans="1:8" x14ac:dyDescent="0.25">
      <c r="A4571" s="1">
        <v>45668.375</v>
      </c>
      <c r="B4571" t="s">
        <v>29</v>
      </c>
      <c r="C4571">
        <v>168.24</v>
      </c>
      <c r="D4571">
        <v>41.58</v>
      </c>
      <c r="E4571" t="s">
        <v>9</v>
      </c>
      <c r="F4571">
        <v>41.4</v>
      </c>
      <c r="G4571" t="s">
        <v>20</v>
      </c>
      <c r="H4571" t="s">
        <v>13</v>
      </c>
    </row>
    <row r="4572" spans="1:8" x14ac:dyDescent="0.25">
      <c r="A4572" s="1">
        <v>45668.416666666664</v>
      </c>
      <c r="B4572" t="s">
        <v>29</v>
      </c>
      <c r="C4572">
        <v>144.55000000000001</v>
      </c>
      <c r="D4572">
        <v>37</v>
      </c>
      <c r="E4572" t="s">
        <v>9</v>
      </c>
      <c r="F4572">
        <v>85.23</v>
      </c>
      <c r="G4572" t="s">
        <v>20</v>
      </c>
      <c r="H4572" t="s">
        <v>11</v>
      </c>
    </row>
    <row r="4573" spans="1:8" x14ac:dyDescent="0.25">
      <c r="A4573" s="1">
        <v>45668.458333333336</v>
      </c>
      <c r="B4573" t="s">
        <v>29</v>
      </c>
      <c r="C4573">
        <v>120.77</v>
      </c>
      <c r="D4573">
        <v>86.76</v>
      </c>
      <c r="E4573" t="s">
        <v>14</v>
      </c>
      <c r="F4573">
        <v>57.91</v>
      </c>
      <c r="G4573" t="s">
        <v>20</v>
      </c>
      <c r="H4573" t="s">
        <v>12</v>
      </c>
    </row>
    <row r="4574" spans="1:8" x14ac:dyDescent="0.25">
      <c r="A4574" s="1">
        <v>45668.5</v>
      </c>
      <c r="B4574" t="s">
        <v>29</v>
      </c>
      <c r="C4574">
        <v>150.47999999999999</v>
      </c>
      <c r="D4574">
        <v>69.58</v>
      </c>
      <c r="E4574" t="s">
        <v>9</v>
      </c>
      <c r="F4574">
        <v>73.09</v>
      </c>
      <c r="G4574" t="s">
        <v>20</v>
      </c>
      <c r="H4574" t="s">
        <v>12</v>
      </c>
    </row>
    <row r="4575" spans="1:8" x14ac:dyDescent="0.25">
      <c r="A4575" s="1">
        <v>45668.541666666664</v>
      </c>
      <c r="B4575" t="s">
        <v>29</v>
      </c>
      <c r="C4575">
        <v>255.48</v>
      </c>
      <c r="D4575">
        <v>72.5</v>
      </c>
      <c r="E4575" t="s">
        <v>9</v>
      </c>
      <c r="F4575">
        <v>34.83</v>
      </c>
      <c r="G4575" t="s">
        <v>20</v>
      </c>
      <c r="H4575" t="s">
        <v>13</v>
      </c>
    </row>
    <row r="4576" spans="1:8" x14ac:dyDescent="0.25">
      <c r="A4576" s="1">
        <v>45668.583333333336</v>
      </c>
      <c r="B4576" t="s">
        <v>29</v>
      </c>
      <c r="C4576">
        <v>464.68</v>
      </c>
      <c r="D4576">
        <v>38.299999999999997</v>
      </c>
      <c r="E4576" t="s">
        <v>9</v>
      </c>
      <c r="F4576">
        <v>64.75</v>
      </c>
      <c r="G4576" t="s">
        <v>20</v>
      </c>
      <c r="H4576" t="s">
        <v>13</v>
      </c>
    </row>
    <row r="4577" spans="1:8" x14ac:dyDescent="0.25">
      <c r="A4577" s="1">
        <v>45668.625</v>
      </c>
      <c r="B4577" t="s">
        <v>29</v>
      </c>
      <c r="C4577">
        <v>51.56</v>
      </c>
      <c r="D4577">
        <v>84.54</v>
      </c>
      <c r="E4577" t="s">
        <v>9</v>
      </c>
      <c r="F4577">
        <v>49.59</v>
      </c>
      <c r="G4577" t="s">
        <v>20</v>
      </c>
      <c r="H4577" t="s">
        <v>12</v>
      </c>
    </row>
    <row r="4578" spans="1:8" x14ac:dyDescent="0.25">
      <c r="A4578" s="1">
        <v>45668.666666666664</v>
      </c>
      <c r="B4578" t="s">
        <v>29</v>
      </c>
      <c r="C4578">
        <v>88.6</v>
      </c>
      <c r="D4578">
        <v>83.77</v>
      </c>
      <c r="E4578" t="s">
        <v>9</v>
      </c>
      <c r="F4578">
        <v>67.3</v>
      </c>
      <c r="G4578" t="s">
        <v>20</v>
      </c>
      <c r="H4578" t="s">
        <v>13</v>
      </c>
    </row>
    <row r="4579" spans="1:8" x14ac:dyDescent="0.25">
      <c r="A4579" s="1">
        <v>45668.708333333336</v>
      </c>
      <c r="B4579" t="s">
        <v>29</v>
      </c>
      <c r="C4579">
        <v>451.53</v>
      </c>
      <c r="D4579">
        <v>63.97</v>
      </c>
      <c r="E4579" t="s">
        <v>9</v>
      </c>
      <c r="F4579">
        <v>61.64</v>
      </c>
      <c r="G4579" t="s">
        <v>20</v>
      </c>
      <c r="H4579" t="s">
        <v>13</v>
      </c>
    </row>
    <row r="4580" spans="1:8" x14ac:dyDescent="0.25">
      <c r="A4580" s="1">
        <v>45668.75</v>
      </c>
      <c r="B4580" t="s">
        <v>29</v>
      </c>
      <c r="C4580">
        <v>207.72</v>
      </c>
      <c r="D4580">
        <v>27.1</v>
      </c>
      <c r="E4580" t="s">
        <v>9</v>
      </c>
      <c r="F4580">
        <v>49.73</v>
      </c>
      <c r="G4580" t="s">
        <v>20</v>
      </c>
      <c r="H4580" t="s">
        <v>11</v>
      </c>
    </row>
    <row r="4581" spans="1:8" x14ac:dyDescent="0.25">
      <c r="A4581" s="1">
        <v>45668.791666666664</v>
      </c>
      <c r="B4581" t="s">
        <v>29</v>
      </c>
      <c r="C4581">
        <v>459.73</v>
      </c>
      <c r="D4581">
        <v>53.82</v>
      </c>
      <c r="E4581" t="s">
        <v>9</v>
      </c>
      <c r="F4581">
        <v>60.71</v>
      </c>
      <c r="G4581" t="s">
        <v>20</v>
      </c>
      <c r="H4581" t="s">
        <v>12</v>
      </c>
    </row>
    <row r="4582" spans="1:8" x14ac:dyDescent="0.25">
      <c r="A4582" s="1">
        <v>45668.833333333336</v>
      </c>
      <c r="B4582" t="s">
        <v>29</v>
      </c>
      <c r="C4582">
        <v>499.45</v>
      </c>
      <c r="D4582">
        <v>34.299999999999997</v>
      </c>
      <c r="E4582" t="s">
        <v>9</v>
      </c>
      <c r="F4582">
        <v>86.13</v>
      </c>
      <c r="G4582" t="s">
        <v>20</v>
      </c>
      <c r="H4582" t="s">
        <v>13</v>
      </c>
    </row>
    <row r="4583" spans="1:8" x14ac:dyDescent="0.25">
      <c r="A4583" s="1">
        <v>45668.875</v>
      </c>
      <c r="B4583" t="s">
        <v>29</v>
      </c>
      <c r="C4583">
        <v>437.91</v>
      </c>
      <c r="D4583">
        <v>62.35</v>
      </c>
      <c r="E4583" t="s">
        <v>9</v>
      </c>
      <c r="F4583">
        <v>65.489999999999995</v>
      </c>
      <c r="G4583" t="s">
        <v>20</v>
      </c>
      <c r="H4583" t="s">
        <v>11</v>
      </c>
    </row>
    <row r="4584" spans="1:8" x14ac:dyDescent="0.25">
      <c r="A4584" s="1">
        <v>45668.916666666664</v>
      </c>
      <c r="B4584" t="s">
        <v>29</v>
      </c>
      <c r="C4584">
        <v>435.87</v>
      </c>
      <c r="D4584">
        <v>78.819999999999993</v>
      </c>
      <c r="E4584" t="s">
        <v>9</v>
      </c>
      <c r="F4584">
        <v>44.1</v>
      </c>
      <c r="G4584" t="s">
        <v>20</v>
      </c>
      <c r="H4584" t="s">
        <v>13</v>
      </c>
    </row>
    <row r="4585" spans="1:8" x14ac:dyDescent="0.25">
      <c r="A4585" s="1">
        <v>45668.958333333336</v>
      </c>
      <c r="B4585" t="s">
        <v>29</v>
      </c>
      <c r="C4585">
        <v>414.77</v>
      </c>
      <c r="D4585">
        <v>24.44</v>
      </c>
      <c r="E4585" t="s">
        <v>9</v>
      </c>
      <c r="F4585">
        <v>73.31</v>
      </c>
      <c r="G4585" t="s">
        <v>20</v>
      </c>
      <c r="H4585" t="s">
        <v>12</v>
      </c>
    </row>
    <row r="4586" spans="1:8" x14ac:dyDescent="0.25">
      <c r="A4586" s="1">
        <v>45669</v>
      </c>
      <c r="B4586" t="s">
        <v>29</v>
      </c>
      <c r="C4586">
        <v>192.1</v>
      </c>
      <c r="D4586">
        <v>83.46</v>
      </c>
      <c r="E4586" t="s">
        <v>9</v>
      </c>
      <c r="F4586">
        <v>83.85</v>
      </c>
      <c r="G4586" t="s">
        <v>20</v>
      </c>
      <c r="H4586" t="s">
        <v>11</v>
      </c>
    </row>
    <row r="4587" spans="1:8" x14ac:dyDescent="0.25">
      <c r="A4587" s="1">
        <v>45669.041666666664</v>
      </c>
      <c r="B4587" t="s">
        <v>29</v>
      </c>
      <c r="C4587">
        <v>274.22000000000003</v>
      </c>
      <c r="D4587">
        <v>71.739999999999995</v>
      </c>
      <c r="E4587" t="s">
        <v>9</v>
      </c>
      <c r="F4587">
        <v>66.53</v>
      </c>
      <c r="G4587" t="s">
        <v>20</v>
      </c>
      <c r="H4587" t="s">
        <v>13</v>
      </c>
    </row>
    <row r="4588" spans="1:8" x14ac:dyDescent="0.25">
      <c r="A4588" s="1">
        <v>45669.083333333336</v>
      </c>
      <c r="B4588" t="s">
        <v>29</v>
      </c>
      <c r="C4588">
        <v>463.21</v>
      </c>
      <c r="D4588">
        <v>88.09</v>
      </c>
      <c r="E4588" t="s">
        <v>14</v>
      </c>
      <c r="F4588">
        <v>59.72</v>
      </c>
      <c r="G4588" t="s">
        <v>20</v>
      </c>
      <c r="H4588" t="s">
        <v>13</v>
      </c>
    </row>
    <row r="4589" spans="1:8" x14ac:dyDescent="0.25">
      <c r="A4589" s="1">
        <v>45669.125</v>
      </c>
      <c r="B4589" t="s">
        <v>29</v>
      </c>
      <c r="C4589">
        <v>483.16</v>
      </c>
      <c r="D4589">
        <v>79.81</v>
      </c>
      <c r="E4589" t="s">
        <v>9</v>
      </c>
      <c r="F4589">
        <v>80.23</v>
      </c>
      <c r="G4589" t="s">
        <v>20</v>
      </c>
      <c r="H4589" t="s">
        <v>13</v>
      </c>
    </row>
    <row r="4590" spans="1:8" x14ac:dyDescent="0.25">
      <c r="A4590" s="1">
        <v>45669.166666666664</v>
      </c>
      <c r="B4590" t="s">
        <v>29</v>
      </c>
      <c r="C4590">
        <v>258.14</v>
      </c>
      <c r="D4590">
        <v>30.51</v>
      </c>
      <c r="E4590" t="s">
        <v>9</v>
      </c>
      <c r="F4590">
        <v>31.44</v>
      </c>
      <c r="G4590" t="s">
        <v>20</v>
      </c>
      <c r="H4590" t="s">
        <v>13</v>
      </c>
    </row>
    <row r="4591" spans="1:8" x14ac:dyDescent="0.25">
      <c r="A4591" s="1">
        <v>45669.208333333336</v>
      </c>
      <c r="B4591" t="s">
        <v>29</v>
      </c>
      <c r="C4591">
        <v>86.69</v>
      </c>
      <c r="D4591">
        <v>32.85</v>
      </c>
      <c r="E4591" t="s">
        <v>9</v>
      </c>
      <c r="F4591">
        <v>87.74</v>
      </c>
      <c r="G4591" t="s">
        <v>20</v>
      </c>
      <c r="H4591" t="s">
        <v>12</v>
      </c>
    </row>
    <row r="4592" spans="1:8" x14ac:dyDescent="0.25">
      <c r="A4592" s="1">
        <v>45669.25</v>
      </c>
      <c r="B4592" t="s">
        <v>29</v>
      </c>
      <c r="C4592">
        <v>229.04</v>
      </c>
      <c r="D4592">
        <v>82.04</v>
      </c>
      <c r="E4592" t="s">
        <v>9</v>
      </c>
      <c r="F4592">
        <v>35.24</v>
      </c>
      <c r="G4592" t="s">
        <v>20</v>
      </c>
      <c r="H4592" t="s">
        <v>11</v>
      </c>
    </row>
    <row r="4593" spans="1:8" x14ac:dyDescent="0.25">
      <c r="A4593" s="1">
        <v>45669.291666666664</v>
      </c>
      <c r="B4593" t="s">
        <v>29</v>
      </c>
      <c r="C4593">
        <v>109.24</v>
      </c>
      <c r="D4593">
        <v>42.4</v>
      </c>
      <c r="E4593" t="s">
        <v>9</v>
      </c>
      <c r="F4593">
        <v>48.29</v>
      </c>
      <c r="G4593" t="s">
        <v>20</v>
      </c>
      <c r="H4593" t="s">
        <v>12</v>
      </c>
    </row>
    <row r="4594" spans="1:8" x14ac:dyDescent="0.25">
      <c r="A4594" s="1">
        <v>45669.333333333336</v>
      </c>
      <c r="B4594" t="s">
        <v>29</v>
      </c>
      <c r="C4594">
        <v>144.53</v>
      </c>
      <c r="D4594">
        <v>28</v>
      </c>
      <c r="E4594" t="s">
        <v>9</v>
      </c>
      <c r="F4594">
        <v>68.42</v>
      </c>
      <c r="G4594" t="s">
        <v>20</v>
      </c>
      <c r="H4594" t="s">
        <v>12</v>
      </c>
    </row>
    <row r="4595" spans="1:8" x14ac:dyDescent="0.25">
      <c r="A4595" s="1">
        <v>45669.375</v>
      </c>
      <c r="B4595" t="s">
        <v>29</v>
      </c>
      <c r="C4595">
        <v>278.98</v>
      </c>
      <c r="D4595">
        <v>38.14</v>
      </c>
      <c r="E4595" t="s">
        <v>9</v>
      </c>
      <c r="F4595">
        <v>39.549999999999997</v>
      </c>
      <c r="G4595" t="s">
        <v>20</v>
      </c>
      <c r="H4595" t="s">
        <v>12</v>
      </c>
    </row>
    <row r="4596" spans="1:8" x14ac:dyDescent="0.25">
      <c r="A4596" s="1">
        <v>45669.416666666664</v>
      </c>
      <c r="B4596" t="s">
        <v>29</v>
      </c>
      <c r="C4596">
        <v>217.24</v>
      </c>
      <c r="D4596">
        <v>61.77</v>
      </c>
      <c r="E4596" t="s">
        <v>9</v>
      </c>
      <c r="F4596">
        <v>72.239999999999995</v>
      </c>
      <c r="G4596" t="s">
        <v>20</v>
      </c>
      <c r="H4596" t="s">
        <v>13</v>
      </c>
    </row>
    <row r="4597" spans="1:8" x14ac:dyDescent="0.25">
      <c r="A4597" s="1">
        <v>45669.458333333336</v>
      </c>
      <c r="B4597" t="s">
        <v>29</v>
      </c>
      <c r="C4597">
        <v>320.67</v>
      </c>
      <c r="D4597">
        <v>76.8</v>
      </c>
      <c r="E4597" t="s">
        <v>9</v>
      </c>
      <c r="F4597">
        <v>57.32</v>
      </c>
      <c r="G4597" t="s">
        <v>20</v>
      </c>
      <c r="H4597" t="s">
        <v>11</v>
      </c>
    </row>
    <row r="4598" spans="1:8" x14ac:dyDescent="0.25">
      <c r="A4598" s="1">
        <v>45669.5</v>
      </c>
      <c r="B4598" t="s">
        <v>29</v>
      </c>
      <c r="C4598">
        <v>372.45</v>
      </c>
      <c r="D4598">
        <v>91.81</v>
      </c>
      <c r="E4598" t="s">
        <v>14</v>
      </c>
      <c r="F4598">
        <v>39.9</v>
      </c>
      <c r="G4598" t="s">
        <v>20</v>
      </c>
      <c r="H4598" t="s">
        <v>11</v>
      </c>
    </row>
    <row r="4599" spans="1:8" x14ac:dyDescent="0.25">
      <c r="A4599" s="1">
        <v>45669.541666666664</v>
      </c>
      <c r="B4599" t="s">
        <v>29</v>
      </c>
      <c r="C4599">
        <v>170.7</v>
      </c>
      <c r="D4599">
        <v>37.22</v>
      </c>
      <c r="E4599" t="s">
        <v>9</v>
      </c>
      <c r="F4599">
        <v>32.76</v>
      </c>
      <c r="G4599" t="s">
        <v>20</v>
      </c>
      <c r="H4599" t="s">
        <v>11</v>
      </c>
    </row>
    <row r="4600" spans="1:8" x14ac:dyDescent="0.25">
      <c r="A4600" s="1">
        <v>45669.583333333336</v>
      </c>
      <c r="B4600" t="s">
        <v>29</v>
      </c>
      <c r="C4600">
        <v>269</v>
      </c>
      <c r="D4600">
        <v>70.540000000000006</v>
      </c>
      <c r="E4600" t="s">
        <v>9</v>
      </c>
      <c r="F4600">
        <v>53.75</v>
      </c>
      <c r="G4600" t="s">
        <v>20</v>
      </c>
      <c r="H4600" t="s">
        <v>12</v>
      </c>
    </row>
    <row r="4601" spans="1:8" x14ac:dyDescent="0.25">
      <c r="A4601" s="1">
        <v>45669.625</v>
      </c>
      <c r="B4601" t="s">
        <v>29</v>
      </c>
      <c r="C4601">
        <v>127.92</v>
      </c>
      <c r="D4601">
        <v>23.45</v>
      </c>
      <c r="E4601" t="s">
        <v>9</v>
      </c>
      <c r="F4601">
        <v>52.21</v>
      </c>
      <c r="G4601" t="s">
        <v>20</v>
      </c>
      <c r="H4601" t="s">
        <v>13</v>
      </c>
    </row>
    <row r="4602" spans="1:8" x14ac:dyDescent="0.25">
      <c r="A4602" s="1">
        <v>45669.666666666664</v>
      </c>
      <c r="B4602" t="s">
        <v>29</v>
      </c>
      <c r="C4602">
        <v>471.03</v>
      </c>
      <c r="D4602">
        <v>32.43</v>
      </c>
      <c r="E4602" t="s">
        <v>9</v>
      </c>
      <c r="F4602">
        <v>54.55</v>
      </c>
      <c r="G4602" t="s">
        <v>20</v>
      </c>
      <c r="H4602" t="s">
        <v>12</v>
      </c>
    </row>
    <row r="4603" spans="1:8" x14ac:dyDescent="0.25">
      <c r="A4603" s="1">
        <v>45669.708333333336</v>
      </c>
      <c r="B4603" t="s">
        <v>29</v>
      </c>
      <c r="C4603">
        <v>291.11</v>
      </c>
      <c r="D4603">
        <v>38.909999999999997</v>
      </c>
      <c r="E4603" t="s">
        <v>9</v>
      </c>
      <c r="F4603">
        <v>59.36</v>
      </c>
      <c r="G4603" t="s">
        <v>20</v>
      </c>
      <c r="H4603" t="s">
        <v>11</v>
      </c>
    </row>
    <row r="4604" spans="1:8" x14ac:dyDescent="0.25">
      <c r="A4604" s="1">
        <v>45669.75</v>
      </c>
      <c r="B4604" t="s">
        <v>29</v>
      </c>
      <c r="C4604">
        <v>138.82</v>
      </c>
      <c r="D4604">
        <v>54.19</v>
      </c>
      <c r="E4604" t="s">
        <v>9</v>
      </c>
      <c r="F4604">
        <v>72.319999999999993</v>
      </c>
      <c r="G4604" t="s">
        <v>20</v>
      </c>
      <c r="H4604" t="s">
        <v>13</v>
      </c>
    </row>
    <row r="4605" spans="1:8" x14ac:dyDescent="0.25">
      <c r="A4605" s="1">
        <v>45669.791666666664</v>
      </c>
      <c r="B4605" t="s">
        <v>29</v>
      </c>
      <c r="C4605">
        <v>203.33</v>
      </c>
      <c r="D4605">
        <v>17.850000000000001</v>
      </c>
      <c r="E4605" t="s">
        <v>9</v>
      </c>
      <c r="F4605">
        <v>81.93</v>
      </c>
      <c r="G4605" t="s">
        <v>20</v>
      </c>
      <c r="H4605" t="s">
        <v>11</v>
      </c>
    </row>
    <row r="4606" spans="1:8" x14ac:dyDescent="0.25">
      <c r="A4606" s="1">
        <v>45669.833333333336</v>
      </c>
      <c r="B4606" t="s">
        <v>29</v>
      </c>
      <c r="C4606">
        <v>451.14</v>
      </c>
      <c r="D4606">
        <v>42.06</v>
      </c>
      <c r="E4606" t="s">
        <v>9</v>
      </c>
      <c r="F4606">
        <v>80.72</v>
      </c>
      <c r="G4606" t="s">
        <v>20</v>
      </c>
      <c r="H4606" t="s">
        <v>13</v>
      </c>
    </row>
    <row r="4607" spans="1:8" x14ac:dyDescent="0.25">
      <c r="A4607" s="1">
        <v>45669.875</v>
      </c>
      <c r="B4607" t="s">
        <v>29</v>
      </c>
      <c r="C4607">
        <v>444.58</v>
      </c>
      <c r="D4607">
        <v>44.02</v>
      </c>
      <c r="E4607" t="s">
        <v>9</v>
      </c>
      <c r="F4607">
        <v>54.44</v>
      </c>
      <c r="G4607" t="s">
        <v>20</v>
      </c>
      <c r="H4607" t="s">
        <v>11</v>
      </c>
    </row>
    <row r="4608" spans="1:8" x14ac:dyDescent="0.25">
      <c r="A4608" s="1">
        <v>45669.916666666664</v>
      </c>
      <c r="B4608" t="s">
        <v>29</v>
      </c>
      <c r="C4608">
        <v>465.05</v>
      </c>
      <c r="D4608">
        <v>70.11</v>
      </c>
      <c r="E4608" t="s">
        <v>9</v>
      </c>
      <c r="F4608">
        <v>44.86</v>
      </c>
      <c r="G4608" t="s">
        <v>20</v>
      </c>
      <c r="H4608" t="s">
        <v>11</v>
      </c>
    </row>
    <row r="4609" spans="1:8" x14ac:dyDescent="0.25">
      <c r="A4609" s="1">
        <v>45669.958333333336</v>
      </c>
      <c r="B4609" t="s">
        <v>29</v>
      </c>
      <c r="C4609">
        <v>225.3</v>
      </c>
      <c r="D4609">
        <v>45.54</v>
      </c>
      <c r="E4609" t="s">
        <v>9</v>
      </c>
      <c r="F4609">
        <v>43.8</v>
      </c>
      <c r="G4609" t="s">
        <v>20</v>
      </c>
      <c r="H4609" t="s">
        <v>11</v>
      </c>
    </row>
    <row r="4610" spans="1:8" x14ac:dyDescent="0.25">
      <c r="A4610" s="1">
        <v>45670</v>
      </c>
      <c r="B4610" t="s">
        <v>29</v>
      </c>
      <c r="C4610">
        <v>102.17</v>
      </c>
      <c r="D4610">
        <v>45.37</v>
      </c>
      <c r="E4610" t="s">
        <v>9</v>
      </c>
      <c r="F4610">
        <v>67.5</v>
      </c>
      <c r="G4610" t="s">
        <v>20</v>
      </c>
      <c r="H4610" t="s">
        <v>13</v>
      </c>
    </row>
    <row r="4611" spans="1:8" x14ac:dyDescent="0.25">
      <c r="A4611" s="1">
        <v>45670.041666666664</v>
      </c>
      <c r="B4611" t="s">
        <v>29</v>
      </c>
      <c r="C4611">
        <v>440.94</v>
      </c>
      <c r="D4611">
        <v>63.52</v>
      </c>
      <c r="E4611" t="s">
        <v>9</v>
      </c>
      <c r="F4611">
        <v>31.23</v>
      </c>
      <c r="G4611" t="s">
        <v>20</v>
      </c>
      <c r="H4611" t="s">
        <v>13</v>
      </c>
    </row>
    <row r="4612" spans="1:8" x14ac:dyDescent="0.25">
      <c r="A4612" s="1">
        <v>45670.083333333336</v>
      </c>
      <c r="B4612" t="s">
        <v>29</v>
      </c>
      <c r="C4612">
        <v>393.1</v>
      </c>
      <c r="D4612">
        <v>18.57</v>
      </c>
      <c r="E4612" t="s">
        <v>9</v>
      </c>
      <c r="F4612">
        <v>55.36</v>
      </c>
      <c r="G4612" t="s">
        <v>20</v>
      </c>
      <c r="H4612" t="s">
        <v>12</v>
      </c>
    </row>
    <row r="4613" spans="1:8" x14ac:dyDescent="0.25">
      <c r="A4613" s="1">
        <v>45670.125</v>
      </c>
      <c r="B4613" t="s">
        <v>29</v>
      </c>
      <c r="C4613">
        <v>479.31</v>
      </c>
      <c r="D4613">
        <v>52.54</v>
      </c>
      <c r="E4613" t="s">
        <v>9</v>
      </c>
      <c r="F4613">
        <v>74.989999999999995</v>
      </c>
      <c r="G4613" t="s">
        <v>20</v>
      </c>
      <c r="H4613" t="s">
        <v>11</v>
      </c>
    </row>
    <row r="4614" spans="1:8" x14ac:dyDescent="0.25">
      <c r="A4614" s="1">
        <v>45670.166666666664</v>
      </c>
      <c r="B4614" t="s">
        <v>29</v>
      </c>
      <c r="C4614">
        <v>112.01</v>
      </c>
      <c r="D4614">
        <v>74.14</v>
      </c>
      <c r="E4614" t="s">
        <v>9</v>
      </c>
      <c r="F4614">
        <v>82.79</v>
      </c>
      <c r="G4614" t="s">
        <v>20</v>
      </c>
      <c r="H4614" t="s">
        <v>11</v>
      </c>
    </row>
    <row r="4615" spans="1:8" x14ac:dyDescent="0.25">
      <c r="A4615" s="1">
        <v>45670.208333333336</v>
      </c>
      <c r="B4615" t="s">
        <v>29</v>
      </c>
      <c r="C4615">
        <v>466.86</v>
      </c>
      <c r="D4615">
        <v>18.34</v>
      </c>
      <c r="E4615" t="s">
        <v>9</v>
      </c>
      <c r="F4615">
        <v>41.81</v>
      </c>
      <c r="G4615" t="s">
        <v>20</v>
      </c>
      <c r="H4615" t="s">
        <v>12</v>
      </c>
    </row>
    <row r="4616" spans="1:8" x14ac:dyDescent="0.25">
      <c r="A4616" s="1">
        <v>45670.25</v>
      </c>
      <c r="B4616" t="s">
        <v>29</v>
      </c>
      <c r="C4616">
        <v>476.2</v>
      </c>
      <c r="D4616">
        <v>34.479999999999997</v>
      </c>
      <c r="E4616" t="s">
        <v>9</v>
      </c>
      <c r="F4616">
        <v>74.53</v>
      </c>
      <c r="G4616" t="s">
        <v>20</v>
      </c>
      <c r="H4616" t="s">
        <v>11</v>
      </c>
    </row>
    <row r="4617" spans="1:8" x14ac:dyDescent="0.25">
      <c r="A4617" s="1">
        <v>45670.291666666664</v>
      </c>
      <c r="B4617" t="s">
        <v>29</v>
      </c>
      <c r="C4617">
        <v>252.66</v>
      </c>
      <c r="D4617">
        <v>80.260000000000005</v>
      </c>
      <c r="E4617" t="s">
        <v>9</v>
      </c>
      <c r="F4617">
        <v>30.83</v>
      </c>
      <c r="G4617" t="s">
        <v>20</v>
      </c>
      <c r="H4617" t="s">
        <v>13</v>
      </c>
    </row>
    <row r="4618" spans="1:8" x14ac:dyDescent="0.25">
      <c r="A4618" s="1">
        <v>45670.333333333336</v>
      </c>
      <c r="B4618" t="s">
        <v>29</v>
      </c>
      <c r="C4618">
        <v>235.86</v>
      </c>
      <c r="D4618">
        <v>32.67</v>
      </c>
      <c r="E4618" t="s">
        <v>9</v>
      </c>
      <c r="F4618">
        <v>60.5</v>
      </c>
      <c r="G4618" t="s">
        <v>20</v>
      </c>
      <c r="H4618" t="s">
        <v>12</v>
      </c>
    </row>
    <row r="4619" spans="1:8" x14ac:dyDescent="0.25">
      <c r="A4619" s="1">
        <v>45670.375</v>
      </c>
      <c r="B4619" t="s">
        <v>29</v>
      </c>
      <c r="C4619">
        <v>70.14</v>
      </c>
      <c r="D4619">
        <v>71.98</v>
      </c>
      <c r="E4619" t="s">
        <v>9</v>
      </c>
      <c r="F4619">
        <v>75.650000000000006</v>
      </c>
      <c r="G4619" t="s">
        <v>20</v>
      </c>
      <c r="H4619" t="s">
        <v>11</v>
      </c>
    </row>
    <row r="4620" spans="1:8" x14ac:dyDescent="0.25">
      <c r="A4620" s="1">
        <v>45670.416666666664</v>
      </c>
      <c r="B4620" t="s">
        <v>29</v>
      </c>
      <c r="C4620">
        <v>336.08</v>
      </c>
      <c r="D4620">
        <v>86.11</v>
      </c>
      <c r="E4620" t="s">
        <v>14</v>
      </c>
      <c r="F4620">
        <v>84.72</v>
      </c>
      <c r="G4620" t="s">
        <v>20</v>
      </c>
      <c r="H4620" t="s">
        <v>11</v>
      </c>
    </row>
    <row r="4621" spans="1:8" x14ac:dyDescent="0.25">
      <c r="A4621" s="1">
        <v>45670.458333333336</v>
      </c>
      <c r="B4621" t="s">
        <v>29</v>
      </c>
      <c r="C4621">
        <v>129.26</v>
      </c>
      <c r="D4621">
        <v>80.2</v>
      </c>
      <c r="E4621" t="s">
        <v>9</v>
      </c>
      <c r="F4621">
        <v>46.59</v>
      </c>
      <c r="G4621" t="s">
        <v>20</v>
      </c>
      <c r="H4621" t="s">
        <v>11</v>
      </c>
    </row>
    <row r="4622" spans="1:8" x14ac:dyDescent="0.25">
      <c r="A4622" s="1">
        <v>45670.5</v>
      </c>
      <c r="B4622" t="s">
        <v>29</v>
      </c>
      <c r="C4622">
        <v>299.14999999999998</v>
      </c>
      <c r="D4622">
        <v>41.2</v>
      </c>
      <c r="E4622" t="s">
        <v>9</v>
      </c>
      <c r="F4622">
        <v>84.64</v>
      </c>
      <c r="G4622" t="s">
        <v>20</v>
      </c>
      <c r="H4622" t="s">
        <v>11</v>
      </c>
    </row>
    <row r="4623" spans="1:8" x14ac:dyDescent="0.25">
      <c r="A4623" s="1">
        <v>45670.541666666664</v>
      </c>
      <c r="B4623" t="s">
        <v>29</v>
      </c>
      <c r="C4623">
        <v>312.24</v>
      </c>
      <c r="D4623">
        <v>80.510000000000005</v>
      </c>
      <c r="E4623" t="s">
        <v>9</v>
      </c>
      <c r="F4623">
        <v>81.7</v>
      </c>
      <c r="G4623" t="s">
        <v>20</v>
      </c>
      <c r="H4623" t="s">
        <v>11</v>
      </c>
    </row>
    <row r="4624" spans="1:8" x14ac:dyDescent="0.25">
      <c r="A4624" s="1">
        <v>45670.583333333336</v>
      </c>
      <c r="B4624" t="s">
        <v>29</v>
      </c>
      <c r="C4624">
        <v>472.62</v>
      </c>
      <c r="D4624">
        <v>17.510000000000002</v>
      </c>
      <c r="E4624" t="s">
        <v>9</v>
      </c>
      <c r="F4624">
        <v>66.87</v>
      </c>
      <c r="G4624" t="s">
        <v>20</v>
      </c>
      <c r="H4624" t="s">
        <v>11</v>
      </c>
    </row>
    <row r="4625" spans="1:8" x14ac:dyDescent="0.25">
      <c r="A4625" s="1">
        <v>45670.625</v>
      </c>
      <c r="B4625" t="s">
        <v>29</v>
      </c>
      <c r="C4625">
        <v>311.02999999999997</v>
      </c>
      <c r="D4625">
        <v>21.45</v>
      </c>
      <c r="E4625" t="s">
        <v>9</v>
      </c>
      <c r="F4625">
        <v>61.15</v>
      </c>
      <c r="G4625" t="s">
        <v>20</v>
      </c>
      <c r="H4625" t="s">
        <v>13</v>
      </c>
    </row>
    <row r="4626" spans="1:8" x14ac:dyDescent="0.25">
      <c r="A4626" s="1">
        <v>45670.666666666664</v>
      </c>
      <c r="B4626" t="s">
        <v>29</v>
      </c>
      <c r="C4626">
        <v>223.1</v>
      </c>
      <c r="D4626">
        <v>22.68</v>
      </c>
      <c r="E4626" t="s">
        <v>9</v>
      </c>
      <c r="F4626">
        <v>75.760000000000005</v>
      </c>
      <c r="G4626" t="s">
        <v>20</v>
      </c>
      <c r="H4626" t="s">
        <v>12</v>
      </c>
    </row>
    <row r="4627" spans="1:8" x14ac:dyDescent="0.25">
      <c r="A4627" s="1">
        <v>45670.708333333336</v>
      </c>
      <c r="B4627" t="s">
        <v>29</v>
      </c>
      <c r="C4627">
        <v>489.28</v>
      </c>
      <c r="D4627">
        <v>93.56</v>
      </c>
      <c r="E4627" t="s">
        <v>14</v>
      </c>
      <c r="F4627">
        <v>35.880000000000003</v>
      </c>
      <c r="G4627" t="s">
        <v>20</v>
      </c>
      <c r="H4627" t="s">
        <v>13</v>
      </c>
    </row>
    <row r="4628" spans="1:8" x14ac:dyDescent="0.25">
      <c r="A4628" s="1">
        <v>45670.75</v>
      </c>
      <c r="B4628" t="s">
        <v>29</v>
      </c>
      <c r="C4628">
        <v>365.36</v>
      </c>
      <c r="D4628">
        <v>58.57</v>
      </c>
      <c r="E4628" t="s">
        <v>9</v>
      </c>
      <c r="F4628">
        <v>69.05</v>
      </c>
      <c r="G4628" t="s">
        <v>20</v>
      </c>
      <c r="H4628" t="s">
        <v>11</v>
      </c>
    </row>
    <row r="4629" spans="1:8" x14ac:dyDescent="0.25">
      <c r="A4629" s="1">
        <v>45670.791666666664</v>
      </c>
      <c r="B4629" t="s">
        <v>29</v>
      </c>
      <c r="C4629">
        <v>245.4</v>
      </c>
      <c r="D4629">
        <v>24.08</v>
      </c>
      <c r="E4629" t="s">
        <v>9</v>
      </c>
      <c r="F4629">
        <v>86.4</v>
      </c>
      <c r="G4629" t="s">
        <v>20</v>
      </c>
      <c r="H4629" t="s">
        <v>12</v>
      </c>
    </row>
    <row r="4630" spans="1:8" x14ac:dyDescent="0.25">
      <c r="A4630" s="1">
        <v>45670.833333333336</v>
      </c>
      <c r="B4630" t="s">
        <v>29</v>
      </c>
      <c r="C4630">
        <v>447.58</v>
      </c>
      <c r="D4630">
        <v>71.98</v>
      </c>
      <c r="E4630" t="s">
        <v>9</v>
      </c>
      <c r="F4630">
        <v>51.82</v>
      </c>
      <c r="G4630" t="s">
        <v>20</v>
      </c>
      <c r="H4630" t="s">
        <v>11</v>
      </c>
    </row>
    <row r="4631" spans="1:8" x14ac:dyDescent="0.25">
      <c r="A4631" s="1">
        <v>45670.875</v>
      </c>
      <c r="B4631" t="s">
        <v>29</v>
      </c>
      <c r="C4631">
        <v>307.44</v>
      </c>
      <c r="D4631">
        <v>38.1</v>
      </c>
      <c r="E4631" t="s">
        <v>9</v>
      </c>
      <c r="F4631">
        <v>89.83</v>
      </c>
      <c r="G4631" t="s">
        <v>20</v>
      </c>
      <c r="H4631" t="s">
        <v>11</v>
      </c>
    </row>
    <row r="4632" spans="1:8" x14ac:dyDescent="0.25">
      <c r="A4632" s="1">
        <v>45670.916666666664</v>
      </c>
      <c r="B4632" t="s">
        <v>29</v>
      </c>
      <c r="C4632">
        <v>301.93</v>
      </c>
      <c r="D4632">
        <v>47.68</v>
      </c>
      <c r="E4632" t="s">
        <v>9</v>
      </c>
      <c r="F4632">
        <v>83.3</v>
      </c>
      <c r="G4632" t="s">
        <v>20</v>
      </c>
      <c r="H4632" t="s">
        <v>13</v>
      </c>
    </row>
    <row r="4633" spans="1:8" x14ac:dyDescent="0.25">
      <c r="A4633" s="1">
        <v>45670.958333333336</v>
      </c>
      <c r="B4633" t="s">
        <v>29</v>
      </c>
      <c r="C4633">
        <v>435.16</v>
      </c>
      <c r="D4633">
        <v>59.99</v>
      </c>
      <c r="E4633" t="s">
        <v>9</v>
      </c>
      <c r="F4633">
        <v>78.8</v>
      </c>
      <c r="G4633" t="s">
        <v>20</v>
      </c>
      <c r="H4633" t="s">
        <v>13</v>
      </c>
    </row>
    <row r="4634" spans="1:8" x14ac:dyDescent="0.25">
      <c r="A4634" s="1">
        <v>45671</v>
      </c>
      <c r="B4634" t="s">
        <v>29</v>
      </c>
      <c r="C4634">
        <v>389.28</v>
      </c>
      <c r="D4634">
        <v>84.29</v>
      </c>
      <c r="E4634" t="s">
        <v>9</v>
      </c>
      <c r="F4634">
        <v>53.48</v>
      </c>
      <c r="G4634" t="s">
        <v>20</v>
      </c>
      <c r="H4634" t="s">
        <v>12</v>
      </c>
    </row>
    <row r="4635" spans="1:8" x14ac:dyDescent="0.25">
      <c r="A4635" s="1">
        <v>45671.041666666664</v>
      </c>
      <c r="B4635" t="s">
        <v>29</v>
      </c>
      <c r="C4635">
        <v>274.18</v>
      </c>
      <c r="D4635">
        <v>24.31</v>
      </c>
      <c r="E4635" t="s">
        <v>9</v>
      </c>
      <c r="F4635">
        <v>36.92</v>
      </c>
      <c r="G4635" t="s">
        <v>20</v>
      </c>
      <c r="H4635" t="s">
        <v>12</v>
      </c>
    </row>
    <row r="4636" spans="1:8" x14ac:dyDescent="0.25">
      <c r="A4636" s="1">
        <v>45671.083333333336</v>
      </c>
      <c r="B4636" t="s">
        <v>29</v>
      </c>
      <c r="C4636">
        <v>196.38</v>
      </c>
      <c r="D4636">
        <v>70.81</v>
      </c>
      <c r="E4636" t="s">
        <v>9</v>
      </c>
      <c r="F4636">
        <v>68.78</v>
      </c>
      <c r="G4636" t="s">
        <v>20</v>
      </c>
      <c r="H4636" t="s">
        <v>11</v>
      </c>
    </row>
    <row r="4637" spans="1:8" x14ac:dyDescent="0.25">
      <c r="A4637" s="1">
        <v>45671.125</v>
      </c>
      <c r="B4637" t="s">
        <v>29</v>
      </c>
      <c r="C4637">
        <v>431.12</v>
      </c>
      <c r="D4637">
        <v>36.79</v>
      </c>
      <c r="E4637" t="s">
        <v>9</v>
      </c>
      <c r="F4637">
        <v>77.58</v>
      </c>
      <c r="G4637" t="s">
        <v>20</v>
      </c>
      <c r="H4637" t="s">
        <v>12</v>
      </c>
    </row>
    <row r="4638" spans="1:8" x14ac:dyDescent="0.25">
      <c r="A4638" s="1">
        <v>45671.166666666664</v>
      </c>
      <c r="B4638" t="s">
        <v>29</v>
      </c>
      <c r="C4638">
        <v>216.12</v>
      </c>
      <c r="D4638">
        <v>21.43</v>
      </c>
      <c r="E4638" t="s">
        <v>9</v>
      </c>
      <c r="F4638">
        <v>67.5</v>
      </c>
      <c r="G4638" t="s">
        <v>20</v>
      </c>
      <c r="H4638" t="s">
        <v>12</v>
      </c>
    </row>
    <row r="4639" spans="1:8" x14ac:dyDescent="0.25">
      <c r="A4639" s="1">
        <v>45671.208333333336</v>
      </c>
      <c r="B4639" t="s">
        <v>29</v>
      </c>
      <c r="C4639">
        <v>428.61</v>
      </c>
      <c r="D4639">
        <v>16.86</v>
      </c>
      <c r="E4639" t="s">
        <v>9</v>
      </c>
      <c r="F4639">
        <v>88.48</v>
      </c>
      <c r="G4639" t="s">
        <v>20</v>
      </c>
      <c r="H4639" t="s">
        <v>11</v>
      </c>
    </row>
    <row r="4640" spans="1:8" x14ac:dyDescent="0.25">
      <c r="A4640" s="1">
        <v>45671.25</v>
      </c>
      <c r="B4640" t="s">
        <v>29</v>
      </c>
      <c r="C4640">
        <v>340.89</v>
      </c>
      <c r="D4640">
        <v>75.7</v>
      </c>
      <c r="E4640" t="s">
        <v>9</v>
      </c>
      <c r="F4640">
        <v>43.87</v>
      </c>
      <c r="G4640" t="s">
        <v>20</v>
      </c>
      <c r="H4640" t="s">
        <v>11</v>
      </c>
    </row>
    <row r="4641" spans="1:8" x14ac:dyDescent="0.25">
      <c r="A4641" s="1">
        <v>45671.291666666664</v>
      </c>
      <c r="B4641" t="s">
        <v>29</v>
      </c>
      <c r="C4641">
        <v>281.32</v>
      </c>
      <c r="D4641">
        <v>93.79</v>
      </c>
      <c r="E4641" t="s">
        <v>14</v>
      </c>
      <c r="F4641">
        <v>44.12</v>
      </c>
      <c r="G4641" t="s">
        <v>20</v>
      </c>
      <c r="H4641" t="s">
        <v>13</v>
      </c>
    </row>
    <row r="4642" spans="1:8" x14ac:dyDescent="0.25">
      <c r="A4642" s="1">
        <v>45671.333333333336</v>
      </c>
      <c r="B4642" t="s">
        <v>29</v>
      </c>
      <c r="C4642">
        <v>246.57</v>
      </c>
      <c r="D4642">
        <v>79.540000000000006</v>
      </c>
      <c r="E4642" t="s">
        <v>9</v>
      </c>
      <c r="F4642">
        <v>48.31</v>
      </c>
      <c r="G4642" t="s">
        <v>20</v>
      </c>
      <c r="H4642" t="s">
        <v>13</v>
      </c>
    </row>
    <row r="4643" spans="1:8" x14ac:dyDescent="0.25">
      <c r="A4643" s="1">
        <v>45671.375</v>
      </c>
      <c r="B4643" t="s">
        <v>29</v>
      </c>
      <c r="C4643">
        <v>261.70999999999998</v>
      </c>
      <c r="D4643">
        <v>93.38</v>
      </c>
      <c r="E4643" t="s">
        <v>14</v>
      </c>
      <c r="F4643">
        <v>41.72</v>
      </c>
      <c r="G4643" t="s">
        <v>20</v>
      </c>
      <c r="H4643" t="s">
        <v>13</v>
      </c>
    </row>
    <row r="4644" spans="1:8" x14ac:dyDescent="0.25">
      <c r="A4644" s="1">
        <v>45671.416666666664</v>
      </c>
      <c r="B4644" t="s">
        <v>29</v>
      </c>
      <c r="C4644">
        <v>335.64</v>
      </c>
      <c r="D4644">
        <v>20.59</v>
      </c>
      <c r="E4644" t="s">
        <v>9</v>
      </c>
      <c r="F4644">
        <v>36.880000000000003</v>
      </c>
      <c r="G4644" t="s">
        <v>20</v>
      </c>
      <c r="H4644" t="s">
        <v>12</v>
      </c>
    </row>
    <row r="4645" spans="1:8" x14ac:dyDescent="0.25">
      <c r="A4645" s="1">
        <v>45671.458333333336</v>
      </c>
      <c r="B4645" t="s">
        <v>29</v>
      </c>
      <c r="C4645">
        <v>276.01</v>
      </c>
      <c r="D4645">
        <v>15.37</v>
      </c>
      <c r="E4645" t="s">
        <v>9</v>
      </c>
      <c r="F4645">
        <v>84.01</v>
      </c>
      <c r="G4645" t="s">
        <v>20</v>
      </c>
      <c r="H4645" t="s">
        <v>12</v>
      </c>
    </row>
    <row r="4646" spans="1:8" x14ac:dyDescent="0.25">
      <c r="A4646" s="1">
        <v>45671.5</v>
      </c>
      <c r="B4646" t="s">
        <v>29</v>
      </c>
      <c r="C4646">
        <v>198.05</v>
      </c>
      <c r="D4646">
        <v>48.36</v>
      </c>
      <c r="E4646" t="s">
        <v>9</v>
      </c>
      <c r="F4646">
        <v>84.67</v>
      </c>
      <c r="G4646" t="s">
        <v>20</v>
      </c>
      <c r="H4646" t="s">
        <v>11</v>
      </c>
    </row>
    <row r="4647" spans="1:8" x14ac:dyDescent="0.25">
      <c r="A4647" s="1">
        <v>45671.541666666664</v>
      </c>
      <c r="B4647" t="s">
        <v>29</v>
      </c>
      <c r="C4647">
        <v>491.03</v>
      </c>
      <c r="D4647">
        <v>91.04</v>
      </c>
      <c r="E4647" t="s">
        <v>14</v>
      </c>
      <c r="F4647">
        <v>83.96</v>
      </c>
      <c r="G4647" t="s">
        <v>20</v>
      </c>
      <c r="H4647" t="s">
        <v>11</v>
      </c>
    </row>
    <row r="4648" spans="1:8" x14ac:dyDescent="0.25">
      <c r="A4648" s="1">
        <v>45671.583333333336</v>
      </c>
      <c r="B4648" t="s">
        <v>29</v>
      </c>
      <c r="C4648">
        <v>351.5</v>
      </c>
      <c r="D4648">
        <v>17.329999999999998</v>
      </c>
      <c r="E4648" t="s">
        <v>9</v>
      </c>
      <c r="F4648">
        <v>53.37</v>
      </c>
      <c r="G4648" t="s">
        <v>20</v>
      </c>
      <c r="H4648" t="s">
        <v>11</v>
      </c>
    </row>
    <row r="4649" spans="1:8" x14ac:dyDescent="0.25">
      <c r="A4649" s="1">
        <v>45671.625</v>
      </c>
      <c r="B4649" t="s">
        <v>29</v>
      </c>
      <c r="C4649">
        <v>227.54</v>
      </c>
      <c r="D4649">
        <v>51.26</v>
      </c>
      <c r="E4649" t="s">
        <v>9</v>
      </c>
      <c r="F4649">
        <v>69.37</v>
      </c>
      <c r="G4649" t="s">
        <v>20</v>
      </c>
      <c r="H4649" t="s">
        <v>11</v>
      </c>
    </row>
    <row r="4650" spans="1:8" x14ac:dyDescent="0.25">
      <c r="A4650" s="1">
        <v>45671.666666666664</v>
      </c>
      <c r="B4650" t="s">
        <v>29</v>
      </c>
      <c r="C4650">
        <v>391.42</v>
      </c>
      <c r="D4650">
        <v>18.91</v>
      </c>
      <c r="E4650" t="s">
        <v>9</v>
      </c>
      <c r="F4650">
        <v>85.08</v>
      </c>
      <c r="G4650" t="s">
        <v>20</v>
      </c>
      <c r="H4650" t="s">
        <v>12</v>
      </c>
    </row>
    <row r="4651" spans="1:8" x14ac:dyDescent="0.25">
      <c r="A4651" s="1">
        <v>45671.708333333336</v>
      </c>
      <c r="B4651" t="s">
        <v>29</v>
      </c>
      <c r="C4651">
        <v>176.9</v>
      </c>
      <c r="D4651">
        <v>75.92</v>
      </c>
      <c r="E4651" t="s">
        <v>9</v>
      </c>
      <c r="F4651">
        <v>36.4</v>
      </c>
      <c r="G4651" t="s">
        <v>20</v>
      </c>
      <c r="H4651" t="s">
        <v>11</v>
      </c>
    </row>
    <row r="4652" spans="1:8" x14ac:dyDescent="0.25">
      <c r="A4652" s="1">
        <v>45671.75</v>
      </c>
      <c r="B4652" t="s">
        <v>29</v>
      </c>
      <c r="C4652">
        <v>91.84</v>
      </c>
      <c r="D4652">
        <v>87.6</v>
      </c>
      <c r="E4652" t="s">
        <v>14</v>
      </c>
      <c r="F4652">
        <v>46.4</v>
      </c>
      <c r="G4652" t="s">
        <v>20</v>
      </c>
      <c r="H4652" t="s">
        <v>13</v>
      </c>
    </row>
    <row r="4653" spans="1:8" x14ac:dyDescent="0.25">
      <c r="A4653" s="1">
        <v>45671.791666666664</v>
      </c>
      <c r="B4653" t="s">
        <v>29</v>
      </c>
      <c r="C4653">
        <v>98.15</v>
      </c>
      <c r="D4653">
        <v>49.5</v>
      </c>
      <c r="E4653" t="s">
        <v>9</v>
      </c>
      <c r="F4653">
        <v>37.880000000000003</v>
      </c>
      <c r="G4653" t="s">
        <v>20</v>
      </c>
      <c r="H4653" t="s">
        <v>12</v>
      </c>
    </row>
    <row r="4654" spans="1:8" x14ac:dyDescent="0.25">
      <c r="A4654" s="1">
        <v>45671.833333333336</v>
      </c>
      <c r="B4654" t="s">
        <v>29</v>
      </c>
      <c r="C4654">
        <v>319.92</v>
      </c>
      <c r="D4654">
        <v>56.55</v>
      </c>
      <c r="E4654" t="s">
        <v>9</v>
      </c>
      <c r="F4654">
        <v>57.69</v>
      </c>
      <c r="G4654" t="s">
        <v>20</v>
      </c>
      <c r="H4654" t="s">
        <v>11</v>
      </c>
    </row>
    <row r="4655" spans="1:8" x14ac:dyDescent="0.25">
      <c r="A4655" s="1">
        <v>45671.875</v>
      </c>
      <c r="B4655" t="s">
        <v>29</v>
      </c>
      <c r="C4655">
        <v>464.28</v>
      </c>
      <c r="D4655">
        <v>75.2</v>
      </c>
      <c r="E4655" t="s">
        <v>9</v>
      </c>
      <c r="F4655">
        <v>70.47</v>
      </c>
      <c r="G4655" t="s">
        <v>20</v>
      </c>
      <c r="H4655" t="s">
        <v>12</v>
      </c>
    </row>
    <row r="4656" spans="1:8" x14ac:dyDescent="0.25">
      <c r="A4656" s="1">
        <v>45671.916666666664</v>
      </c>
      <c r="B4656" t="s">
        <v>29</v>
      </c>
      <c r="C4656">
        <v>267.3</v>
      </c>
      <c r="D4656">
        <v>53.2</v>
      </c>
      <c r="E4656" t="s">
        <v>9</v>
      </c>
      <c r="F4656">
        <v>48.6</v>
      </c>
      <c r="G4656" t="s">
        <v>20</v>
      </c>
      <c r="H4656" t="s">
        <v>11</v>
      </c>
    </row>
    <row r="4657" spans="1:8" x14ac:dyDescent="0.25">
      <c r="A4657" s="1">
        <v>45671.958333333336</v>
      </c>
      <c r="B4657" t="s">
        <v>29</v>
      </c>
      <c r="C4657">
        <v>68.06</v>
      </c>
      <c r="D4657">
        <v>88.52</v>
      </c>
      <c r="E4657" t="s">
        <v>14</v>
      </c>
      <c r="F4657">
        <v>59.36</v>
      </c>
      <c r="G4657" t="s">
        <v>20</v>
      </c>
      <c r="H4657" t="s">
        <v>12</v>
      </c>
    </row>
    <row r="4658" spans="1:8" x14ac:dyDescent="0.25">
      <c r="A4658" s="1">
        <v>45672</v>
      </c>
      <c r="B4658" t="s">
        <v>29</v>
      </c>
      <c r="C4658">
        <v>115.6</v>
      </c>
      <c r="D4658">
        <v>43.48</v>
      </c>
      <c r="E4658" t="s">
        <v>9</v>
      </c>
      <c r="F4658">
        <v>70.849999999999994</v>
      </c>
      <c r="G4658" t="s">
        <v>20</v>
      </c>
      <c r="H4658" t="s">
        <v>13</v>
      </c>
    </row>
    <row r="4659" spans="1:8" x14ac:dyDescent="0.25">
      <c r="A4659" s="1">
        <v>45672.041666666664</v>
      </c>
      <c r="B4659" t="s">
        <v>29</v>
      </c>
      <c r="C4659">
        <v>416.04</v>
      </c>
      <c r="D4659">
        <v>30</v>
      </c>
      <c r="E4659" t="s">
        <v>9</v>
      </c>
      <c r="F4659">
        <v>32.14</v>
      </c>
      <c r="G4659" t="s">
        <v>20</v>
      </c>
      <c r="H4659" t="s">
        <v>12</v>
      </c>
    </row>
    <row r="4660" spans="1:8" x14ac:dyDescent="0.25">
      <c r="A4660" s="1">
        <v>45672.083333333336</v>
      </c>
      <c r="B4660" t="s">
        <v>29</v>
      </c>
      <c r="C4660">
        <v>128.81</v>
      </c>
      <c r="D4660">
        <v>92.44</v>
      </c>
      <c r="E4660" t="s">
        <v>14</v>
      </c>
      <c r="F4660">
        <v>42.79</v>
      </c>
      <c r="G4660" t="s">
        <v>20</v>
      </c>
      <c r="H4660" t="s">
        <v>13</v>
      </c>
    </row>
    <row r="4661" spans="1:8" x14ac:dyDescent="0.25">
      <c r="A4661" s="1">
        <v>45672.125</v>
      </c>
      <c r="B4661" t="s">
        <v>29</v>
      </c>
      <c r="C4661">
        <v>347.33</v>
      </c>
      <c r="D4661">
        <v>33.67</v>
      </c>
      <c r="E4661" t="s">
        <v>9</v>
      </c>
      <c r="F4661">
        <v>86.33</v>
      </c>
      <c r="G4661" t="s">
        <v>20</v>
      </c>
      <c r="H4661" t="s">
        <v>11</v>
      </c>
    </row>
    <row r="4662" spans="1:8" x14ac:dyDescent="0.25">
      <c r="A4662" s="1">
        <v>45672.166666666664</v>
      </c>
      <c r="B4662" t="s">
        <v>29</v>
      </c>
      <c r="C4662">
        <v>108.89</v>
      </c>
      <c r="D4662">
        <v>78.599999999999994</v>
      </c>
      <c r="E4662" t="s">
        <v>9</v>
      </c>
      <c r="F4662">
        <v>42.52</v>
      </c>
      <c r="G4662" t="s">
        <v>20</v>
      </c>
      <c r="H4662" t="s">
        <v>12</v>
      </c>
    </row>
    <row r="4663" spans="1:8" x14ac:dyDescent="0.25">
      <c r="A4663" s="1">
        <v>45672.208333333336</v>
      </c>
      <c r="B4663" t="s">
        <v>29</v>
      </c>
      <c r="C4663">
        <v>272.52999999999997</v>
      </c>
      <c r="D4663">
        <v>47.34</v>
      </c>
      <c r="E4663" t="s">
        <v>9</v>
      </c>
      <c r="F4663">
        <v>83.42</v>
      </c>
      <c r="G4663" t="s">
        <v>20</v>
      </c>
      <c r="H4663" t="s">
        <v>13</v>
      </c>
    </row>
    <row r="4664" spans="1:8" x14ac:dyDescent="0.25">
      <c r="A4664" s="1">
        <v>45672.25</v>
      </c>
      <c r="B4664" t="s">
        <v>29</v>
      </c>
      <c r="C4664">
        <v>115.98</v>
      </c>
      <c r="D4664">
        <v>25.86</v>
      </c>
      <c r="E4664" t="s">
        <v>9</v>
      </c>
      <c r="F4664">
        <v>42.21</v>
      </c>
      <c r="G4664" t="s">
        <v>20</v>
      </c>
      <c r="H4664" t="s">
        <v>12</v>
      </c>
    </row>
    <row r="4665" spans="1:8" x14ac:dyDescent="0.25">
      <c r="A4665" s="1">
        <v>45672.291666666664</v>
      </c>
      <c r="B4665" t="s">
        <v>29</v>
      </c>
      <c r="C4665">
        <v>71.040000000000006</v>
      </c>
      <c r="D4665">
        <v>57.58</v>
      </c>
      <c r="E4665" t="s">
        <v>9</v>
      </c>
      <c r="F4665">
        <v>44.09</v>
      </c>
      <c r="G4665" t="s">
        <v>20</v>
      </c>
      <c r="H4665" t="s">
        <v>11</v>
      </c>
    </row>
    <row r="4666" spans="1:8" x14ac:dyDescent="0.25">
      <c r="A4666" s="1">
        <v>45672.333333333336</v>
      </c>
      <c r="B4666" t="s">
        <v>29</v>
      </c>
      <c r="C4666">
        <v>107.69</v>
      </c>
      <c r="D4666">
        <v>32.130000000000003</v>
      </c>
      <c r="E4666" t="s">
        <v>9</v>
      </c>
      <c r="F4666">
        <v>74.17</v>
      </c>
      <c r="G4666" t="s">
        <v>20</v>
      </c>
      <c r="H4666" t="s">
        <v>13</v>
      </c>
    </row>
    <row r="4667" spans="1:8" x14ac:dyDescent="0.25">
      <c r="A4667" s="1">
        <v>45672.375</v>
      </c>
      <c r="B4667" t="s">
        <v>29</v>
      </c>
      <c r="C4667">
        <v>286.94</v>
      </c>
      <c r="D4667">
        <v>78.08</v>
      </c>
      <c r="E4667" t="s">
        <v>9</v>
      </c>
      <c r="F4667">
        <v>34.869999999999997</v>
      </c>
      <c r="G4667" t="s">
        <v>20</v>
      </c>
      <c r="H4667" t="s">
        <v>13</v>
      </c>
    </row>
    <row r="4668" spans="1:8" x14ac:dyDescent="0.25">
      <c r="A4668" s="1">
        <v>45672.416666666664</v>
      </c>
      <c r="B4668" t="s">
        <v>29</v>
      </c>
      <c r="C4668">
        <v>456.21</v>
      </c>
      <c r="D4668">
        <v>60.67</v>
      </c>
      <c r="E4668" t="s">
        <v>9</v>
      </c>
      <c r="F4668">
        <v>56.8</v>
      </c>
      <c r="G4668" t="s">
        <v>20</v>
      </c>
      <c r="H4668" t="s">
        <v>12</v>
      </c>
    </row>
    <row r="4669" spans="1:8" x14ac:dyDescent="0.25">
      <c r="A4669" s="1">
        <v>45672.458333333336</v>
      </c>
      <c r="B4669" t="s">
        <v>29</v>
      </c>
      <c r="C4669">
        <v>497.1</v>
      </c>
      <c r="D4669">
        <v>66.180000000000007</v>
      </c>
      <c r="E4669" t="s">
        <v>9</v>
      </c>
      <c r="F4669">
        <v>64.05</v>
      </c>
      <c r="G4669" t="s">
        <v>20</v>
      </c>
      <c r="H4669" t="s">
        <v>11</v>
      </c>
    </row>
    <row r="4670" spans="1:8" x14ac:dyDescent="0.25">
      <c r="A4670" s="1">
        <v>45672.5</v>
      </c>
      <c r="B4670" t="s">
        <v>29</v>
      </c>
      <c r="C4670">
        <v>244.86</v>
      </c>
      <c r="D4670">
        <v>31.37</v>
      </c>
      <c r="E4670" t="s">
        <v>9</v>
      </c>
      <c r="F4670">
        <v>55.77</v>
      </c>
      <c r="G4670" t="s">
        <v>20</v>
      </c>
      <c r="H4670" t="s">
        <v>11</v>
      </c>
    </row>
    <row r="4671" spans="1:8" x14ac:dyDescent="0.25">
      <c r="A4671" s="1">
        <v>45672.541666666664</v>
      </c>
      <c r="B4671" t="s">
        <v>29</v>
      </c>
      <c r="C4671">
        <v>308.35000000000002</v>
      </c>
      <c r="D4671">
        <v>70.180000000000007</v>
      </c>
      <c r="E4671" t="s">
        <v>9</v>
      </c>
      <c r="F4671">
        <v>70.680000000000007</v>
      </c>
      <c r="G4671" t="s">
        <v>20</v>
      </c>
      <c r="H4671" t="s">
        <v>13</v>
      </c>
    </row>
    <row r="4672" spans="1:8" x14ac:dyDescent="0.25">
      <c r="A4672" s="1">
        <v>45672.583333333336</v>
      </c>
      <c r="B4672" t="s">
        <v>29</v>
      </c>
      <c r="C4672">
        <v>474.86</v>
      </c>
      <c r="D4672">
        <v>67.37</v>
      </c>
      <c r="E4672" t="s">
        <v>9</v>
      </c>
      <c r="F4672">
        <v>58.57</v>
      </c>
      <c r="G4672" t="s">
        <v>20</v>
      </c>
      <c r="H4672" t="s">
        <v>13</v>
      </c>
    </row>
    <row r="4673" spans="1:8" x14ac:dyDescent="0.25">
      <c r="A4673" s="1">
        <v>45672.625</v>
      </c>
      <c r="B4673" t="s">
        <v>29</v>
      </c>
      <c r="C4673">
        <v>282.33999999999997</v>
      </c>
      <c r="D4673">
        <v>15.57</v>
      </c>
      <c r="E4673" t="s">
        <v>9</v>
      </c>
      <c r="F4673">
        <v>46.95</v>
      </c>
      <c r="G4673" t="s">
        <v>20</v>
      </c>
      <c r="H4673" t="s">
        <v>12</v>
      </c>
    </row>
    <row r="4674" spans="1:8" x14ac:dyDescent="0.25">
      <c r="A4674" s="1">
        <v>45672.666666666664</v>
      </c>
      <c r="B4674" t="s">
        <v>29</v>
      </c>
      <c r="C4674">
        <v>455.07</v>
      </c>
      <c r="D4674">
        <v>72.75</v>
      </c>
      <c r="E4674" t="s">
        <v>9</v>
      </c>
      <c r="F4674">
        <v>89.77</v>
      </c>
      <c r="G4674" t="s">
        <v>20</v>
      </c>
      <c r="H4674" t="s">
        <v>11</v>
      </c>
    </row>
    <row r="4675" spans="1:8" x14ac:dyDescent="0.25">
      <c r="A4675" s="1">
        <v>45672.708333333336</v>
      </c>
      <c r="B4675" t="s">
        <v>29</v>
      </c>
      <c r="C4675">
        <v>445.32</v>
      </c>
      <c r="D4675">
        <v>62.85</v>
      </c>
      <c r="E4675" t="s">
        <v>9</v>
      </c>
      <c r="F4675">
        <v>57.19</v>
      </c>
      <c r="G4675" t="s">
        <v>20</v>
      </c>
      <c r="H4675" t="s">
        <v>12</v>
      </c>
    </row>
    <row r="4676" spans="1:8" x14ac:dyDescent="0.25">
      <c r="A4676" s="1">
        <v>45672.75</v>
      </c>
      <c r="B4676" t="s">
        <v>29</v>
      </c>
      <c r="C4676">
        <v>189.97</v>
      </c>
      <c r="D4676">
        <v>78.62</v>
      </c>
      <c r="E4676" t="s">
        <v>9</v>
      </c>
      <c r="F4676">
        <v>36.61</v>
      </c>
      <c r="G4676" t="s">
        <v>20</v>
      </c>
      <c r="H4676" t="s">
        <v>13</v>
      </c>
    </row>
    <row r="4677" spans="1:8" x14ac:dyDescent="0.25">
      <c r="A4677" s="1">
        <v>45672.791666666664</v>
      </c>
      <c r="B4677" t="s">
        <v>29</v>
      </c>
      <c r="C4677">
        <v>128.93</v>
      </c>
      <c r="D4677">
        <v>70.39</v>
      </c>
      <c r="E4677" t="s">
        <v>9</v>
      </c>
      <c r="F4677">
        <v>88.62</v>
      </c>
      <c r="G4677" t="s">
        <v>20</v>
      </c>
      <c r="H4677" t="s">
        <v>12</v>
      </c>
    </row>
    <row r="4678" spans="1:8" x14ac:dyDescent="0.25">
      <c r="A4678" s="1">
        <v>45672.833333333336</v>
      </c>
      <c r="B4678" t="s">
        <v>29</v>
      </c>
      <c r="C4678">
        <v>397.49</v>
      </c>
      <c r="D4678">
        <v>32.43</v>
      </c>
      <c r="E4678" t="s">
        <v>9</v>
      </c>
      <c r="F4678">
        <v>83.42</v>
      </c>
      <c r="G4678" t="s">
        <v>20</v>
      </c>
      <c r="H4678" t="s">
        <v>13</v>
      </c>
    </row>
    <row r="4679" spans="1:8" x14ac:dyDescent="0.25">
      <c r="A4679" s="1">
        <v>45672.875</v>
      </c>
      <c r="B4679" t="s">
        <v>29</v>
      </c>
      <c r="C4679">
        <v>433.44</v>
      </c>
      <c r="D4679">
        <v>76.48</v>
      </c>
      <c r="E4679" t="s">
        <v>9</v>
      </c>
      <c r="F4679">
        <v>65.34</v>
      </c>
      <c r="G4679" t="s">
        <v>20</v>
      </c>
      <c r="H4679" t="s">
        <v>12</v>
      </c>
    </row>
    <row r="4680" spans="1:8" x14ac:dyDescent="0.25">
      <c r="A4680" s="1">
        <v>45672.916666666664</v>
      </c>
      <c r="B4680" t="s">
        <v>29</v>
      </c>
      <c r="C4680">
        <v>90.67</v>
      </c>
      <c r="D4680">
        <v>20.55</v>
      </c>
      <c r="E4680" t="s">
        <v>9</v>
      </c>
      <c r="F4680">
        <v>38.18</v>
      </c>
      <c r="G4680" t="s">
        <v>20</v>
      </c>
      <c r="H4680" t="s">
        <v>11</v>
      </c>
    </row>
    <row r="4681" spans="1:8" x14ac:dyDescent="0.25">
      <c r="A4681" s="1">
        <v>45672.958333333336</v>
      </c>
      <c r="B4681" t="s">
        <v>29</v>
      </c>
      <c r="C4681">
        <v>419.54</v>
      </c>
      <c r="D4681">
        <v>79.86</v>
      </c>
      <c r="E4681" t="s">
        <v>9</v>
      </c>
      <c r="F4681">
        <v>50.24</v>
      </c>
      <c r="G4681" t="s">
        <v>20</v>
      </c>
      <c r="H4681" t="s">
        <v>13</v>
      </c>
    </row>
    <row r="4682" spans="1:8" x14ac:dyDescent="0.25">
      <c r="A4682" s="1">
        <v>45658</v>
      </c>
      <c r="B4682" t="s">
        <v>30</v>
      </c>
      <c r="C4682">
        <v>59.87</v>
      </c>
      <c r="D4682">
        <v>76.260000000000005</v>
      </c>
      <c r="E4682" t="s">
        <v>9</v>
      </c>
      <c r="F4682">
        <v>87.93</v>
      </c>
      <c r="G4682" t="s">
        <v>16</v>
      </c>
      <c r="H4682" t="s">
        <v>13</v>
      </c>
    </row>
    <row r="4683" spans="1:8" x14ac:dyDescent="0.25">
      <c r="A4683" s="1">
        <v>45658.041666666664</v>
      </c>
      <c r="B4683" t="s">
        <v>30</v>
      </c>
      <c r="C4683">
        <v>70.39</v>
      </c>
      <c r="D4683">
        <v>61.47</v>
      </c>
      <c r="E4683" t="s">
        <v>9</v>
      </c>
      <c r="F4683">
        <v>43.37</v>
      </c>
      <c r="G4683" t="s">
        <v>16</v>
      </c>
      <c r="H4683" t="s">
        <v>12</v>
      </c>
    </row>
    <row r="4684" spans="1:8" x14ac:dyDescent="0.25">
      <c r="A4684" s="1">
        <v>45658.083333333336</v>
      </c>
      <c r="B4684" t="s">
        <v>30</v>
      </c>
      <c r="C4684">
        <v>439.78</v>
      </c>
      <c r="D4684">
        <v>62.85</v>
      </c>
      <c r="E4684" t="s">
        <v>9</v>
      </c>
      <c r="F4684">
        <v>78.95</v>
      </c>
      <c r="G4684" t="s">
        <v>16</v>
      </c>
      <c r="H4684" t="s">
        <v>11</v>
      </c>
    </row>
    <row r="4685" spans="1:8" x14ac:dyDescent="0.25">
      <c r="A4685" s="1">
        <v>45658.125</v>
      </c>
      <c r="B4685" t="s">
        <v>30</v>
      </c>
      <c r="C4685">
        <v>267.36</v>
      </c>
      <c r="D4685">
        <v>68.23</v>
      </c>
      <c r="E4685" t="s">
        <v>9</v>
      </c>
      <c r="F4685">
        <v>78.73</v>
      </c>
      <c r="G4685" t="s">
        <v>16</v>
      </c>
      <c r="H4685" t="s">
        <v>12</v>
      </c>
    </row>
    <row r="4686" spans="1:8" x14ac:dyDescent="0.25">
      <c r="A4686" s="1">
        <v>45658.166666666664</v>
      </c>
      <c r="B4686" t="s">
        <v>30</v>
      </c>
      <c r="C4686">
        <v>134.26</v>
      </c>
      <c r="D4686">
        <v>69.12</v>
      </c>
      <c r="E4686" t="s">
        <v>9</v>
      </c>
      <c r="F4686">
        <v>53.65</v>
      </c>
      <c r="G4686" t="s">
        <v>16</v>
      </c>
      <c r="H4686" t="s">
        <v>13</v>
      </c>
    </row>
    <row r="4687" spans="1:8" x14ac:dyDescent="0.25">
      <c r="A4687" s="1">
        <v>45658.208333333336</v>
      </c>
      <c r="B4687" t="s">
        <v>30</v>
      </c>
      <c r="C4687">
        <v>371.68</v>
      </c>
      <c r="D4687">
        <v>69.13</v>
      </c>
      <c r="E4687" t="s">
        <v>9</v>
      </c>
      <c r="F4687">
        <v>89.57</v>
      </c>
      <c r="G4687" t="s">
        <v>16</v>
      </c>
      <c r="H4687" t="s">
        <v>13</v>
      </c>
    </row>
    <row r="4688" spans="1:8" x14ac:dyDescent="0.25">
      <c r="A4688" s="1">
        <v>45658.25</v>
      </c>
      <c r="B4688" t="s">
        <v>30</v>
      </c>
      <c r="C4688">
        <v>473.42</v>
      </c>
      <c r="D4688">
        <v>71.78</v>
      </c>
      <c r="E4688" t="s">
        <v>9</v>
      </c>
      <c r="F4688">
        <v>77.78</v>
      </c>
      <c r="G4688" t="s">
        <v>16</v>
      </c>
      <c r="H4688" t="s">
        <v>12</v>
      </c>
    </row>
    <row r="4689" spans="1:8" x14ac:dyDescent="0.25">
      <c r="A4689" s="1">
        <v>45658.291666666664</v>
      </c>
      <c r="B4689" t="s">
        <v>30</v>
      </c>
      <c r="C4689">
        <v>462.66</v>
      </c>
      <c r="D4689">
        <v>75.16</v>
      </c>
      <c r="E4689" t="s">
        <v>9</v>
      </c>
      <c r="F4689">
        <v>69.319999999999993</v>
      </c>
      <c r="G4689" t="s">
        <v>16</v>
      </c>
      <c r="H4689" t="s">
        <v>13</v>
      </c>
    </row>
    <row r="4690" spans="1:8" x14ac:dyDescent="0.25">
      <c r="A4690" s="1">
        <v>45658.333333333336</v>
      </c>
      <c r="B4690" t="s">
        <v>30</v>
      </c>
      <c r="C4690">
        <v>364.36</v>
      </c>
      <c r="D4690">
        <v>85.82</v>
      </c>
      <c r="E4690" t="s">
        <v>14</v>
      </c>
      <c r="F4690">
        <v>43.85</v>
      </c>
      <c r="G4690" t="s">
        <v>16</v>
      </c>
      <c r="H4690" t="s">
        <v>11</v>
      </c>
    </row>
    <row r="4691" spans="1:8" x14ac:dyDescent="0.25">
      <c r="A4691" s="1">
        <v>45658.375</v>
      </c>
      <c r="B4691" t="s">
        <v>30</v>
      </c>
      <c r="C4691">
        <v>489.04</v>
      </c>
      <c r="D4691">
        <v>91.15</v>
      </c>
      <c r="E4691" t="s">
        <v>14</v>
      </c>
      <c r="F4691">
        <v>49.52</v>
      </c>
      <c r="G4691" t="s">
        <v>16</v>
      </c>
      <c r="H4691" t="s">
        <v>13</v>
      </c>
    </row>
    <row r="4692" spans="1:8" x14ac:dyDescent="0.25">
      <c r="A4692" s="1">
        <v>45658.416666666664</v>
      </c>
      <c r="B4692" t="s">
        <v>30</v>
      </c>
      <c r="C4692">
        <v>125.21</v>
      </c>
      <c r="D4692">
        <v>34.479999999999997</v>
      </c>
      <c r="E4692" t="s">
        <v>9</v>
      </c>
      <c r="F4692">
        <v>76.98</v>
      </c>
      <c r="G4692" t="s">
        <v>16</v>
      </c>
      <c r="H4692" t="s">
        <v>11</v>
      </c>
    </row>
    <row r="4693" spans="1:8" x14ac:dyDescent="0.25">
      <c r="A4693" s="1">
        <v>45658.458333333336</v>
      </c>
      <c r="B4693" t="s">
        <v>30</v>
      </c>
      <c r="C4693">
        <v>329.25</v>
      </c>
      <c r="D4693">
        <v>67.95</v>
      </c>
      <c r="E4693" t="s">
        <v>9</v>
      </c>
      <c r="F4693">
        <v>76.91</v>
      </c>
      <c r="G4693" t="s">
        <v>16</v>
      </c>
      <c r="H4693" t="s">
        <v>13</v>
      </c>
    </row>
    <row r="4694" spans="1:8" x14ac:dyDescent="0.25">
      <c r="A4694" s="1">
        <v>45658.5</v>
      </c>
      <c r="B4694" t="s">
        <v>30</v>
      </c>
      <c r="C4694">
        <v>187.17</v>
      </c>
      <c r="D4694">
        <v>50.32</v>
      </c>
      <c r="E4694" t="s">
        <v>9</v>
      </c>
      <c r="F4694">
        <v>51.89</v>
      </c>
      <c r="G4694" t="s">
        <v>16</v>
      </c>
      <c r="H4694" t="s">
        <v>11</v>
      </c>
    </row>
    <row r="4695" spans="1:8" x14ac:dyDescent="0.25">
      <c r="A4695" s="1">
        <v>45658.541666666664</v>
      </c>
      <c r="B4695" t="s">
        <v>30</v>
      </c>
      <c r="C4695">
        <v>137.18</v>
      </c>
      <c r="D4695">
        <v>64.36</v>
      </c>
      <c r="E4695" t="s">
        <v>9</v>
      </c>
      <c r="F4695">
        <v>51.41</v>
      </c>
      <c r="G4695" t="s">
        <v>16</v>
      </c>
      <c r="H4695" t="s">
        <v>13</v>
      </c>
    </row>
    <row r="4696" spans="1:8" x14ac:dyDescent="0.25">
      <c r="A4696" s="1">
        <v>45658.583333333336</v>
      </c>
      <c r="B4696" t="s">
        <v>30</v>
      </c>
      <c r="C4696">
        <v>390.71</v>
      </c>
      <c r="D4696">
        <v>32.68</v>
      </c>
      <c r="E4696" t="s">
        <v>9</v>
      </c>
      <c r="F4696">
        <v>65.209999999999994</v>
      </c>
      <c r="G4696" t="s">
        <v>16</v>
      </c>
      <c r="H4696" t="s">
        <v>12</v>
      </c>
    </row>
    <row r="4697" spans="1:8" x14ac:dyDescent="0.25">
      <c r="A4697" s="1">
        <v>45658.625</v>
      </c>
      <c r="B4697" t="s">
        <v>30</v>
      </c>
      <c r="C4697">
        <v>255.4</v>
      </c>
      <c r="D4697">
        <v>22.71</v>
      </c>
      <c r="E4697" t="s">
        <v>9</v>
      </c>
      <c r="F4697">
        <v>46.4</v>
      </c>
      <c r="G4697" t="s">
        <v>16</v>
      </c>
      <c r="H4697" t="s">
        <v>12</v>
      </c>
    </row>
    <row r="4698" spans="1:8" x14ac:dyDescent="0.25">
      <c r="A4698" s="1">
        <v>45658.666666666664</v>
      </c>
      <c r="B4698" t="s">
        <v>30</v>
      </c>
      <c r="C4698">
        <v>80.819999999999993</v>
      </c>
      <c r="D4698">
        <v>31.01</v>
      </c>
      <c r="E4698" t="s">
        <v>9</v>
      </c>
      <c r="F4698">
        <v>39.270000000000003</v>
      </c>
      <c r="G4698" t="s">
        <v>16</v>
      </c>
      <c r="H4698" t="s">
        <v>13</v>
      </c>
    </row>
    <row r="4699" spans="1:8" x14ac:dyDescent="0.25">
      <c r="A4699" s="1">
        <v>45658.708333333336</v>
      </c>
      <c r="B4699" t="s">
        <v>30</v>
      </c>
      <c r="C4699">
        <v>372.21</v>
      </c>
      <c r="D4699">
        <v>66.97</v>
      </c>
      <c r="E4699" t="s">
        <v>9</v>
      </c>
      <c r="F4699">
        <v>75.64</v>
      </c>
      <c r="G4699" t="s">
        <v>16</v>
      </c>
      <c r="H4699" t="s">
        <v>13</v>
      </c>
    </row>
    <row r="4700" spans="1:8" x14ac:dyDescent="0.25">
      <c r="A4700" s="1">
        <v>45658.75</v>
      </c>
      <c r="B4700" t="s">
        <v>30</v>
      </c>
      <c r="C4700">
        <v>429.57</v>
      </c>
      <c r="D4700">
        <v>47.84</v>
      </c>
      <c r="E4700" t="s">
        <v>9</v>
      </c>
      <c r="F4700">
        <v>61.94</v>
      </c>
      <c r="G4700" t="s">
        <v>16</v>
      </c>
      <c r="H4700" t="s">
        <v>13</v>
      </c>
    </row>
    <row r="4701" spans="1:8" x14ac:dyDescent="0.25">
      <c r="A4701" s="1">
        <v>45658.791666666664</v>
      </c>
      <c r="B4701" t="s">
        <v>30</v>
      </c>
      <c r="C4701">
        <v>325.10000000000002</v>
      </c>
      <c r="D4701">
        <v>73.650000000000006</v>
      </c>
      <c r="E4701" t="s">
        <v>9</v>
      </c>
      <c r="F4701">
        <v>49.99</v>
      </c>
      <c r="G4701" t="s">
        <v>16</v>
      </c>
      <c r="H4701" t="s">
        <v>11</v>
      </c>
    </row>
    <row r="4702" spans="1:8" x14ac:dyDescent="0.25">
      <c r="A4702" s="1">
        <v>45658.833333333336</v>
      </c>
      <c r="B4702" t="s">
        <v>30</v>
      </c>
      <c r="C4702">
        <v>497.36</v>
      </c>
      <c r="D4702">
        <v>48.34</v>
      </c>
      <c r="E4702" t="s">
        <v>9</v>
      </c>
      <c r="F4702">
        <v>68.099999999999994</v>
      </c>
      <c r="G4702" t="s">
        <v>16</v>
      </c>
      <c r="H4702" t="s">
        <v>13</v>
      </c>
    </row>
    <row r="4703" spans="1:8" x14ac:dyDescent="0.25">
      <c r="A4703" s="1">
        <v>45658.875</v>
      </c>
      <c r="B4703" t="s">
        <v>30</v>
      </c>
      <c r="C4703">
        <v>374.32</v>
      </c>
      <c r="D4703">
        <v>90.01</v>
      </c>
      <c r="E4703" t="s">
        <v>14</v>
      </c>
      <c r="F4703">
        <v>48.58</v>
      </c>
      <c r="G4703" t="s">
        <v>16</v>
      </c>
      <c r="H4703" t="s">
        <v>11</v>
      </c>
    </row>
    <row r="4704" spans="1:8" x14ac:dyDescent="0.25">
      <c r="A4704" s="1">
        <v>45658.916666666664</v>
      </c>
      <c r="B4704" t="s">
        <v>30</v>
      </c>
      <c r="C4704">
        <v>451.37</v>
      </c>
      <c r="D4704">
        <v>90.18</v>
      </c>
      <c r="E4704" t="s">
        <v>14</v>
      </c>
      <c r="F4704">
        <v>56.83</v>
      </c>
      <c r="G4704" t="s">
        <v>16</v>
      </c>
      <c r="H4704" t="s">
        <v>12</v>
      </c>
    </row>
    <row r="4705" spans="1:8" x14ac:dyDescent="0.25">
      <c r="A4705" s="1">
        <v>45658.958333333336</v>
      </c>
      <c r="B4705" t="s">
        <v>30</v>
      </c>
      <c r="C4705">
        <v>242.21</v>
      </c>
      <c r="D4705">
        <v>23.76</v>
      </c>
      <c r="E4705" t="s">
        <v>9</v>
      </c>
      <c r="F4705">
        <v>89.6</v>
      </c>
      <c r="G4705" t="s">
        <v>16</v>
      </c>
      <c r="H4705" t="s">
        <v>13</v>
      </c>
    </row>
    <row r="4706" spans="1:8" x14ac:dyDescent="0.25">
      <c r="A4706" s="1">
        <v>45659</v>
      </c>
      <c r="B4706" t="s">
        <v>30</v>
      </c>
      <c r="C4706">
        <v>384.38</v>
      </c>
      <c r="D4706">
        <v>54.61</v>
      </c>
      <c r="E4706" t="s">
        <v>9</v>
      </c>
      <c r="F4706">
        <v>78.84</v>
      </c>
      <c r="G4706" t="s">
        <v>16</v>
      </c>
      <c r="H4706" t="s">
        <v>13</v>
      </c>
    </row>
    <row r="4707" spans="1:8" x14ac:dyDescent="0.25">
      <c r="A4707" s="1">
        <v>45659.041666666664</v>
      </c>
      <c r="B4707" t="s">
        <v>30</v>
      </c>
      <c r="C4707">
        <v>442.8</v>
      </c>
      <c r="D4707">
        <v>56.53</v>
      </c>
      <c r="E4707" t="s">
        <v>9</v>
      </c>
      <c r="F4707">
        <v>62.74</v>
      </c>
      <c r="G4707" t="s">
        <v>16</v>
      </c>
      <c r="H4707" t="s">
        <v>13</v>
      </c>
    </row>
    <row r="4708" spans="1:8" x14ac:dyDescent="0.25">
      <c r="A4708" s="1">
        <v>45659.083333333336</v>
      </c>
      <c r="B4708" t="s">
        <v>30</v>
      </c>
      <c r="C4708">
        <v>258.26</v>
      </c>
      <c r="D4708">
        <v>90.7</v>
      </c>
      <c r="E4708" t="s">
        <v>14</v>
      </c>
      <c r="F4708">
        <v>73.62</v>
      </c>
      <c r="G4708" t="s">
        <v>16</v>
      </c>
      <c r="H4708" t="s">
        <v>11</v>
      </c>
    </row>
    <row r="4709" spans="1:8" x14ac:dyDescent="0.25">
      <c r="A4709" s="1">
        <v>45659.125</v>
      </c>
      <c r="B4709" t="s">
        <v>30</v>
      </c>
      <c r="C4709">
        <v>370.76</v>
      </c>
      <c r="D4709">
        <v>58.78</v>
      </c>
      <c r="E4709" t="s">
        <v>9</v>
      </c>
      <c r="F4709">
        <v>75.27</v>
      </c>
      <c r="G4709" t="s">
        <v>16</v>
      </c>
      <c r="H4709" t="s">
        <v>13</v>
      </c>
    </row>
    <row r="4710" spans="1:8" x14ac:dyDescent="0.25">
      <c r="A4710" s="1">
        <v>45659.166666666664</v>
      </c>
      <c r="B4710" t="s">
        <v>30</v>
      </c>
      <c r="C4710">
        <v>62.19</v>
      </c>
      <c r="D4710">
        <v>20.75</v>
      </c>
      <c r="E4710" t="s">
        <v>9</v>
      </c>
      <c r="F4710">
        <v>56.25</v>
      </c>
      <c r="G4710" t="s">
        <v>16</v>
      </c>
      <c r="H4710" t="s">
        <v>12</v>
      </c>
    </row>
    <row r="4711" spans="1:8" x14ac:dyDescent="0.25">
      <c r="A4711" s="1">
        <v>45659.208333333336</v>
      </c>
      <c r="B4711" t="s">
        <v>30</v>
      </c>
      <c r="C4711">
        <v>492.92</v>
      </c>
      <c r="D4711">
        <v>57.92</v>
      </c>
      <c r="E4711" t="s">
        <v>9</v>
      </c>
      <c r="F4711">
        <v>69.739999999999995</v>
      </c>
      <c r="G4711" t="s">
        <v>16</v>
      </c>
      <c r="H4711" t="s">
        <v>11</v>
      </c>
    </row>
    <row r="4712" spans="1:8" x14ac:dyDescent="0.25">
      <c r="A4712" s="1">
        <v>45659.25</v>
      </c>
      <c r="B4712" t="s">
        <v>30</v>
      </c>
      <c r="C4712">
        <v>143.46</v>
      </c>
      <c r="D4712">
        <v>90.79</v>
      </c>
      <c r="E4712" t="s">
        <v>14</v>
      </c>
      <c r="F4712">
        <v>86.79</v>
      </c>
      <c r="G4712" t="s">
        <v>16</v>
      </c>
      <c r="H4712" t="s">
        <v>12</v>
      </c>
    </row>
    <row r="4713" spans="1:8" x14ac:dyDescent="0.25">
      <c r="A4713" s="1">
        <v>45659.291666666664</v>
      </c>
      <c r="B4713" t="s">
        <v>30</v>
      </c>
      <c r="C4713">
        <v>263.17</v>
      </c>
      <c r="D4713">
        <v>55.94</v>
      </c>
      <c r="E4713" t="s">
        <v>9</v>
      </c>
      <c r="F4713">
        <v>65.52</v>
      </c>
      <c r="G4713" t="s">
        <v>16</v>
      </c>
      <c r="H4713" t="s">
        <v>11</v>
      </c>
    </row>
    <row r="4714" spans="1:8" x14ac:dyDescent="0.25">
      <c r="A4714" s="1">
        <v>45659.333333333336</v>
      </c>
      <c r="B4714" t="s">
        <v>30</v>
      </c>
      <c r="C4714">
        <v>392.09</v>
      </c>
      <c r="D4714">
        <v>40.35</v>
      </c>
      <c r="E4714" t="s">
        <v>9</v>
      </c>
      <c r="F4714">
        <v>56.43</v>
      </c>
      <c r="G4714" t="s">
        <v>16</v>
      </c>
      <c r="H4714" t="s">
        <v>11</v>
      </c>
    </row>
    <row r="4715" spans="1:8" x14ac:dyDescent="0.25">
      <c r="A4715" s="1">
        <v>45659.375</v>
      </c>
      <c r="B4715" t="s">
        <v>30</v>
      </c>
      <c r="C4715">
        <v>351.09</v>
      </c>
      <c r="D4715">
        <v>40.53</v>
      </c>
      <c r="E4715" t="s">
        <v>9</v>
      </c>
      <c r="F4715">
        <v>54.56</v>
      </c>
      <c r="G4715" t="s">
        <v>16</v>
      </c>
      <c r="H4715" t="s">
        <v>13</v>
      </c>
    </row>
    <row r="4716" spans="1:8" x14ac:dyDescent="0.25">
      <c r="A4716" s="1">
        <v>45659.416666666664</v>
      </c>
      <c r="B4716" t="s">
        <v>30</v>
      </c>
      <c r="C4716">
        <v>97.34</v>
      </c>
      <c r="D4716">
        <v>69.39</v>
      </c>
      <c r="E4716" t="s">
        <v>9</v>
      </c>
      <c r="F4716">
        <v>76.77</v>
      </c>
      <c r="G4716" t="s">
        <v>16</v>
      </c>
      <c r="H4716" t="s">
        <v>13</v>
      </c>
    </row>
    <row r="4717" spans="1:8" x14ac:dyDescent="0.25">
      <c r="A4717" s="1">
        <v>45659.458333333336</v>
      </c>
      <c r="B4717" t="s">
        <v>30</v>
      </c>
      <c r="C4717">
        <v>270.39999999999998</v>
      </c>
      <c r="D4717">
        <v>31.8</v>
      </c>
      <c r="E4717" t="s">
        <v>9</v>
      </c>
      <c r="F4717">
        <v>60.45</v>
      </c>
      <c r="G4717" t="s">
        <v>16</v>
      </c>
      <c r="H4717" t="s">
        <v>11</v>
      </c>
    </row>
    <row r="4718" spans="1:8" x14ac:dyDescent="0.25">
      <c r="A4718" s="1">
        <v>45659.5</v>
      </c>
      <c r="B4718" t="s">
        <v>30</v>
      </c>
      <c r="C4718">
        <v>457.15</v>
      </c>
      <c r="D4718">
        <v>80.290000000000006</v>
      </c>
      <c r="E4718" t="s">
        <v>9</v>
      </c>
      <c r="F4718">
        <v>73.55</v>
      </c>
      <c r="G4718" t="s">
        <v>16</v>
      </c>
      <c r="H4718" t="s">
        <v>11</v>
      </c>
    </row>
    <row r="4719" spans="1:8" x14ac:dyDescent="0.25">
      <c r="A4719" s="1">
        <v>45659.541666666664</v>
      </c>
      <c r="B4719" t="s">
        <v>30</v>
      </c>
      <c r="C4719">
        <v>149.18</v>
      </c>
      <c r="D4719">
        <v>51.24</v>
      </c>
      <c r="E4719" t="s">
        <v>9</v>
      </c>
      <c r="F4719">
        <v>49.63</v>
      </c>
      <c r="G4719" t="s">
        <v>16</v>
      </c>
      <c r="H4719" t="s">
        <v>11</v>
      </c>
    </row>
    <row r="4720" spans="1:8" x14ac:dyDescent="0.25">
      <c r="A4720" s="1">
        <v>45659.583333333336</v>
      </c>
      <c r="B4720" t="s">
        <v>30</v>
      </c>
      <c r="C4720">
        <v>84.42</v>
      </c>
      <c r="D4720">
        <v>38.82</v>
      </c>
      <c r="E4720" t="s">
        <v>9</v>
      </c>
      <c r="F4720">
        <v>52.96</v>
      </c>
      <c r="G4720" t="s">
        <v>16</v>
      </c>
      <c r="H4720" t="s">
        <v>11</v>
      </c>
    </row>
    <row r="4721" spans="1:8" x14ac:dyDescent="0.25">
      <c r="A4721" s="1">
        <v>45659.625</v>
      </c>
      <c r="B4721" t="s">
        <v>30</v>
      </c>
      <c r="C4721">
        <v>499.34</v>
      </c>
      <c r="D4721">
        <v>61.65</v>
      </c>
      <c r="E4721" t="s">
        <v>9</v>
      </c>
      <c r="F4721">
        <v>42.27</v>
      </c>
      <c r="G4721" t="s">
        <v>16</v>
      </c>
      <c r="H4721" t="s">
        <v>13</v>
      </c>
    </row>
    <row r="4722" spans="1:8" x14ac:dyDescent="0.25">
      <c r="A4722" s="1">
        <v>45659.666666666664</v>
      </c>
      <c r="B4722" t="s">
        <v>30</v>
      </c>
      <c r="C4722">
        <v>299.3</v>
      </c>
      <c r="D4722">
        <v>76.19</v>
      </c>
      <c r="E4722" t="s">
        <v>9</v>
      </c>
      <c r="F4722">
        <v>71.19</v>
      </c>
      <c r="G4722" t="s">
        <v>16</v>
      </c>
      <c r="H4722" t="s">
        <v>12</v>
      </c>
    </row>
    <row r="4723" spans="1:8" x14ac:dyDescent="0.25">
      <c r="A4723" s="1">
        <v>45659.708333333336</v>
      </c>
      <c r="B4723" t="s">
        <v>30</v>
      </c>
      <c r="C4723">
        <v>277.26</v>
      </c>
      <c r="D4723">
        <v>33.06</v>
      </c>
      <c r="E4723" t="s">
        <v>9</v>
      </c>
      <c r="F4723">
        <v>82.49</v>
      </c>
      <c r="G4723" t="s">
        <v>16</v>
      </c>
      <c r="H4723" t="s">
        <v>13</v>
      </c>
    </row>
    <row r="4724" spans="1:8" x14ac:dyDescent="0.25">
      <c r="A4724" s="1">
        <v>45659.75</v>
      </c>
      <c r="B4724" t="s">
        <v>30</v>
      </c>
      <c r="C4724">
        <v>184.66</v>
      </c>
      <c r="D4724">
        <v>64.98</v>
      </c>
      <c r="E4724" t="s">
        <v>9</v>
      </c>
      <c r="F4724">
        <v>71.53</v>
      </c>
      <c r="G4724" t="s">
        <v>16</v>
      </c>
      <c r="H4724" t="s">
        <v>11</v>
      </c>
    </row>
    <row r="4725" spans="1:8" x14ac:dyDescent="0.25">
      <c r="A4725" s="1">
        <v>45659.791666666664</v>
      </c>
      <c r="B4725" t="s">
        <v>30</v>
      </c>
      <c r="C4725">
        <v>62.66</v>
      </c>
      <c r="D4725">
        <v>21.63</v>
      </c>
      <c r="E4725" t="s">
        <v>9</v>
      </c>
      <c r="F4725">
        <v>80.739999999999995</v>
      </c>
      <c r="G4725" t="s">
        <v>16</v>
      </c>
      <c r="H4725" t="s">
        <v>12</v>
      </c>
    </row>
    <row r="4726" spans="1:8" x14ac:dyDescent="0.25">
      <c r="A4726" s="1">
        <v>45659.833333333336</v>
      </c>
      <c r="B4726" t="s">
        <v>30</v>
      </c>
      <c r="C4726">
        <v>277.08</v>
      </c>
      <c r="D4726">
        <v>65.98</v>
      </c>
      <c r="E4726" t="s">
        <v>9</v>
      </c>
      <c r="F4726">
        <v>49.64</v>
      </c>
      <c r="G4726" t="s">
        <v>16</v>
      </c>
      <c r="H4726" t="s">
        <v>11</v>
      </c>
    </row>
    <row r="4727" spans="1:8" x14ac:dyDescent="0.25">
      <c r="A4727" s="1">
        <v>45659.875</v>
      </c>
      <c r="B4727" t="s">
        <v>30</v>
      </c>
      <c r="C4727">
        <v>173</v>
      </c>
      <c r="D4727">
        <v>17.100000000000001</v>
      </c>
      <c r="E4727" t="s">
        <v>9</v>
      </c>
      <c r="F4727">
        <v>40.630000000000003</v>
      </c>
      <c r="G4727" t="s">
        <v>16</v>
      </c>
      <c r="H4727" t="s">
        <v>11</v>
      </c>
    </row>
    <row r="4728" spans="1:8" x14ac:dyDescent="0.25">
      <c r="A4728" s="1">
        <v>45659.916666666664</v>
      </c>
      <c r="B4728" t="s">
        <v>30</v>
      </c>
      <c r="C4728">
        <v>274.42</v>
      </c>
      <c r="D4728">
        <v>78.58</v>
      </c>
      <c r="E4728" t="s">
        <v>9</v>
      </c>
      <c r="F4728">
        <v>33.67</v>
      </c>
      <c r="G4728" t="s">
        <v>16</v>
      </c>
      <c r="H4728" t="s">
        <v>13</v>
      </c>
    </row>
    <row r="4729" spans="1:8" x14ac:dyDescent="0.25">
      <c r="A4729" s="1">
        <v>45659.958333333336</v>
      </c>
      <c r="B4729" t="s">
        <v>30</v>
      </c>
      <c r="C4729">
        <v>385.68</v>
      </c>
      <c r="D4729">
        <v>24.85</v>
      </c>
      <c r="E4729" t="s">
        <v>9</v>
      </c>
      <c r="F4729">
        <v>48.84</v>
      </c>
      <c r="G4729" t="s">
        <v>16</v>
      </c>
      <c r="H4729" t="s">
        <v>11</v>
      </c>
    </row>
    <row r="4730" spans="1:8" x14ac:dyDescent="0.25">
      <c r="A4730" s="1">
        <v>45660</v>
      </c>
      <c r="B4730" t="s">
        <v>30</v>
      </c>
      <c r="C4730">
        <v>156.13999999999999</v>
      </c>
      <c r="D4730">
        <v>70.09</v>
      </c>
      <c r="E4730" t="s">
        <v>9</v>
      </c>
      <c r="F4730">
        <v>47.55</v>
      </c>
      <c r="G4730" t="s">
        <v>16</v>
      </c>
      <c r="H4730" t="s">
        <v>11</v>
      </c>
    </row>
    <row r="4731" spans="1:8" x14ac:dyDescent="0.25">
      <c r="A4731" s="1">
        <v>45660.041666666664</v>
      </c>
      <c r="B4731" t="s">
        <v>30</v>
      </c>
      <c r="C4731">
        <v>61.98</v>
      </c>
      <c r="D4731">
        <v>72.27</v>
      </c>
      <c r="E4731" t="s">
        <v>9</v>
      </c>
      <c r="F4731">
        <v>31.2</v>
      </c>
      <c r="G4731" t="s">
        <v>16</v>
      </c>
      <c r="H4731" t="s">
        <v>13</v>
      </c>
    </row>
    <row r="4732" spans="1:8" x14ac:dyDescent="0.25">
      <c r="A4732" s="1">
        <v>45660.083333333336</v>
      </c>
      <c r="B4732" t="s">
        <v>30</v>
      </c>
      <c r="C4732">
        <v>149.72</v>
      </c>
      <c r="D4732">
        <v>67.78</v>
      </c>
      <c r="E4732" t="s">
        <v>9</v>
      </c>
      <c r="F4732">
        <v>56.09</v>
      </c>
      <c r="G4732" t="s">
        <v>16</v>
      </c>
      <c r="H4732" t="s">
        <v>13</v>
      </c>
    </row>
    <row r="4733" spans="1:8" x14ac:dyDescent="0.25">
      <c r="A4733" s="1">
        <v>45660.125</v>
      </c>
      <c r="B4733" t="s">
        <v>30</v>
      </c>
      <c r="C4733">
        <v>479.95</v>
      </c>
      <c r="D4733">
        <v>85.39</v>
      </c>
      <c r="E4733" t="s">
        <v>14</v>
      </c>
      <c r="F4733">
        <v>45.31</v>
      </c>
      <c r="G4733" t="s">
        <v>16</v>
      </c>
      <c r="H4733" t="s">
        <v>12</v>
      </c>
    </row>
    <row r="4734" spans="1:8" x14ac:dyDescent="0.25">
      <c r="A4734" s="1">
        <v>45660.166666666664</v>
      </c>
      <c r="B4734" t="s">
        <v>30</v>
      </c>
      <c r="C4734">
        <v>153.97</v>
      </c>
      <c r="D4734">
        <v>93.88</v>
      </c>
      <c r="E4734" t="s">
        <v>14</v>
      </c>
      <c r="F4734">
        <v>39.159999999999997</v>
      </c>
      <c r="G4734" t="s">
        <v>16</v>
      </c>
      <c r="H4734" t="s">
        <v>11</v>
      </c>
    </row>
    <row r="4735" spans="1:8" x14ac:dyDescent="0.25">
      <c r="A4735" s="1">
        <v>45660.208333333336</v>
      </c>
      <c r="B4735" t="s">
        <v>30</v>
      </c>
      <c r="C4735">
        <v>139.57</v>
      </c>
      <c r="D4735">
        <v>32.11</v>
      </c>
      <c r="E4735" t="s">
        <v>9</v>
      </c>
      <c r="F4735">
        <v>44.83</v>
      </c>
      <c r="G4735" t="s">
        <v>16</v>
      </c>
      <c r="H4735" t="s">
        <v>12</v>
      </c>
    </row>
    <row r="4736" spans="1:8" x14ac:dyDescent="0.25">
      <c r="A4736" s="1">
        <v>45660.25</v>
      </c>
      <c r="B4736" t="s">
        <v>30</v>
      </c>
      <c r="C4736">
        <v>383.85</v>
      </c>
      <c r="D4736">
        <v>69.31</v>
      </c>
      <c r="E4736" t="s">
        <v>9</v>
      </c>
      <c r="F4736">
        <v>80.989999999999995</v>
      </c>
      <c r="G4736" t="s">
        <v>16</v>
      </c>
      <c r="H4736" t="s">
        <v>13</v>
      </c>
    </row>
    <row r="4737" spans="1:8" x14ac:dyDescent="0.25">
      <c r="A4737" s="1">
        <v>45660.291666666664</v>
      </c>
      <c r="B4737" t="s">
        <v>30</v>
      </c>
      <c r="C4737">
        <v>389.22</v>
      </c>
      <c r="D4737">
        <v>85.39</v>
      </c>
      <c r="E4737" t="s">
        <v>14</v>
      </c>
      <c r="F4737">
        <v>40.29</v>
      </c>
      <c r="G4737" t="s">
        <v>16</v>
      </c>
      <c r="H4737" t="s">
        <v>12</v>
      </c>
    </row>
    <row r="4738" spans="1:8" x14ac:dyDescent="0.25">
      <c r="A4738" s="1">
        <v>45660.333333333336</v>
      </c>
      <c r="B4738" t="s">
        <v>30</v>
      </c>
      <c r="C4738">
        <v>52.39</v>
      </c>
      <c r="D4738">
        <v>73.72</v>
      </c>
      <c r="E4738" t="s">
        <v>9</v>
      </c>
      <c r="F4738">
        <v>74.25</v>
      </c>
      <c r="G4738" t="s">
        <v>16</v>
      </c>
      <c r="H4738" t="s">
        <v>12</v>
      </c>
    </row>
    <row r="4739" spans="1:8" x14ac:dyDescent="0.25">
      <c r="A4739" s="1">
        <v>45660.375</v>
      </c>
      <c r="B4739" t="s">
        <v>30</v>
      </c>
      <c r="C4739">
        <v>303.77</v>
      </c>
      <c r="D4739">
        <v>46.74</v>
      </c>
      <c r="E4739" t="s">
        <v>9</v>
      </c>
      <c r="F4739">
        <v>59.4</v>
      </c>
      <c r="G4739" t="s">
        <v>16</v>
      </c>
      <c r="H4739" t="s">
        <v>11</v>
      </c>
    </row>
    <row r="4740" spans="1:8" x14ac:dyDescent="0.25">
      <c r="A4740" s="1">
        <v>45660.416666666664</v>
      </c>
      <c r="B4740" t="s">
        <v>30</v>
      </c>
      <c r="C4740">
        <v>175.7</v>
      </c>
      <c r="D4740">
        <v>68.650000000000006</v>
      </c>
      <c r="E4740" t="s">
        <v>9</v>
      </c>
      <c r="F4740">
        <v>76.709999999999994</v>
      </c>
      <c r="G4740" t="s">
        <v>16</v>
      </c>
      <c r="H4740" t="s">
        <v>11</v>
      </c>
    </row>
    <row r="4741" spans="1:8" x14ac:dyDescent="0.25">
      <c r="A4741" s="1">
        <v>45660.458333333336</v>
      </c>
      <c r="B4741" t="s">
        <v>30</v>
      </c>
      <c r="C4741">
        <v>119.9</v>
      </c>
      <c r="D4741">
        <v>80.650000000000006</v>
      </c>
      <c r="E4741" t="s">
        <v>9</v>
      </c>
      <c r="F4741">
        <v>45.29</v>
      </c>
      <c r="G4741" t="s">
        <v>16</v>
      </c>
      <c r="H4741" t="s">
        <v>11</v>
      </c>
    </row>
    <row r="4742" spans="1:8" x14ac:dyDescent="0.25">
      <c r="A4742" s="1">
        <v>45660.5</v>
      </c>
      <c r="B4742" t="s">
        <v>30</v>
      </c>
      <c r="C4742">
        <v>205.45</v>
      </c>
      <c r="D4742">
        <v>49.21</v>
      </c>
      <c r="E4742" t="s">
        <v>9</v>
      </c>
      <c r="F4742">
        <v>71.5</v>
      </c>
      <c r="G4742" t="s">
        <v>16</v>
      </c>
      <c r="H4742" t="s">
        <v>11</v>
      </c>
    </row>
    <row r="4743" spans="1:8" x14ac:dyDescent="0.25">
      <c r="A4743" s="1">
        <v>45660.541666666664</v>
      </c>
      <c r="B4743" t="s">
        <v>30</v>
      </c>
      <c r="C4743">
        <v>121.94</v>
      </c>
      <c r="D4743">
        <v>52.3</v>
      </c>
      <c r="E4743" t="s">
        <v>9</v>
      </c>
      <c r="F4743">
        <v>75.760000000000005</v>
      </c>
      <c r="G4743" t="s">
        <v>16</v>
      </c>
      <c r="H4743" t="s">
        <v>11</v>
      </c>
    </row>
    <row r="4744" spans="1:8" x14ac:dyDescent="0.25">
      <c r="A4744" s="1">
        <v>45660.583333333336</v>
      </c>
      <c r="B4744" t="s">
        <v>30</v>
      </c>
      <c r="C4744">
        <v>398.36</v>
      </c>
      <c r="D4744">
        <v>23.36</v>
      </c>
      <c r="E4744" t="s">
        <v>9</v>
      </c>
      <c r="F4744">
        <v>63.49</v>
      </c>
      <c r="G4744" t="s">
        <v>16</v>
      </c>
      <c r="H4744" t="s">
        <v>11</v>
      </c>
    </row>
    <row r="4745" spans="1:8" x14ac:dyDescent="0.25">
      <c r="A4745" s="1">
        <v>45660.625</v>
      </c>
      <c r="B4745" t="s">
        <v>30</v>
      </c>
      <c r="C4745">
        <v>452.95</v>
      </c>
      <c r="D4745">
        <v>20.170000000000002</v>
      </c>
      <c r="E4745" t="s">
        <v>9</v>
      </c>
      <c r="F4745">
        <v>85.8</v>
      </c>
      <c r="G4745" t="s">
        <v>16</v>
      </c>
      <c r="H4745" t="s">
        <v>12</v>
      </c>
    </row>
    <row r="4746" spans="1:8" x14ac:dyDescent="0.25">
      <c r="A4746" s="1">
        <v>45660.666666666664</v>
      </c>
      <c r="B4746" t="s">
        <v>30</v>
      </c>
      <c r="C4746">
        <v>193.22</v>
      </c>
      <c r="D4746">
        <v>25.43</v>
      </c>
      <c r="E4746" t="s">
        <v>9</v>
      </c>
      <c r="F4746">
        <v>52.73</v>
      </c>
      <c r="G4746" t="s">
        <v>16</v>
      </c>
      <c r="H4746" t="s">
        <v>11</v>
      </c>
    </row>
    <row r="4747" spans="1:8" x14ac:dyDescent="0.25">
      <c r="A4747" s="1">
        <v>45660.708333333336</v>
      </c>
      <c r="B4747" t="s">
        <v>30</v>
      </c>
      <c r="C4747">
        <v>381.06</v>
      </c>
      <c r="D4747">
        <v>94.75</v>
      </c>
      <c r="E4747" t="s">
        <v>14</v>
      </c>
      <c r="F4747">
        <v>76.13</v>
      </c>
      <c r="G4747" t="s">
        <v>16</v>
      </c>
      <c r="H4747" t="s">
        <v>12</v>
      </c>
    </row>
    <row r="4748" spans="1:8" x14ac:dyDescent="0.25">
      <c r="A4748" s="1">
        <v>45660.75</v>
      </c>
      <c r="B4748" t="s">
        <v>30</v>
      </c>
      <c r="C4748">
        <v>314.2</v>
      </c>
      <c r="D4748">
        <v>56.89</v>
      </c>
      <c r="E4748" t="s">
        <v>9</v>
      </c>
      <c r="F4748">
        <v>37.020000000000003</v>
      </c>
      <c r="G4748" t="s">
        <v>16</v>
      </c>
      <c r="H4748" t="s">
        <v>11</v>
      </c>
    </row>
    <row r="4749" spans="1:8" x14ac:dyDescent="0.25">
      <c r="A4749" s="1">
        <v>45660.791666666664</v>
      </c>
      <c r="B4749" t="s">
        <v>30</v>
      </c>
      <c r="C4749">
        <v>410.03</v>
      </c>
      <c r="D4749">
        <v>54.7</v>
      </c>
      <c r="E4749" t="s">
        <v>9</v>
      </c>
      <c r="F4749">
        <v>72.36</v>
      </c>
      <c r="G4749" t="s">
        <v>16</v>
      </c>
      <c r="H4749" t="s">
        <v>12</v>
      </c>
    </row>
    <row r="4750" spans="1:8" x14ac:dyDescent="0.25">
      <c r="A4750" s="1">
        <v>45660.833333333336</v>
      </c>
      <c r="B4750" t="s">
        <v>30</v>
      </c>
      <c r="C4750">
        <v>460.73</v>
      </c>
      <c r="D4750">
        <v>18.43</v>
      </c>
      <c r="E4750" t="s">
        <v>9</v>
      </c>
      <c r="F4750">
        <v>34.79</v>
      </c>
      <c r="G4750" t="s">
        <v>16</v>
      </c>
      <c r="H4750" t="s">
        <v>12</v>
      </c>
    </row>
    <row r="4751" spans="1:8" x14ac:dyDescent="0.25">
      <c r="A4751" s="1">
        <v>45660.875</v>
      </c>
      <c r="B4751" t="s">
        <v>30</v>
      </c>
      <c r="C4751">
        <v>474.43</v>
      </c>
      <c r="D4751">
        <v>31.44</v>
      </c>
      <c r="E4751" t="s">
        <v>9</v>
      </c>
      <c r="F4751">
        <v>60.74</v>
      </c>
      <c r="G4751" t="s">
        <v>16</v>
      </c>
      <c r="H4751" t="s">
        <v>13</v>
      </c>
    </row>
    <row r="4752" spans="1:8" x14ac:dyDescent="0.25">
      <c r="A4752" s="1">
        <v>45660.916666666664</v>
      </c>
      <c r="B4752" t="s">
        <v>30</v>
      </c>
      <c r="C4752">
        <v>314.48</v>
      </c>
      <c r="D4752">
        <v>60.84</v>
      </c>
      <c r="E4752" t="s">
        <v>9</v>
      </c>
      <c r="F4752">
        <v>62.61</v>
      </c>
      <c r="G4752" t="s">
        <v>16</v>
      </c>
      <c r="H4752" t="s">
        <v>11</v>
      </c>
    </row>
    <row r="4753" spans="1:8" x14ac:dyDescent="0.25">
      <c r="A4753" s="1">
        <v>45660.958333333336</v>
      </c>
      <c r="B4753" t="s">
        <v>30</v>
      </c>
      <c r="C4753">
        <v>183.1</v>
      </c>
      <c r="D4753">
        <v>15.28</v>
      </c>
      <c r="E4753" t="s">
        <v>9</v>
      </c>
      <c r="F4753">
        <v>77.22</v>
      </c>
      <c r="G4753" t="s">
        <v>16</v>
      </c>
      <c r="H4753" t="s">
        <v>11</v>
      </c>
    </row>
    <row r="4754" spans="1:8" x14ac:dyDescent="0.25">
      <c r="A4754" s="1">
        <v>45661</v>
      </c>
      <c r="B4754" t="s">
        <v>30</v>
      </c>
      <c r="C4754">
        <v>88.49</v>
      </c>
      <c r="D4754">
        <v>37.99</v>
      </c>
      <c r="E4754" t="s">
        <v>9</v>
      </c>
      <c r="F4754">
        <v>38.24</v>
      </c>
      <c r="G4754" t="s">
        <v>16</v>
      </c>
      <c r="H4754" t="s">
        <v>12</v>
      </c>
    </row>
    <row r="4755" spans="1:8" x14ac:dyDescent="0.25">
      <c r="A4755" s="1">
        <v>45661.041666666664</v>
      </c>
      <c r="B4755" t="s">
        <v>30</v>
      </c>
      <c r="C4755">
        <v>288.23</v>
      </c>
      <c r="D4755">
        <v>72.72</v>
      </c>
      <c r="E4755" t="s">
        <v>9</v>
      </c>
      <c r="F4755">
        <v>77.37</v>
      </c>
      <c r="G4755" t="s">
        <v>16</v>
      </c>
      <c r="H4755" t="s">
        <v>11</v>
      </c>
    </row>
    <row r="4756" spans="1:8" x14ac:dyDescent="0.25">
      <c r="A4756" s="1">
        <v>45661.083333333336</v>
      </c>
      <c r="B4756" t="s">
        <v>30</v>
      </c>
      <c r="C4756">
        <v>310.14</v>
      </c>
      <c r="D4756">
        <v>66.650000000000006</v>
      </c>
      <c r="E4756" t="s">
        <v>9</v>
      </c>
      <c r="F4756">
        <v>61</v>
      </c>
      <c r="G4756" t="s">
        <v>16</v>
      </c>
      <c r="H4756" t="s">
        <v>12</v>
      </c>
    </row>
    <row r="4757" spans="1:8" x14ac:dyDescent="0.25">
      <c r="A4757" s="1">
        <v>45661.125</v>
      </c>
      <c r="B4757" t="s">
        <v>30</v>
      </c>
      <c r="C4757">
        <v>50.45</v>
      </c>
      <c r="D4757">
        <v>84.4</v>
      </c>
      <c r="E4757" t="s">
        <v>9</v>
      </c>
      <c r="F4757">
        <v>70.290000000000006</v>
      </c>
      <c r="G4757" t="s">
        <v>16</v>
      </c>
      <c r="H4757" t="s">
        <v>11</v>
      </c>
    </row>
    <row r="4758" spans="1:8" x14ac:dyDescent="0.25">
      <c r="A4758" s="1">
        <v>45661.166666666664</v>
      </c>
      <c r="B4758" t="s">
        <v>30</v>
      </c>
      <c r="C4758">
        <v>399.89</v>
      </c>
      <c r="D4758">
        <v>47.86</v>
      </c>
      <c r="E4758" t="s">
        <v>9</v>
      </c>
      <c r="F4758">
        <v>50.24</v>
      </c>
      <c r="G4758" t="s">
        <v>16</v>
      </c>
      <c r="H4758" t="s">
        <v>13</v>
      </c>
    </row>
    <row r="4759" spans="1:8" x14ac:dyDescent="0.25">
      <c r="A4759" s="1">
        <v>45661.208333333336</v>
      </c>
      <c r="B4759" t="s">
        <v>30</v>
      </c>
      <c r="C4759">
        <v>238.67</v>
      </c>
      <c r="D4759">
        <v>85.86</v>
      </c>
      <c r="E4759" t="s">
        <v>14</v>
      </c>
      <c r="F4759">
        <v>44.71</v>
      </c>
      <c r="G4759" t="s">
        <v>16</v>
      </c>
      <c r="H4759" t="s">
        <v>13</v>
      </c>
    </row>
    <row r="4760" spans="1:8" x14ac:dyDescent="0.25">
      <c r="A4760" s="1">
        <v>45661.25</v>
      </c>
      <c r="B4760" t="s">
        <v>30</v>
      </c>
      <c r="C4760">
        <v>198.1</v>
      </c>
      <c r="D4760">
        <v>76.459999999999994</v>
      </c>
      <c r="E4760" t="s">
        <v>9</v>
      </c>
      <c r="F4760">
        <v>84.99</v>
      </c>
      <c r="G4760" t="s">
        <v>16</v>
      </c>
      <c r="H4760" t="s">
        <v>11</v>
      </c>
    </row>
    <row r="4761" spans="1:8" x14ac:dyDescent="0.25">
      <c r="A4761" s="1">
        <v>45661.291666666664</v>
      </c>
      <c r="B4761" t="s">
        <v>30</v>
      </c>
      <c r="C4761">
        <v>455.4</v>
      </c>
      <c r="D4761">
        <v>25.47</v>
      </c>
      <c r="E4761" t="s">
        <v>9</v>
      </c>
      <c r="F4761">
        <v>60.46</v>
      </c>
      <c r="G4761" t="s">
        <v>16</v>
      </c>
      <c r="H4761" t="s">
        <v>13</v>
      </c>
    </row>
    <row r="4762" spans="1:8" x14ac:dyDescent="0.25">
      <c r="A4762" s="1">
        <v>45661.333333333336</v>
      </c>
      <c r="B4762" t="s">
        <v>30</v>
      </c>
      <c r="C4762">
        <v>387.97</v>
      </c>
      <c r="D4762">
        <v>93.61</v>
      </c>
      <c r="E4762" t="s">
        <v>14</v>
      </c>
      <c r="F4762">
        <v>30.42</v>
      </c>
      <c r="G4762" t="s">
        <v>16</v>
      </c>
      <c r="H4762" t="s">
        <v>12</v>
      </c>
    </row>
    <row r="4763" spans="1:8" x14ac:dyDescent="0.25">
      <c r="A4763" s="1">
        <v>45661.375</v>
      </c>
      <c r="B4763" t="s">
        <v>30</v>
      </c>
      <c r="C4763">
        <v>382.54</v>
      </c>
      <c r="D4763">
        <v>88.34</v>
      </c>
      <c r="E4763" t="s">
        <v>14</v>
      </c>
      <c r="F4763">
        <v>83.03</v>
      </c>
      <c r="G4763" t="s">
        <v>16</v>
      </c>
      <c r="H4763" t="s">
        <v>11</v>
      </c>
    </row>
    <row r="4764" spans="1:8" x14ac:dyDescent="0.25">
      <c r="A4764" s="1">
        <v>45661.416666666664</v>
      </c>
      <c r="B4764" t="s">
        <v>30</v>
      </c>
      <c r="C4764">
        <v>475.61</v>
      </c>
      <c r="D4764">
        <v>57.52</v>
      </c>
      <c r="E4764" t="s">
        <v>9</v>
      </c>
      <c r="F4764">
        <v>30.42</v>
      </c>
      <c r="G4764" t="s">
        <v>16</v>
      </c>
      <c r="H4764" t="s">
        <v>12</v>
      </c>
    </row>
    <row r="4765" spans="1:8" x14ac:dyDescent="0.25">
      <c r="A4765" s="1">
        <v>45661.458333333336</v>
      </c>
      <c r="B4765" t="s">
        <v>30</v>
      </c>
      <c r="C4765">
        <v>295.08999999999997</v>
      </c>
      <c r="D4765">
        <v>49.26</v>
      </c>
      <c r="E4765" t="s">
        <v>9</v>
      </c>
      <c r="F4765">
        <v>57.07</v>
      </c>
      <c r="G4765" t="s">
        <v>16</v>
      </c>
      <c r="H4765" t="s">
        <v>13</v>
      </c>
    </row>
    <row r="4766" spans="1:8" x14ac:dyDescent="0.25">
      <c r="A4766" s="1">
        <v>45661.5</v>
      </c>
      <c r="B4766" t="s">
        <v>30</v>
      </c>
      <c r="C4766">
        <v>462.98</v>
      </c>
      <c r="D4766">
        <v>43.09</v>
      </c>
      <c r="E4766" t="s">
        <v>9</v>
      </c>
      <c r="F4766">
        <v>81.37</v>
      </c>
      <c r="G4766" t="s">
        <v>16</v>
      </c>
      <c r="H4766" t="s">
        <v>13</v>
      </c>
    </row>
    <row r="4767" spans="1:8" x14ac:dyDescent="0.25">
      <c r="A4767" s="1">
        <v>45661.541666666664</v>
      </c>
      <c r="B4767" t="s">
        <v>30</v>
      </c>
      <c r="C4767">
        <v>191.26</v>
      </c>
      <c r="D4767">
        <v>70.81</v>
      </c>
      <c r="E4767" t="s">
        <v>9</v>
      </c>
      <c r="F4767">
        <v>85.92</v>
      </c>
      <c r="G4767" t="s">
        <v>16</v>
      </c>
      <c r="H4767" t="s">
        <v>12</v>
      </c>
    </row>
    <row r="4768" spans="1:8" x14ac:dyDescent="0.25">
      <c r="A4768" s="1">
        <v>45661.583333333336</v>
      </c>
      <c r="B4768" t="s">
        <v>30</v>
      </c>
      <c r="C4768">
        <v>368.59</v>
      </c>
      <c r="D4768">
        <v>40.6</v>
      </c>
      <c r="E4768" t="s">
        <v>9</v>
      </c>
      <c r="F4768">
        <v>36.15</v>
      </c>
      <c r="G4768" t="s">
        <v>16</v>
      </c>
      <c r="H4768" t="s">
        <v>13</v>
      </c>
    </row>
    <row r="4769" spans="1:8" x14ac:dyDescent="0.25">
      <c r="A4769" s="1">
        <v>45661.625</v>
      </c>
      <c r="B4769" t="s">
        <v>30</v>
      </c>
      <c r="C4769">
        <v>233.53</v>
      </c>
      <c r="D4769">
        <v>42.62</v>
      </c>
      <c r="E4769" t="s">
        <v>9</v>
      </c>
      <c r="F4769">
        <v>55.38</v>
      </c>
      <c r="G4769" t="s">
        <v>16</v>
      </c>
      <c r="H4769" t="s">
        <v>13</v>
      </c>
    </row>
    <row r="4770" spans="1:8" x14ac:dyDescent="0.25">
      <c r="A4770" s="1">
        <v>45661.666666666664</v>
      </c>
      <c r="B4770" t="s">
        <v>30</v>
      </c>
      <c r="C4770">
        <v>358.58</v>
      </c>
      <c r="D4770">
        <v>89.06</v>
      </c>
      <c r="E4770" t="s">
        <v>14</v>
      </c>
      <c r="F4770">
        <v>77.05</v>
      </c>
      <c r="G4770" t="s">
        <v>16</v>
      </c>
      <c r="H4770" t="s">
        <v>11</v>
      </c>
    </row>
    <row r="4771" spans="1:8" x14ac:dyDescent="0.25">
      <c r="A4771" s="1">
        <v>45661.708333333336</v>
      </c>
      <c r="B4771" t="s">
        <v>30</v>
      </c>
      <c r="C4771">
        <v>363.4</v>
      </c>
      <c r="D4771">
        <v>84.2</v>
      </c>
      <c r="E4771" t="s">
        <v>9</v>
      </c>
      <c r="F4771">
        <v>44.47</v>
      </c>
      <c r="G4771" t="s">
        <v>16</v>
      </c>
      <c r="H4771" t="s">
        <v>12</v>
      </c>
    </row>
    <row r="4772" spans="1:8" x14ac:dyDescent="0.25">
      <c r="A4772" s="1">
        <v>45661.75</v>
      </c>
      <c r="B4772" t="s">
        <v>30</v>
      </c>
      <c r="C4772">
        <v>457.43</v>
      </c>
      <c r="D4772">
        <v>50.59</v>
      </c>
      <c r="E4772" t="s">
        <v>9</v>
      </c>
      <c r="F4772">
        <v>30.54</v>
      </c>
      <c r="G4772" t="s">
        <v>16</v>
      </c>
      <c r="H4772" t="s">
        <v>12</v>
      </c>
    </row>
    <row r="4773" spans="1:8" x14ac:dyDescent="0.25">
      <c r="A4773" s="1">
        <v>45661.791666666664</v>
      </c>
      <c r="B4773" t="s">
        <v>30</v>
      </c>
      <c r="C4773">
        <v>178.28</v>
      </c>
      <c r="D4773">
        <v>14.79</v>
      </c>
      <c r="E4773" t="s">
        <v>9</v>
      </c>
      <c r="F4773">
        <v>78.3</v>
      </c>
      <c r="G4773" t="s">
        <v>16</v>
      </c>
      <c r="H4773" t="s">
        <v>11</v>
      </c>
    </row>
    <row r="4774" spans="1:8" x14ac:dyDescent="0.25">
      <c r="A4774" s="1">
        <v>45661.833333333336</v>
      </c>
      <c r="B4774" t="s">
        <v>30</v>
      </c>
      <c r="C4774">
        <v>436.09</v>
      </c>
      <c r="D4774">
        <v>60.55</v>
      </c>
      <c r="E4774" t="s">
        <v>9</v>
      </c>
      <c r="F4774">
        <v>67.12</v>
      </c>
      <c r="G4774" t="s">
        <v>16</v>
      </c>
      <c r="H4774" t="s">
        <v>11</v>
      </c>
    </row>
    <row r="4775" spans="1:8" x14ac:dyDescent="0.25">
      <c r="A4775" s="1">
        <v>45661.875</v>
      </c>
      <c r="B4775" t="s">
        <v>30</v>
      </c>
      <c r="C4775">
        <v>276.44</v>
      </c>
      <c r="D4775">
        <v>37.54</v>
      </c>
      <c r="E4775" t="s">
        <v>9</v>
      </c>
      <c r="F4775">
        <v>48.31</v>
      </c>
      <c r="G4775" t="s">
        <v>16</v>
      </c>
      <c r="H4775" t="s">
        <v>12</v>
      </c>
    </row>
    <row r="4776" spans="1:8" x14ac:dyDescent="0.25">
      <c r="A4776" s="1">
        <v>45661.916666666664</v>
      </c>
      <c r="B4776" t="s">
        <v>30</v>
      </c>
      <c r="C4776">
        <v>252.06</v>
      </c>
      <c r="D4776">
        <v>27.25</v>
      </c>
      <c r="E4776" t="s">
        <v>9</v>
      </c>
      <c r="F4776">
        <v>35.67</v>
      </c>
      <c r="G4776" t="s">
        <v>16</v>
      </c>
      <c r="H4776" t="s">
        <v>11</v>
      </c>
    </row>
    <row r="4777" spans="1:8" x14ac:dyDescent="0.25">
      <c r="A4777" s="1">
        <v>45661.958333333336</v>
      </c>
      <c r="B4777" t="s">
        <v>30</v>
      </c>
      <c r="C4777">
        <v>259.23</v>
      </c>
      <c r="D4777">
        <v>66.94</v>
      </c>
      <c r="E4777" t="s">
        <v>9</v>
      </c>
      <c r="F4777">
        <v>58.26</v>
      </c>
      <c r="G4777" t="s">
        <v>16</v>
      </c>
      <c r="H4777" t="s">
        <v>13</v>
      </c>
    </row>
    <row r="4778" spans="1:8" x14ac:dyDescent="0.25">
      <c r="A4778" s="1">
        <v>45662</v>
      </c>
      <c r="B4778" t="s">
        <v>30</v>
      </c>
      <c r="C4778">
        <v>64.44</v>
      </c>
      <c r="D4778">
        <v>52.03</v>
      </c>
      <c r="E4778" t="s">
        <v>9</v>
      </c>
      <c r="F4778">
        <v>63.84</v>
      </c>
      <c r="G4778" t="s">
        <v>16</v>
      </c>
      <c r="H4778" t="s">
        <v>13</v>
      </c>
    </row>
    <row r="4779" spans="1:8" x14ac:dyDescent="0.25">
      <c r="A4779" s="1">
        <v>45662.041666666664</v>
      </c>
      <c r="B4779" t="s">
        <v>30</v>
      </c>
      <c r="C4779">
        <v>360.39</v>
      </c>
      <c r="D4779">
        <v>62.1</v>
      </c>
      <c r="E4779" t="s">
        <v>9</v>
      </c>
      <c r="F4779">
        <v>74.92</v>
      </c>
      <c r="G4779" t="s">
        <v>16</v>
      </c>
      <c r="H4779" t="s">
        <v>11</v>
      </c>
    </row>
    <row r="4780" spans="1:8" x14ac:dyDescent="0.25">
      <c r="A4780" s="1">
        <v>45662.083333333336</v>
      </c>
      <c r="B4780" t="s">
        <v>30</v>
      </c>
      <c r="C4780">
        <v>291.02999999999997</v>
      </c>
      <c r="D4780">
        <v>94.37</v>
      </c>
      <c r="E4780" t="s">
        <v>14</v>
      </c>
      <c r="F4780">
        <v>35.950000000000003</v>
      </c>
      <c r="G4780" t="s">
        <v>16</v>
      </c>
      <c r="H4780" t="s">
        <v>12</v>
      </c>
    </row>
    <row r="4781" spans="1:8" x14ac:dyDescent="0.25">
      <c r="A4781" s="1">
        <v>45662.125</v>
      </c>
      <c r="B4781" t="s">
        <v>30</v>
      </c>
      <c r="C4781">
        <v>160.97</v>
      </c>
      <c r="D4781">
        <v>73.89</v>
      </c>
      <c r="E4781" t="s">
        <v>9</v>
      </c>
      <c r="F4781">
        <v>76.86</v>
      </c>
      <c r="G4781" t="s">
        <v>16</v>
      </c>
      <c r="H4781" t="s">
        <v>13</v>
      </c>
    </row>
    <row r="4782" spans="1:8" x14ac:dyDescent="0.25">
      <c r="A4782" s="1">
        <v>45662.166666666664</v>
      </c>
      <c r="B4782" t="s">
        <v>30</v>
      </c>
      <c r="C4782">
        <v>179.08</v>
      </c>
      <c r="D4782">
        <v>22.41</v>
      </c>
      <c r="E4782" t="s">
        <v>9</v>
      </c>
      <c r="F4782">
        <v>40.72</v>
      </c>
      <c r="G4782" t="s">
        <v>16</v>
      </c>
      <c r="H4782" t="s">
        <v>11</v>
      </c>
    </row>
    <row r="4783" spans="1:8" x14ac:dyDescent="0.25">
      <c r="A4783" s="1">
        <v>45662.208333333336</v>
      </c>
      <c r="B4783" t="s">
        <v>30</v>
      </c>
      <c r="C4783">
        <v>381.03</v>
      </c>
      <c r="D4783">
        <v>17.47</v>
      </c>
      <c r="E4783" t="s">
        <v>9</v>
      </c>
      <c r="F4783">
        <v>41.44</v>
      </c>
      <c r="G4783" t="s">
        <v>16</v>
      </c>
      <c r="H4783" t="s">
        <v>13</v>
      </c>
    </row>
    <row r="4784" spans="1:8" x14ac:dyDescent="0.25">
      <c r="A4784" s="1">
        <v>45662.25</v>
      </c>
      <c r="B4784" t="s">
        <v>30</v>
      </c>
      <c r="C4784">
        <v>123.04</v>
      </c>
      <c r="D4784">
        <v>30.67</v>
      </c>
      <c r="E4784" t="s">
        <v>9</v>
      </c>
      <c r="F4784">
        <v>59.57</v>
      </c>
      <c r="G4784" t="s">
        <v>16</v>
      </c>
      <c r="H4784" t="s">
        <v>11</v>
      </c>
    </row>
    <row r="4785" spans="1:8" x14ac:dyDescent="0.25">
      <c r="A4785" s="1">
        <v>45662.291666666664</v>
      </c>
      <c r="B4785" t="s">
        <v>30</v>
      </c>
      <c r="C4785">
        <v>331.84</v>
      </c>
      <c r="D4785">
        <v>80.349999999999994</v>
      </c>
      <c r="E4785" t="s">
        <v>9</v>
      </c>
      <c r="F4785">
        <v>83.25</v>
      </c>
      <c r="G4785" t="s">
        <v>16</v>
      </c>
      <c r="H4785" t="s">
        <v>12</v>
      </c>
    </row>
    <row r="4786" spans="1:8" x14ac:dyDescent="0.25">
      <c r="A4786" s="1">
        <v>45662.333333333336</v>
      </c>
      <c r="B4786" t="s">
        <v>30</v>
      </c>
      <c r="C4786">
        <v>120.58</v>
      </c>
      <c r="D4786">
        <v>52.18</v>
      </c>
      <c r="E4786" t="s">
        <v>9</v>
      </c>
      <c r="F4786">
        <v>34.1</v>
      </c>
      <c r="G4786" t="s">
        <v>16</v>
      </c>
      <c r="H4786" t="s">
        <v>12</v>
      </c>
    </row>
    <row r="4787" spans="1:8" x14ac:dyDescent="0.25">
      <c r="A4787" s="1">
        <v>45662.375</v>
      </c>
      <c r="B4787" t="s">
        <v>30</v>
      </c>
      <c r="C4787">
        <v>301.22000000000003</v>
      </c>
      <c r="D4787">
        <v>71.83</v>
      </c>
      <c r="E4787" t="s">
        <v>9</v>
      </c>
      <c r="F4787">
        <v>31.81</v>
      </c>
      <c r="G4787" t="s">
        <v>16</v>
      </c>
      <c r="H4787" t="s">
        <v>13</v>
      </c>
    </row>
    <row r="4788" spans="1:8" x14ac:dyDescent="0.25">
      <c r="A4788" s="1">
        <v>45662.416666666664</v>
      </c>
      <c r="B4788" t="s">
        <v>30</v>
      </c>
      <c r="C4788">
        <v>412.88</v>
      </c>
      <c r="D4788">
        <v>28.08</v>
      </c>
      <c r="E4788" t="s">
        <v>9</v>
      </c>
      <c r="F4788">
        <v>36.58</v>
      </c>
      <c r="G4788" t="s">
        <v>16</v>
      </c>
      <c r="H4788" t="s">
        <v>11</v>
      </c>
    </row>
    <row r="4789" spans="1:8" x14ac:dyDescent="0.25">
      <c r="A4789" s="1">
        <v>45662.458333333336</v>
      </c>
      <c r="B4789" t="s">
        <v>30</v>
      </c>
      <c r="C4789">
        <v>155.47999999999999</v>
      </c>
      <c r="D4789">
        <v>25.83</v>
      </c>
      <c r="E4789" t="s">
        <v>9</v>
      </c>
      <c r="F4789">
        <v>67.739999999999995</v>
      </c>
      <c r="G4789" t="s">
        <v>16</v>
      </c>
      <c r="H4789" t="s">
        <v>12</v>
      </c>
    </row>
    <row r="4790" spans="1:8" x14ac:dyDescent="0.25">
      <c r="A4790" s="1">
        <v>45662.5</v>
      </c>
      <c r="B4790" t="s">
        <v>30</v>
      </c>
      <c r="C4790">
        <v>168.24</v>
      </c>
      <c r="D4790">
        <v>29.08</v>
      </c>
      <c r="E4790" t="s">
        <v>9</v>
      </c>
      <c r="F4790">
        <v>48.94</v>
      </c>
      <c r="G4790" t="s">
        <v>16</v>
      </c>
      <c r="H4790" t="s">
        <v>13</v>
      </c>
    </row>
    <row r="4791" spans="1:8" x14ac:dyDescent="0.25">
      <c r="A4791" s="1">
        <v>45662.541666666664</v>
      </c>
      <c r="B4791" t="s">
        <v>30</v>
      </c>
      <c r="C4791">
        <v>343.2</v>
      </c>
      <c r="D4791">
        <v>94.06</v>
      </c>
      <c r="E4791" t="s">
        <v>14</v>
      </c>
      <c r="F4791">
        <v>68.040000000000006</v>
      </c>
      <c r="G4791" t="s">
        <v>16</v>
      </c>
      <c r="H4791" t="s">
        <v>13</v>
      </c>
    </row>
    <row r="4792" spans="1:8" x14ac:dyDescent="0.25">
      <c r="A4792" s="1">
        <v>45662.583333333336</v>
      </c>
      <c r="B4792" t="s">
        <v>30</v>
      </c>
      <c r="C4792">
        <v>421.83</v>
      </c>
      <c r="D4792">
        <v>24.33</v>
      </c>
      <c r="E4792" t="s">
        <v>9</v>
      </c>
      <c r="F4792">
        <v>56.14</v>
      </c>
      <c r="G4792" t="s">
        <v>16</v>
      </c>
      <c r="H4792" t="s">
        <v>11</v>
      </c>
    </row>
    <row r="4793" spans="1:8" x14ac:dyDescent="0.25">
      <c r="A4793" s="1">
        <v>45662.625</v>
      </c>
      <c r="B4793" t="s">
        <v>30</v>
      </c>
      <c r="C4793">
        <v>329.84</v>
      </c>
      <c r="D4793">
        <v>65.349999999999994</v>
      </c>
      <c r="E4793" t="s">
        <v>9</v>
      </c>
      <c r="F4793">
        <v>43.3</v>
      </c>
      <c r="G4793" t="s">
        <v>16</v>
      </c>
      <c r="H4793" t="s">
        <v>13</v>
      </c>
    </row>
    <row r="4794" spans="1:8" x14ac:dyDescent="0.25">
      <c r="A4794" s="1">
        <v>45662.666666666664</v>
      </c>
      <c r="B4794" t="s">
        <v>30</v>
      </c>
      <c r="C4794">
        <v>343.14</v>
      </c>
      <c r="D4794">
        <v>21.63</v>
      </c>
      <c r="E4794" t="s">
        <v>9</v>
      </c>
      <c r="F4794">
        <v>71.72</v>
      </c>
      <c r="G4794" t="s">
        <v>16</v>
      </c>
      <c r="H4794" t="s">
        <v>12</v>
      </c>
    </row>
    <row r="4795" spans="1:8" x14ac:dyDescent="0.25">
      <c r="A4795" s="1">
        <v>45662.708333333336</v>
      </c>
      <c r="B4795" t="s">
        <v>30</v>
      </c>
      <c r="C4795">
        <v>497.07</v>
      </c>
      <c r="D4795">
        <v>70.16</v>
      </c>
      <c r="E4795" t="s">
        <v>9</v>
      </c>
      <c r="F4795">
        <v>71.209999999999994</v>
      </c>
      <c r="G4795" t="s">
        <v>16</v>
      </c>
      <c r="H4795" t="s">
        <v>12</v>
      </c>
    </row>
    <row r="4796" spans="1:8" x14ac:dyDescent="0.25">
      <c r="A4796" s="1">
        <v>45662.75</v>
      </c>
      <c r="B4796" t="s">
        <v>30</v>
      </c>
      <c r="C4796">
        <v>118.59</v>
      </c>
      <c r="D4796">
        <v>84.43</v>
      </c>
      <c r="E4796" t="s">
        <v>9</v>
      </c>
      <c r="F4796">
        <v>86.51</v>
      </c>
      <c r="G4796" t="s">
        <v>16</v>
      </c>
      <c r="H4796" t="s">
        <v>13</v>
      </c>
    </row>
    <row r="4797" spans="1:8" x14ac:dyDescent="0.25">
      <c r="A4797" s="1">
        <v>45662.791666666664</v>
      </c>
      <c r="B4797" t="s">
        <v>30</v>
      </c>
      <c r="C4797">
        <v>325.63</v>
      </c>
      <c r="D4797">
        <v>20.39</v>
      </c>
      <c r="E4797" t="s">
        <v>9</v>
      </c>
      <c r="F4797">
        <v>73.599999999999994</v>
      </c>
      <c r="G4797" t="s">
        <v>16</v>
      </c>
      <c r="H4797" t="s">
        <v>12</v>
      </c>
    </row>
    <row r="4798" spans="1:8" x14ac:dyDescent="0.25">
      <c r="A4798" s="1">
        <v>45662.833333333336</v>
      </c>
      <c r="B4798" t="s">
        <v>30</v>
      </c>
      <c r="C4798">
        <v>447.43</v>
      </c>
      <c r="D4798">
        <v>71.37</v>
      </c>
      <c r="E4798" t="s">
        <v>9</v>
      </c>
      <c r="F4798">
        <v>44.47</v>
      </c>
      <c r="G4798" t="s">
        <v>16</v>
      </c>
      <c r="H4798" t="s">
        <v>12</v>
      </c>
    </row>
    <row r="4799" spans="1:8" x14ac:dyDescent="0.25">
      <c r="A4799" s="1">
        <v>45662.875</v>
      </c>
      <c r="B4799" t="s">
        <v>30</v>
      </c>
      <c r="C4799">
        <v>337.06</v>
      </c>
      <c r="D4799">
        <v>91.22</v>
      </c>
      <c r="E4799" t="s">
        <v>14</v>
      </c>
      <c r="F4799">
        <v>88.83</v>
      </c>
      <c r="G4799" t="s">
        <v>16</v>
      </c>
      <c r="H4799" t="s">
        <v>12</v>
      </c>
    </row>
    <row r="4800" spans="1:8" x14ac:dyDescent="0.25">
      <c r="A4800" s="1">
        <v>45662.916666666664</v>
      </c>
      <c r="B4800" t="s">
        <v>30</v>
      </c>
      <c r="C4800">
        <v>182.75</v>
      </c>
      <c r="D4800">
        <v>14.72</v>
      </c>
      <c r="E4800" t="s">
        <v>9</v>
      </c>
      <c r="F4800">
        <v>68</v>
      </c>
      <c r="G4800" t="s">
        <v>16</v>
      </c>
      <c r="H4800" t="s">
        <v>12</v>
      </c>
    </row>
    <row r="4801" spans="1:8" x14ac:dyDescent="0.25">
      <c r="A4801" s="1">
        <v>45662.958333333336</v>
      </c>
      <c r="B4801" t="s">
        <v>30</v>
      </c>
      <c r="C4801">
        <v>497.41</v>
      </c>
      <c r="D4801">
        <v>59.95</v>
      </c>
      <c r="E4801" t="s">
        <v>9</v>
      </c>
      <c r="F4801">
        <v>40.43</v>
      </c>
      <c r="G4801" t="s">
        <v>16</v>
      </c>
      <c r="H4801" t="s">
        <v>12</v>
      </c>
    </row>
    <row r="4802" spans="1:8" x14ac:dyDescent="0.25">
      <c r="A4802" s="1">
        <v>45663</v>
      </c>
      <c r="B4802" t="s">
        <v>30</v>
      </c>
      <c r="C4802">
        <v>156.16999999999999</v>
      </c>
      <c r="D4802">
        <v>79.56</v>
      </c>
      <c r="E4802" t="s">
        <v>9</v>
      </c>
      <c r="F4802">
        <v>51.21</v>
      </c>
      <c r="G4802" t="s">
        <v>16</v>
      </c>
      <c r="H4802" t="s">
        <v>12</v>
      </c>
    </row>
    <row r="4803" spans="1:8" x14ac:dyDescent="0.25">
      <c r="A4803" s="1">
        <v>45663.041666666664</v>
      </c>
      <c r="B4803" t="s">
        <v>30</v>
      </c>
      <c r="C4803">
        <v>404.37</v>
      </c>
      <c r="D4803">
        <v>19.989999999999998</v>
      </c>
      <c r="E4803" t="s">
        <v>9</v>
      </c>
      <c r="F4803">
        <v>54.43</v>
      </c>
      <c r="G4803" t="s">
        <v>16</v>
      </c>
      <c r="H4803" t="s">
        <v>13</v>
      </c>
    </row>
    <row r="4804" spans="1:8" x14ac:dyDescent="0.25">
      <c r="A4804" s="1">
        <v>45663.083333333336</v>
      </c>
      <c r="B4804" t="s">
        <v>30</v>
      </c>
      <c r="C4804">
        <v>149.41</v>
      </c>
      <c r="D4804">
        <v>68.290000000000006</v>
      </c>
      <c r="E4804" t="s">
        <v>9</v>
      </c>
      <c r="F4804">
        <v>84.88</v>
      </c>
      <c r="G4804" t="s">
        <v>16</v>
      </c>
      <c r="H4804" t="s">
        <v>13</v>
      </c>
    </row>
    <row r="4805" spans="1:8" x14ac:dyDescent="0.25">
      <c r="A4805" s="1">
        <v>45663.125</v>
      </c>
      <c r="B4805" t="s">
        <v>30</v>
      </c>
      <c r="C4805">
        <v>321.10000000000002</v>
      </c>
      <c r="D4805">
        <v>93.02</v>
      </c>
      <c r="E4805" t="s">
        <v>14</v>
      </c>
      <c r="F4805">
        <v>86.27</v>
      </c>
      <c r="G4805" t="s">
        <v>16</v>
      </c>
      <c r="H4805" t="s">
        <v>13</v>
      </c>
    </row>
    <row r="4806" spans="1:8" x14ac:dyDescent="0.25">
      <c r="A4806" s="1">
        <v>45663.166666666664</v>
      </c>
      <c r="B4806" t="s">
        <v>30</v>
      </c>
      <c r="C4806">
        <v>110.72</v>
      </c>
      <c r="D4806">
        <v>62.35</v>
      </c>
      <c r="E4806" t="s">
        <v>9</v>
      </c>
      <c r="F4806">
        <v>46.85</v>
      </c>
      <c r="G4806" t="s">
        <v>16</v>
      </c>
      <c r="H4806" t="s">
        <v>12</v>
      </c>
    </row>
    <row r="4807" spans="1:8" x14ac:dyDescent="0.25">
      <c r="A4807" s="1">
        <v>45663.208333333336</v>
      </c>
      <c r="B4807" t="s">
        <v>30</v>
      </c>
      <c r="C4807">
        <v>80.66</v>
      </c>
      <c r="D4807">
        <v>38.46</v>
      </c>
      <c r="E4807" t="s">
        <v>9</v>
      </c>
      <c r="F4807">
        <v>49.21</v>
      </c>
      <c r="G4807" t="s">
        <v>16</v>
      </c>
      <c r="H4807" t="s">
        <v>12</v>
      </c>
    </row>
    <row r="4808" spans="1:8" x14ac:dyDescent="0.25">
      <c r="A4808" s="1">
        <v>45663.25</v>
      </c>
      <c r="B4808" t="s">
        <v>30</v>
      </c>
      <c r="C4808">
        <v>172.18</v>
      </c>
      <c r="D4808">
        <v>81</v>
      </c>
      <c r="E4808" t="s">
        <v>9</v>
      </c>
      <c r="F4808">
        <v>41.22</v>
      </c>
      <c r="G4808" t="s">
        <v>16</v>
      </c>
      <c r="H4808" t="s">
        <v>13</v>
      </c>
    </row>
    <row r="4809" spans="1:8" x14ac:dyDescent="0.25">
      <c r="A4809" s="1">
        <v>45663.291666666664</v>
      </c>
      <c r="B4809" t="s">
        <v>30</v>
      </c>
      <c r="C4809">
        <v>349.61</v>
      </c>
      <c r="D4809">
        <v>19.38</v>
      </c>
      <c r="E4809" t="s">
        <v>9</v>
      </c>
      <c r="F4809">
        <v>82.56</v>
      </c>
      <c r="G4809" t="s">
        <v>16</v>
      </c>
      <c r="H4809" t="s">
        <v>12</v>
      </c>
    </row>
    <row r="4810" spans="1:8" x14ac:dyDescent="0.25">
      <c r="A4810" s="1">
        <v>45663.333333333336</v>
      </c>
      <c r="B4810" t="s">
        <v>30</v>
      </c>
      <c r="C4810">
        <v>229.37</v>
      </c>
      <c r="D4810">
        <v>60.94</v>
      </c>
      <c r="E4810" t="s">
        <v>9</v>
      </c>
      <c r="F4810">
        <v>49</v>
      </c>
      <c r="G4810" t="s">
        <v>16</v>
      </c>
      <c r="H4810" t="s">
        <v>13</v>
      </c>
    </row>
    <row r="4811" spans="1:8" x14ac:dyDescent="0.25">
      <c r="A4811" s="1">
        <v>45663.375</v>
      </c>
      <c r="B4811" t="s">
        <v>30</v>
      </c>
      <c r="C4811">
        <v>408.85</v>
      </c>
      <c r="D4811">
        <v>23.65</v>
      </c>
      <c r="E4811" t="s">
        <v>9</v>
      </c>
      <c r="F4811">
        <v>54.48</v>
      </c>
      <c r="G4811" t="s">
        <v>16</v>
      </c>
      <c r="H4811" t="s">
        <v>11</v>
      </c>
    </row>
    <row r="4812" spans="1:8" x14ac:dyDescent="0.25">
      <c r="A4812" s="1">
        <v>45663.416666666664</v>
      </c>
      <c r="B4812" t="s">
        <v>30</v>
      </c>
      <c r="C4812">
        <v>215.32</v>
      </c>
      <c r="D4812">
        <v>83.73</v>
      </c>
      <c r="E4812" t="s">
        <v>9</v>
      </c>
      <c r="F4812">
        <v>68.03</v>
      </c>
      <c r="G4812" t="s">
        <v>16</v>
      </c>
      <c r="H4812" t="s">
        <v>11</v>
      </c>
    </row>
    <row r="4813" spans="1:8" x14ac:dyDescent="0.25">
      <c r="A4813" s="1">
        <v>45663.458333333336</v>
      </c>
      <c r="B4813" t="s">
        <v>30</v>
      </c>
      <c r="C4813">
        <v>188.94</v>
      </c>
      <c r="D4813">
        <v>41.43</v>
      </c>
      <c r="E4813" t="s">
        <v>9</v>
      </c>
      <c r="F4813">
        <v>41.82</v>
      </c>
      <c r="G4813" t="s">
        <v>16</v>
      </c>
      <c r="H4813" t="s">
        <v>11</v>
      </c>
    </row>
    <row r="4814" spans="1:8" x14ac:dyDescent="0.25">
      <c r="A4814" s="1">
        <v>45663.5</v>
      </c>
      <c r="B4814" t="s">
        <v>30</v>
      </c>
      <c r="C4814">
        <v>291.11</v>
      </c>
      <c r="D4814">
        <v>66.56</v>
      </c>
      <c r="E4814" t="s">
        <v>9</v>
      </c>
      <c r="F4814">
        <v>50.87</v>
      </c>
      <c r="G4814" t="s">
        <v>16</v>
      </c>
      <c r="H4814" t="s">
        <v>12</v>
      </c>
    </row>
    <row r="4815" spans="1:8" x14ac:dyDescent="0.25">
      <c r="A4815" s="1">
        <v>45663.541666666664</v>
      </c>
      <c r="B4815" t="s">
        <v>30</v>
      </c>
      <c r="C4815">
        <v>162.01</v>
      </c>
      <c r="D4815">
        <v>84.04</v>
      </c>
      <c r="E4815" t="s">
        <v>9</v>
      </c>
      <c r="F4815">
        <v>44.99</v>
      </c>
      <c r="G4815" t="s">
        <v>16</v>
      </c>
      <c r="H4815" t="s">
        <v>12</v>
      </c>
    </row>
    <row r="4816" spans="1:8" x14ac:dyDescent="0.25">
      <c r="A4816" s="1">
        <v>45663.583333333336</v>
      </c>
      <c r="B4816" t="s">
        <v>30</v>
      </c>
      <c r="C4816">
        <v>186.79</v>
      </c>
      <c r="D4816">
        <v>39.97</v>
      </c>
      <c r="E4816" t="s">
        <v>9</v>
      </c>
      <c r="F4816">
        <v>87.71</v>
      </c>
      <c r="G4816" t="s">
        <v>16</v>
      </c>
      <c r="H4816" t="s">
        <v>12</v>
      </c>
    </row>
    <row r="4817" spans="1:8" x14ac:dyDescent="0.25">
      <c r="A4817" s="1">
        <v>45663.625</v>
      </c>
      <c r="B4817" t="s">
        <v>30</v>
      </c>
      <c r="C4817">
        <v>90.56</v>
      </c>
      <c r="D4817">
        <v>30.72</v>
      </c>
      <c r="E4817" t="s">
        <v>9</v>
      </c>
      <c r="F4817">
        <v>76.260000000000005</v>
      </c>
      <c r="G4817" t="s">
        <v>16</v>
      </c>
      <c r="H4817" t="s">
        <v>13</v>
      </c>
    </row>
    <row r="4818" spans="1:8" x14ac:dyDescent="0.25">
      <c r="A4818" s="1">
        <v>45663.666666666664</v>
      </c>
      <c r="B4818" t="s">
        <v>30</v>
      </c>
      <c r="C4818">
        <v>416.54</v>
      </c>
      <c r="D4818">
        <v>64.510000000000005</v>
      </c>
      <c r="E4818" t="s">
        <v>9</v>
      </c>
      <c r="F4818">
        <v>41.46</v>
      </c>
      <c r="G4818" t="s">
        <v>16</v>
      </c>
      <c r="H4818" t="s">
        <v>13</v>
      </c>
    </row>
    <row r="4819" spans="1:8" x14ac:dyDescent="0.25">
      <c r="A4819" s="1">
        <v>45663.708333333336</v>
      </c>
      <c r="B4819" t="s">
        <v>30</v>
      </c>
      <c r="C4819">
        <v>355.82</v>
      </c>
      <c r="D4819">
        <v>20.77</v>
      </c>
      <c r="E4819" t="s">
        <v>9</v>
      </c>
      <c r="F4819">
        <v>65.12</v>
      </c>
      <c r="G4819" t="s">
        <v>16</v>
      </c>
      <c r="H4819" t="s">
        <v>12</v>
      </c>
    </row>
    <row r="4820" spans="1:8" x14ac:dyDescent="0.25">
      <c r="A4820" s="1">
        <v>45663.75</v>
      </c>
      <c r="B4820" t="s">
        <v>30</v>
      </c>
      <c r="C4820">
        <v>318.52999999999997</v>
      </c>
      <c r="D4820">
        <v>72.09</v>
      </c>
      <c r="E4820" t="s">
        <v>9</v>
      </c>
      <c r="F4820">
        <v>88.67</v>
      </c>
      <c r="G4820" t="s">
        <v>16</v>
      </c>
      <c r="H4820" t="s">
        <v>11</v>
      </c>
    </row>
    <row r="4821" spans="1:8" x14ac:dyDescent="0.25">
      <c r="A4821" s="1">
        <v>45663.791666666664</v>
      </c>
      <c r="B4821" t="s">
        <v>30</v>
      </c>
      <c r="C4821">
        <v>428.31</v>
      </c>
      <c r="D4821">
        <v>49.5</v>
      </c>
      <c r="E4821" t="s">
        <v>9</v>
      </c>
      <c r="F4821">
        <v>44.3</v>
      </c>
      <c r="G4821" t="s">
        <v>16</v>
      </c>
      <c r="H4821" t="s">
        <v>12</v>
      </c>
    </row>
    <row r="4822" spans="1:8" x14ac:dyDescent="0.25">
      <c r="A4822" s="1">
        <v>45663.833333333336</v>
      </c>
      <c r="B4822" t="s">
        <v>30</v>
      </c>
      <c r="C4822">
        <v>378.38</v>
      </c>
      <c r="D4822">
        <v>80.44</v>
      </c>
      <c r="E4822" t="s">
        <v>9</v>
      </c>
      <c r="F4822">
        <v>84.22</v>
      </c>
      <c r="G4822" t="s">
        <v>16</v>
      </c>
      <c r="H4822" t="s">
        <v>12</v>
      </c>
    </row>
    <row r="4823" spans="1:8" x14ac:dyDescent="0.25">
      <c r="A4823" s="1">
        <v>45663.875</v>
      </c>
      <c r="B4823" t="s">
        <v>30</v>
      </c>
      <c r="C4823">
        <v>222.39</v>
      </c>
      <c r="D4823">
        <v>91.31</v>
      </c>
      <c r="E4823" t="s">
        <v>14</v>
      </c>
      <c r="F4823">
        <v>34.32</v>
      </c>
      <c r="G4823" t="s">
        <v>16</v>
      </c>
      <c r="H4823" t="s">
        <v>12</v>
      </c>
    </row>
    <row r="4824" spans="1:8" x14ac:dyDescent="0.25">
      <c r="A4824" s="1">
        <v>45663.916666666664</v>
      </c>
      <c r="B4824" t="s">
        <v>30</v>
      </c>
      <c r="C4824">
        <v>76.34</v>
      </c>
      <c r="D4824">
        <v>46.51</v>
      </c>
      <c r="E4824" t="s">
        <v>9</v>
      </c>
      <c r="F4824">
        <v>79.19</v>
      </c>
      <c r="G4824" t="s">
        <v>16</v>
      </c>
      <c r="H4824" t="s">
        <v>13</v>
      </c>
    </row>
    <row r="4825" spans="1:8" x14ac:dyDescent="0.25">
      <c r="A4825" s="1">
        <v>45663.958333333336</v>
      </c>
      <c r="B4825" t="s">
        <v>30</v>
      </c>
      <c r="C4825">
        <v>473.26</v>
      </c>
      <c r="D4825">
        <v>16.48</v>
      </c>
      <c r="E4825" t="s">
        <v>9</v>
      </c>
      <c r="F4825">
        <v>75.099999999999994</v>
      </c>
      <c r="G4825" t="s">
        <v>16</v>
      </c>
      <c r="H4825" t="s">
        <v>11</v>
      </c>
    </row>
    <row r="4826" spans="1:8" x14ac:dyDescent="0.25">
      <c r="A4826" s="1">
        <v>45664</v>
      </c>
      <c r="B4826" t="s">
        <v>30</v>
      </c>
      <c r="C4826">
        <v>146.62</v>
      </c>
      <c r="D4826">
        <v>88.11</v>
      </c>
      <c r="E4826" t="s">
        <v>14</v>
      </c>
      <c r="F4826">
        <v>75.84</v>
      </c>
      <c r="G4826" t="s">
        <v>16</v>
      </c>
      <c r="H4826" t="s">
        <v>13</v>
      </c>
    </row>
    <row r="4827" spans="1:8" x14ac:dyDescent="0.25">
      <c r="A4827" s="1">
        <v>45664.041666666664</v>
      </c>
      <c r="B4827" t="s">
        <v>30</v>
      </c>
      <c r="C4827">
        <v>159.12</v>
      </c>
      <c r="D4827">
        <v>56.39</v>
      </c>
      <c r="E4827" t="s">
        <v>9</v>
      </c>
      <c r="F4827">
        <v>41.05</v>
      </c>
      <c r="G4827" t="s">
        <v>16</v>
      </c>
      <c r="H4827" t="s">
        <v>13</v>
      </c>
    </row>
    <row r="4828" spans="1:8" x14ac:dyDescent="0.25">
      <c r="A4828" s="1">
        <v>45664.083333333336</v>
      </c>
      <c r="B4828" t="s">
        <v>30</v>
      </c>
      <c r="C4828">
        <v>478.19</v>
      </c>
      <c r="D4828">
        <v>48.04</v>
      </c>
      <c r="E4828" t="s">
        <v>9</v>
      </c>
      <c r="F4828">
        <v>82.9</v>
      </c>
      <c r="G4828" t="s">
        <v>16</v>
      </c>
      <c r="H4828" t="s">
        <v>13</v>
      </c>
    </row>
    <row r="4829" spans="1:8" x14ac:dyDescent="0.25">
      <c r="A4829" s="1">
        <v>45664.125</v>
      </c>
      <c r="B4829" t="s">
        <v>30</v>
      </c>
      <c r="C4829">
        <v>104.73</v>
      </c>
      <c r="D4829">
        <v>74.3</v>
      </c>
      <c r="E4829" t="s">
        <v>9</v>
      </c>
      <c r="F4829">
        <v>61.21</v>
      </c>
      <c r="G4829" t="s">
        <v>16</v>
      </c>
      <c r="H4829" t="s">
        <v>11</v>
      </c>
    </row>
    <row r="4830" spans="1:8" x14ac:dyDescent="0.25">
      <c r="A4830" s="1">
        <v>45664.166666666664</v>
      </c>
      <c r="B4830" t="s">
        <v>30</v>
      </c>
      <c r="C4830">
        <v>287</v>
      </c>
      <c r="D4830">
        <v>37.33</v>
      </c>
      <c r="E4830" t="s">
        <v>9</v>
      </c>
      <c r="F4830">
        <v>77.45</v>
      </c>
      <c r="G4830" t="s">
        <v>16</v>
      </c>
      <c r="H4830" t="s">
        <v>12</v>
      </c>
    </row>
    <row r="4831" spans="1:8" x14ac:dyDescent="0.25">
      <c r="A4831" s="1">
        <v>45664.208333333336</v>
      </c>
      <c r="B4831" t="s">
        <v>30</v>
      </c>
      <c r="C4831">
        <v>485.68</v>
      </c>
      <c r="D4831">
        <v>83.23</v>
      </c>
      <c r="E4831" t="s">
        <v>9</v>
      </c>
      <c r="F4831">
        <v>42.35</v>
      </c>
      <c r="G4831" t="s">
        <v>16</v>
      </c>
      <c r="H4831" t="s">
        <v>11</v>
      </c>
    </row>
    <row r="4832" spans="1:8" x14ac:dyDescent="0.25">
      <c r="A4832" s="1">
        <v>45664.25</v>
      </c>
      <c r="B4832" t="s">
        <v>30</v>
      </c>
      <c r="C4832">
        <v>140.69</v>
      </c>
      <c r="D4832">
        <v>66.739999999999995</v>
      </c>
      <c r="E4832" t="s">
        <v>9</v>
      </c>
      <c r="F4832">
        <v>73.97</v>
      </c>
      <c r="G4832" t="s">
        <v>16</v>
      </c>
      <c r="H4832" t="s">
        <v>13</v>
      </c>
    </row>
    <row r="4833" spans="1:8" x14ac:dyDescent="0.25">
      <c r="A4833" s="1">
        <v>45664.291666666664</v>
      </c>
      <c r="B4833" t="s">
        <v>30</v>
      </c>
      <c r="C4833">
        <v>318.74</v>
      </c>
      <c r="D4833">
        <v>29.77</v>
      </c>
      <c r="E4833" t="s">
        <v>9</v>
      </c>
      <c r="F4833">
        <v>51.92</v>
      </c>
      <c r="G4833" t="s">
        <v>16</v>
      </c>
      <c r="H4833" t="s">
        <v>13</v>
      </c>
    </row>
    <row r="4834" spans="1:8" x14ac:dyDescent="0.25">
      <c r="A4834" s="1">
        <v>45664.333333333336</v>
      </c>
      <c r="B4834" t="s">
        <v>30</v>
      </c>
      <c r="C4834">
        <v>393.55</v>
      </c>
      <c r="D4834">
        <v>71.819999999999993</v>
      </c>
      <c r="E4834" t="s">
        <v>9</v>
      </c>
      <c r="F4834">
        <v>69.75</v>
      </c>
      <c r="G4834" t="s">
        <v>16</v>
      </c>
      <c r="H4834" t="s">
        <v>11</v>
      </c>
    </row>
    <row r="4835" spans="1:8" x14ac:dyDescent="0.25">
      <c r="A4835" s="1">
        <v>45664.375</v>
      </c>
      <c r="B4835" t="s">
        <v>30</v>
      </c>
      <c r="C4835">
        <v>358.57</v>
      </c>
      <c r="D4835">
        <v>60.35</v>
      </c>
      <c r="E4835" t="s">
        <v>9</v>
      </c>
      <c r="F4835">
        <v>72.510000000000005</v>
      </c>
      <c r="G4835" t="s">
        <v>16</v>
      </c>
      <c r="H4835" t="s">
        <v>11</v>
      </c>
    </row>
    <row r="4836" spans="1:8" x14ac:dyDescent="0.25">
      <c r="A4836" s="1">
        <v>45664.416666666664</v>
      </c>
      <c r="B4836" t="s">
        <v>30</v>
      </c>
      <c r="C4836">
        <v>115.89</v>
      </c>
      <c r="D4836">
        <v>47.23</v>
      </c>
      <c r="E4836" t="s">
        <v>9</v>
      </c>
      <c r="F4836">
        <v>34.51</v>
      </c>
      <c r="G4836" t="s">
        <v>16</v>
      </c>
      <c r="H4836" t="s">
        <v>11</v>
      </c>
    </row>
    <row r="4837" spans="1:8" x14ac:dyDescent="0.25">
      <c r="A4837" s="1">
        <v>45664.458333333336</v>
      </c>
      <c r="B4837" t="s">
        <v>30</v>
      </c>
      <c r="C4837">
        <v>204.54</v>
      </c>
      <c r="D4837">
        <v>43.92</v>
      </c>
      <c r="E4837" t="s">
        <v>9</v>
      </c>
      <c r="F4837">
        <v>50.66</v>
      </c>
      <c r="G4837" t="s">
        <v>16</v>
      </c>
      <c r="H4837" t="s">
        <v>11</v>
      </c>
    </row>
    <row r="4838" spans="1:8" x14ac:dyDescent="0.25">
      <c r="A4838" s="1">
        <v>45664.5</v>
      </c>
      <c r="B4838" t="s">
        <v>30</v>
      </c>
      <c r="C4838">
        <v>450.54</v>
      </c>
      <c r="D4838">
        <v>92.21</v>
      </c>
      <c r="E4838" t="s">
        <v>14</v>
      </c>
      <c r="F4838">
        <v>42.14</v>
      </c>
      <c r="G4838" t="s">
        <v>16</v>
      </c>
      <c r="H4838" t="s">
        <v>12</v>
      </c>
    </row>
    <row r="4839" spans="1:8" x14ac:dyDescent="0.25">
      <c r="A4839" s="1">
        <v>45664.541666666664</v>
      </c>
      <c r="B4839" t="s">
        <v>30</v>
      </c>
      <c r="C4839">
        <v>330.65</v>
      </c>
      <c r="D4839">
        <v>23.74</v>
      </c>
      <c r="E4839" t="s">
        <v>9</v>
      </c>
      <c r="F4839">
        <v>34.270000000000003</v>
      </c>
      <c r="G4839" t="s">
        <v>16</v>
      </c>
      <c r="H4839" t="s">
        <v>11</v>
      </c>
    </row>
    <row r="4840" spans="1:8" x14ac:dyDescent="0.25">
      <c r="A4840" s="1">
        <v>45664.583333333336</v>
      </c>
      <c r="B4840" t="s">
        <v>30</v>
      </c>
      <c r="C4840">
        <v>265.35000000000002</v>
      </c>
      <c r="D4840">
        <v>55.49</v>
      </c>
      <c r="E4840" t="s">
        <v>9</v>
      </c>
      <c r="F4840">
        <v>54.04</v>
      </c>
      <c r="G4840" t="s">
        <v>16</v>
      </c>
      <c r="H4840" t="s">
        <v>11</v>
      </c>
    </row>
    <row r="4841" spans="1:8" x14ac:dyDescent="0.25">
      <c r="A4841" s="1">
        <v>45664.625</v>
      </c>
      <c r="B4841" t="s">
        <v>30</v>
      </c>
      <c r="C4841">
        <v>452.02</v>
      </c>
      <c r="D4841">
        <v>17.91</v>
      </c>
      <c r="E4841" t="s">
        <v>9</v>
      </c>
      <c r="F4841">
        <v>41.17</v>
      </c>
      <c r="G4841" t="s">
        <v>16</v>
      </c>
      <c r="H4841" t="s">
        <v>13</v>
      </c>
    </row>
    <row r="4842" spans="1:8" x14ac:dyDescent="0.25">
      <c r="A4842" s="1">
        <v>45664.666666666664</v>
      </c>
      <c r="B4842" t="s">
        <v>30</v>
      </c>
      <c r="C4842">
        <v>359.91</v>
      </c>
      <c r="D4842">
        <v>25.36</v>
      </c>
      <c r="E4842" t="s">
        <v>9</v>
      </c>
      <c r="F4842">
        <v>51.51</v>
      </c>
      <c r="G4842" t="s">
        <v>16</v>
      </c>
      <c r="H4842" t="s">
        <v>12</v>
      </c>
    </row>
    <row r="4843" spans="1:8" x14ac:dyDescent="0.25">
      <c r="A4843" s="1">
        <v>45664.708333333336</v>
      </c>
      <c r="B4843" t="s">
        <v>30</v>
      </c>
      <c r="C4843">
        <v>305.23</v>
      </c>
      <c r="D4843">
        <v>31.57</v>
      </c>
      <c r="E4843" t="s">
        <v>9</v>
      </c>
      <c r="F4843">
        <v>37.369999999999997</v>
      </c>
      <c r="G4843" t="s">
        <v>16</v>
      </c>
      <c r="H4843" t="s">
        <v>12</v>
      </c>
    </row>
    <row r="4844" spans="1:8" x14ac:dyDescent="0.25">
      <c r="A4844" s="1">
        <v>45664.75</v>
      </c>
      <c r="B4844" t="s">
        <v>30</v>
      </c>
      <c r="C4844">
        <v>296.45999999999998</v>
      </c>
      <c r="D4844">
        <v>41.09</v>
      </c>
      <c r="E4844" t="s">
        <v>9</v>
      </c>
      <c r="F4844">
        <v>67.819999999999993</v>
      </c>
      <c r="G4844" t="s">
        <v>16</v>
      </c>
      <c r="H4844" t="s">
        <v>13</v>
      </c>
    </row>
    <row r="4845" spans="1:8" x14ac:dyDescent="0.25">
      <c r="A4845" s="1">
        <v>45664.791666666664</v>
      </c>
      <c r="B4845" t="s">
        <v>30</v>
      </c>
      <c r="C4845">
        <v>289.74</v>
      </c>
      <c r="D4845">
        <v>84.7</v>
      </c>
      <c r="E4845" t="s">
        <v>9</v>
      </c>
      <c r="F4845">
        <v>37.32</v>
      </c>
      <c r="G4845" t="s">
        <v>16</v>
      </c>
      <c r="H4845" t="s">
        <v>12</v>
      </c>
    </row>
    <row r="4846" spans="1:8" x14ac:dyDescent="0.25">
      <c r="A4846" s="1">
        <v>45664.833333333336</v>
      </c>
      <c r="B4846" t="s">
        <v>30</v>
      </c>
      <c r="C4846">
        <v>113.97</v>
      </c>
      <c r="D4846">
        <v>68.59</v>
      </c>
      <c r="E4846" t="s">
        <v>9</v>
      </c>
      <c r="F4846">
        <v>53.47</v>
      </c>
      <c r="G4846" t="s">
        <v>16</v>
      </c>
      <c r="H4846" t="s">
        <v>11</v>
      </c>
    </row>
    <row r="4847" spans="1:8" x14ac:dyDescent="0.25">
      <c r="A4847" s="1">
        <v>45664.875</v>
      </c>
      <c r="B4847" t="s">
        <v>30</v>
      </c>
      <c r="C4847">
        <v>120.81</v>
      </c>
      <c r="D4847">
        <v>70.790000000000006</v>
      </c>
      <c r="E4847" t="s">
        <v>9</v>
      </c>
      <c r="F4847">
        <v>82.24</v>
      </c>
      <c r="G4847" t="s">
        <v>16</v>
      </c>
      <c r="H4847" t="s">
        <v>11</v>
      </c>
    </row>
    <row r="4848" spans="1:8" x14ac:dyDescent="0.25">
      <c r="A4848" s="1">
        <v>45664.916666666664</v>
      </c>
      <c r="B4848" t="s">
        <v>30</v>
      </c>
      <c r="C4848">
        <v>277.33999999999997</v>
      </c>
      <c r="D4848">
        <v>62.02</v>
      </c>
      <c r="E4848" t="s">
        <v>9</v>
      </c>
      <c r="F4848">
        <v>75.64</v>
      </c>
      <c r="G4848" t="s">
        <v>16</v>
      </c>
      <c r="H4848" t="s">
        <v>12</v>
      </c>
    </row>
    <row r="4849" spans="1:8" x14ac:dyDescent="0.25">
      <c r="A4849" s="1">
        <v>45664.958333333336</v>
      </c>
      <c r="B4849" t="s">
        <v>30</v>
      </c>
      <c r="C4849">
        <v>351.24</v>
      </c>
      <c r="D4849">
        <v>38.68</v>
      </c>
      <c r="E4849" t="s">
        <v>9</v>
      </c>
      <c r="F4849">
        <v>57.27</v>
      </c>
      <c r="G4849" t="s">
        <v>16</v>
      </c>
      <c r="H4849" t="s">
        <v>12</v>
      </c>
    </row>
    <row r="4850" spans="1:8" x14ac:dyDescent="0.25">
      <c r="A4850" s="1">
        <v>45665</v>
      </c>
      <c r="B4850" t="s">
        <v>30</v>
      </c>
      <c r="C4850">
        <v>309.7</v>
      </c>
      <c r="D4850">
        <v>20.98</v>
      </c>
      <c r="E4850" t="s">
        <v>9</v>
      </c>
      <c r="F4850">
        <v>51.53</v>
      </c>
      <c r="G4850" t="s">
        <v>16</v>
      </c>
      <c r="H4850" t="s">
        <v>13</v>
      </c>
    </row>
    <row r="4851" spans="1:8" x14ac:dyDescent="0.25">
      <c r="A4851" s="1">
        <v>45665.041666666664</v>
      </c>
      <c r="B4851" t="s">
        <v>30</v>
      </c>
      <c r="C4851">
        <v>465.36</v>
      </c>
      <c r="D4851">
        <v>14.4</v>
      </c>
      <c r="E4851" t="s">
        <v>9</v>
      </c>
      <c r="F4851">
        <v>77.150000000000006</v>
      </c>
      <c r="G4851" t="s">
        <v>16</v>
      </c>
      <c r="H4851" t="s">
        <v>11</v>
      </c>
    </row>
    <row r="4852" spans="1:8" x14ac:dyDescent="0.25">
      <c r="A4852" s="1">
        <v>45665.083333333336</v>
      </c>
      <c r="B4852" t="s">
        <v>30</v>
      </c>
      <c r="C4852">
        <v>58.55</v>
      </c>
      <c r="D4852">
        <v>51.62</v>
      </c>
      <c r="E4852" t="s">
        <v>9</v>
      </c>
      <c r="F4852">
        <v>84.08</v>
      </c>
      <c r="G4852" t="s">
        <v>16</v>
      </c>
      <c r="H4852" t="s">
        <v>12</v>
      </c>
    </row>
    <row r="4853" spans="1:8" x14ac:dyDescent="0.25">
      <c r="A4853" s="1">
        <v>45665.125</v>
      </c>
      <c r="B4853" t="s">
        <v>30</v>
      </c>
      <c r="C4853">
        <v>245.03</v>
      </c>
      <c r="D4853">
        <v>71.06</v>
      </c>
      <c r="E4853" t="s">
        <v>9</v>
      </c>
      <c r="F4853">
        <v>57.27</v>
      </c>
      <c r="G4853" t="s">
        <v>16</v>
      </c>
      <c r="H4853" t="s">
        <v>13</v>
      </c>
    </row>
    <row r="4854" spans="1:8" x14ac:dyDescent="0.25">
      <c r="A4854" s="1">
        <v>45665.166666666664</v>
      </c>
      <c r="B4854" t="s">
        <v>30</v>
      </c>
      <c r="C4854">
        <v>125.94</v>
      </c>
      <c r="D4854">
        <v>81.88</v>
      </c>
      <c r="E4854" t="s">
        <v>9</v>
      </c>
      <c r="F4854">
        <v>82.58</v>
      </c>
      <c r="G4854" t="s">
        <v>16</v>
      </c>
      <c r="H4854" t="s">
        <v>12</v>
      </c>
    </row>
    <row r="4855" spans="1:8" x14ac:dyDescent="0.25">
      <c r="A4855" s="1">
        <v>45665.208333333336</v>
      </c>
      <c r="B4855" t="s">
        <v>30</v>
      </c>
      <c r="C4855">
        <v>118.9</v>
      </c>
      <c r="D4855">
        <v>46.06</v>
      </c>
      <c r="E4855" t="s">
        <v>9</v>
      </c>
      <c r="F4855">
        <v>69.36</v>
      </c>
      <c r="G4855" t="s">
        <v>16</v>
      </c>
      <c r="H4855" t="s">
        <v>12</v>
      </c>
    </row>
    <row r="4856" spans="1:8" x14ac:dyDescent="0.25">
      <c r="A4856" s="1">
        <v>45665.25</v>
      </c>
      <c r="B4856" t="s">
        <v>30</v>
      </c>
      <c r="C4856">
        <v>93.22</v>
      </c>
      <c r="D4856">
        <v>15.06</v>
      </c>
      <c r="E4856" t="s">
        <v>9</v>
      </c>
      <c r="F4856">
        <v>58.16</v>
      </c>
      <c r="G4856" t="s">
        <v>16</v>
      </c>
      <c r="H4856" t="s">
        <v>11</v>
      </c>
    </row>
    <row r="4857" spans="1:8" x14ac:dyDescent="0.25">
      <c r="A4857" s="1">
        <v>45665.291666666664</v>
      </c>
      <c r="B4857" t="s">
        <v>30</v>
      </c>
      <c r="C4857">
        <v>105.04</v>
      </c>
      <c r="D4857">
        <v>31.57</v>
      </c>
      <c r="E4857" t="s">
        <v>9</v>
      </c>
      <c r="F4857">
        <v>81.89</v>
      </c>
      <c r="G4857" t="s">
        <v>16</v>
      </c>
      <c r="H4857" t="s">
        <v>12</v>
      </c>
    </row>
    <row r="4858" spans="1:8" x14ac:dyDescent="0.25">
      <c r="A4858" s="1">
        <v>45665.333333333336</v>
      </c>
      <c r="B4858" t="s">
        <v>30</v>
      </c>
      <c r="C4858">
        <v>339.05</v>
      </c>
      <c r="D4858">
        <v>69.209999999999994</v>
      </c>
      <c r="E4858" t="s">
        <v>9</v>
      </c>
      <c r="F4858">
        <v>42.67</v>
      </c>
      <c r="G4858" t="s">
        <v>16</v>
      </c>
      <c r="H4858" t="s">
        <v>11</v>
      </c>
    </row>
    <row r="4859" spans="1:8" x14ac:dyDescent="0.25">
      <c r="A4859" s="1">
        <v>45665.375</v>
      </c>
      <c r="B4859" t="s">
        <v>30</v>
      </c>
      <c r="C4859">
        <v>341.91</v>
      </c>
      <c r="D4859">
        <v>71.56</v>
      </c>
      <c r="E4859" t="s">
        <v>9</v>
      </c>
      <c r="F4859">
        <v>68.63</v>
      </c>
      <c r="G4859" t="s">
        <v>16</v>
      </c>
      <c r="H4859" t="s">
        <v>13</v>
      </c>
    </row>
    <row r="4860" spans="1:8" x14ac:dyDescent="0.25">
      <c r="A4860" s="1">
        <v>45665.416666666664</v>
      </c>
      <c r="B4860" t="s">
        <v>30</v>
      </c>
      <c r="C4860">
        <v>162.56</v>
      </c>
      <c r="D4860">
        <v>14.38</v>
      </c>
      <c r="E4860" t="s">
        <v>9</v>
      </c>
      <c r="F4860">
        <v>53.8</v>
      </c>
      <c r="G4860" t="s">
        <v>16</v>
      </c>
      <c r="H4860" t="s">
        <v>12</v>
      </c>
    </row>
    <row r="4861" spans="1:8" x14ac:dyDescent="0.25">
      <c r="A4861" s="1">
        <v>45665.458333333336</v>
      </c>
      <c r="B4861" t="s">
        <v>30</v>
      </c>
      <c r="C4861">
        <v>91.28</v>
      </c>
      <c r="D4861">
        <v>40.049999999999997</v>
      </c>
      <c r="E4861" t="s">
        <v>9</v>
      </c>
      <c r="F4861">
        <v>67.69</v>
      </c>
      <c r="G4861" t="s">
        <v>16</v>
      </c>
      <c r="H4861" t="s">
        <v>12</v>
      </c>
    </row>
    <row r="4862" spans="1:8" x14ac:dyDescent="0.25">
      <c r="A4862" s="1">
        <v>45665.5</v>
      </c>
      <c r="B4862" t="s">
        <v>30</v>
      </c>
      <c r="C4862">
        <v>427.82</v>
      </c>
      <c r="D4862">
        <v>34.47</v>
      </c>
      <c r="E4862" t="s">
        <v>9</v>
      </c>
      <c r="F4862">
        <v>38.04</v>
      </c>
      <c r="G4862" t="s">
        <v>16</v>
      </c>
      <c r="H4862" t="s">
        <v>11</v>
      </c>
    </row>
    <row r="4863" spans="1:8" x14ac:dyDescent="0.25">
      <c r="A4863" s="1">
        <v>45665.541666666664</v>
      </c>
      <c r="B4863" t="s">
        <v>30</v>
      </c>
      <c r="C4863">
        <v>467.96</v>
      </c>
      <c r="D4863">
        <v>41.29</v>
      </c>
      <c r="E4863" t="s">
        <v>9</v>
      </c>
      <c r="F4863">
        <v>45.44</v>
      </c>
      <c r="G4863" t="s">
        <v>16</v>
      </c>
      <c r="H4863" t="s">
        <v>11</v>
      </c>
    </row>
    <row r="4864" spans="1:8" x14ac:dyDescent="0.25">
      <c r="A4864" s="1">
        <v>45665.583333333336</v>
      </c>
      <c r="B4864" t="s">
        <v>30</v>
      </c>
      <c r="C4864">
        <v>368.06</v>
      </c>
      <c r="D4864">
        <v>89.91</v>
      </c>
      <c r="E4864" t="s">
        <v>14</v>
      </c>
      <c r="F4864">
        <v>42.32</v>
      </c>
      <c r="G4864" t="s">
        <v>16</v>
      </c>
      <c r="H4864" t="s">
        <v>12</v>
      </c>
    </row>
    <row r="4865" spans="1:8" x14ac:dyDescent="0.25">
      <c r="A4865" s="1">
        <v>45665.625</v>
      </c>
      <c r="B4865" t="s">
        <v>30</v>
      </c>
      <c r="C4865">
        <v>226.95</v>
      </c>
      <c r="D4865">
        <v>54.9</v>
      </c>
      <c r="E4865" t="s">
        <v>9</v>
      </c>
      <c r="F4865">
        <v>83.56</v>
      </c>
      <c r="G4865" t="s">
        <v>16</v>
      </c>
      <c r="H4865" t="s">
        <v>12</v>
      </c>
    </row>
    <row r="4866" spans="1:8" x14ac:dyDescent="0.25">
      <c r="A4866" s="1">
        <v>45665.666666666664</v>
      </c>
      <c r="B4866" t="s">
        <v>30</v>
      </c>
      <c r="C4866">
        <v>343.92</v>
      </c>
      <c r="D4866">
        <v>62.73</v>
      </c>
      <c r="E4866" t="s">
        <v>9</v>
      </c>
      <c r="F4866">
        <v>32.93</v>
      </c>
      <c r="G4866" t="s">
        <v>16</v>
      </c>
      <c r="H4866" t="s">
        <v>13</v>
      </c>
    </row>
    <row r="4867" spans="1:8" x14ac:dyDescent="0.25">
      <c r="A4867" s="1">
        <v>45665.708333333336</v>
      </c>
      <c r="B4867" t="s">
        <v>30</v>
      </c>
      <c r="C4867">
        <v>227.77</v>
      </c>
      <c r="D4867">
        <v>34.090000000000003</v>
      </c>
      <c r="E4867" t="s">
        <v>9</v>
      </c>
      <c r="F4867">
        <v>32.32</v>
      </c>
      <c r="G4867" t="s">
        <v>16</v>
      </c>
      <c r="H4867" t="s">
        <v>13</v>
      </c>
    </row>
    <row r="4868" spans="1:8" x14ac:dyDescent="0.25">
      <c r="A4868" s="1">
        <v>45665.75</v>
      </c>
      <c r="B4868" t="s">
        <v>30</v>
      </c>
      <c r="C4868">
        <v>289.39999999999998</v>
      </c>
      <c r="D4868">
        <v>48.74</v>
      </c>
      <c r="E4868" t="s">
        <v>9</v>
      </c>
      <c r="F4868">
        <v>72.180000000000007</v>
      </c>
      <c r="G4868" t="s">
        <v>16</v>
      </c>
      <c r="H4868" t="s">
        <v>11</v>
      </c>
    </row>
    <row r="4869" spans="1:8" x14ac:dyDescent="0.25">
      <c r="A4869" s="1">
        <v>45665.791666666664</v>
      </c>
      <c r="B4869" t="s">
        <v>30</v>
      </c>
      <c r="C4869">
        <v>473.79</v>
      </c>
      <c r="D4869">
        <v>17.37</v>
      </c>
      <c r="E4869" t="s">
        <v>9</v>
      </c>
      <c r="F4869">
        <v>76.040000000000006</v>
      </c>
      <c r="G4869" t="s">
        <v>16</v>
      </c>
      <c r="H4869" t="s">
        <v>11</v>
      </c>
    </row>
    <row r="4870" spans="1:8" x14ac:dyDescent="0.25">
      <c r="A4870" s="1">
        <v>45665.833333333336</v>
      </c>
      <c r="B4870" t="s">
        <v>30</v>
      </c>
      <c r="C4870">
        <v>475.01</v>
      </c>
      <c r="D4870">
        <v>45.88</v>
      </c>
      <c r="E4870" t="s">
        <v>9</v>
      </c>
      <c r="F4870">
        <v>72.48</v>
      </c>
      <c r="G4870" t="s">
        <v>16</v>
      </c>
      <c r="H4870" t="s">
        <v>11</v>
      </c>
    </row>
    <row r="4871" spans="1:8" x14ac:dyDescent="0.25">
      <c r="A4871" s="1">
        <v>45665.875</v>
      </c>
      <c r="B4871" t="s">
        <v>30</v>
      </c>
      <c r="C4871">
        <v>371.91</v>
      </c>
      <c r="D4871">
        <v>78.06</v>
      </c>
      <c r="E4871" t="s">
        <v>9</v>
      </c>
      <c r="F4871">
        <v>86.21</v>
      </c>
      <c r="G4871" t="s">
        <v>16</v>
      </c>
      <c r="H4871" t="s">
        <v>12</v>
      </c>
    </row>
    <row r="4872" spans="1:8" x14ac:dyDescent="0.25">
      <c r="A4872" s="1">
        <v>45665.916666666664</v>
      </c>
      <c r="B4872" t="s">
        <v>30</v>
      </c>
      <c r="C4872">
        <v>112.32</v>
      </c>
      <c r="D4872">
        <v>90.59</v>
      </c>
      <c r="E4872" t="s">
        <v>14</v>
      </c>
      <c r="F4872">
        <v>70.38</v>
      </c>
      <c r="G4872" t="s">
        <v>16</v>
      </c>
      <c r="H4872" t="s">
        <v>11</v>
      </c>
    </row>
    <row r="4873" spans="1:8" x14ac:dyDescent="0.25">
      <c r="A4873" s="1">
        <v>45665.958333333336</v>
      </c>
      <c r="B4873" t="s">
        <v>30</v>
      </c>
      <c r="C4873">
        <v>397.52</v>
      </c>
      <c r="D4873">
        <v>36</v>
      </c>
      <c r="E4873" t="s">
        <v>9</v>
      </c>
      <c r="F4873">
        <v>74.45</v>
      </c>
      <c r="G4873" t="s">
        <v>16</v>
      </c>
      <c r="H4873" t="s">
        <v>11</v>
      </c>
    </row>
    <row r="4874" spans="1:8" x14ac:dyDescent="0.25">
      <c r="A4874" s="1">
        <v>45666</v>
      </c>
      <c r="B4874" t="s">
        <v>30</v>
      </c>
      <c r="C4874">
        <v>187.08</v>
      </c>
      <c r="D4874">
        <v>94.8</v>
      </c>
      <c r="E4874" t="s">
        <v>14</v>
      </c>
      <c r="F4874">
        <v>69.52</v>
      </c>
      <c r="G4874" t="s">
        <v>16</v>
      </c>
      <c r="H4874" t="s">
        <v>13</v>
      </c>
    </row>
    <row r="4875" spans="1:8" x14ac:dyDescent="0.25">
      <c r="A4875" s="1">
        <v>45666.041666666664</v>
      </c>
      <c r="B4875" t="s">
        <v>30</v>
      </c>
      <c r="C4875">
        <v>186.91</v>
      </c>
      <c r="D4875">
        <v>73.87</v>
      </c>
      <c r="E4875" t="s">
        <v>9</v>
      </c>
      <c r="F4875">
        <v>57.78</v>
      </c>
      <c r="G4875" t="s">
        <v>16</v>
      </c>
      <c r="H4875" t="s">
        <v>11</v>
      </c>
    </row>
    <row r="4876" spans="1:8" x14ac:dyDescent="0.25">
      <c r="A4876" s="1">
        <v>45666.083333333336</v>
      </c>
      <c r="B4876" t="s">
        <v>30</v>
      </c>
      <c r="C4876">
        <v>122.89</v>
      </c>
      <c r="D4876">
        <v>28.42</v>
      </c>
      <c r="E4876" t="s">
        <v>9</v>
      </c>
      <c r="F4876">
        <v>34.65</v>
      </c>
      <c r="G4876" t="s">
        <v>16</v>
      </c>
      <c r="H4876" t="s">
        <v>12</v>
      </c>
    </row>
    <row r="4877" spans="1:8" x14ac:dyDescent="0.25">
      <c r="A4877" s="1">
        <v>45666.125</v>
      </c>
      <c r="B4877" t="s">
        <v>30</v>
      </c>
      <c r="C4877">
        <v>431.89</v>
      </c>
      <c r="D4877">
        <v>15.69</v>
      </c>
      <c r="E4877" t="s">
        <v>9</v>
      </c>
      <c r="F4877">
        <v>33.97</v>
      </c>
      <c r="G4877" t="s">
        <v>16</v>
      </c>
      <c r="H4877" t="s">
        <v>13</v>
      </c>
    </row>
    <row r="4878" spans="1:8" x14ac:dyDescent="0.25">
      <c r="A4878" s="1">
        <v>45666.166666666664</v>
      </c>
      <c r="B4878" t="s">
        <v>30</v>
      </c>
      <c r="C4878">
        <v>203.85</v>
      </c>
      <c r="D4878">
        <v>22.66</v>
      </c>
      <c r="E4878" t="s">
        <v>9</v>
      </c>
      <c r="F4878">
        <v>75.69</v>
      </c>
      <c r="G4878" t="s">
        <v>16</v>
      </c>
      <c r="H4878" t="s">
        <v>13</v>
      </c>
    </row>
    <row r="4879" spans="1:8" x14ac:dyDescent="0.25">
      <c r="A4879" s="1">
        <v>45666.208333333336</v>
      </c>
      <c r="B4879" t="s">
        <v>30</v>
      </c>
      <c r="C4879">
        <v>154.4</v>
      </c>
      <c r="D4879">
        <v>46.33</v>
      </c>
      <c r="E4879" t="s">
        <v>9</v>
      </c>
      <c r="F4879">
        <v>43.5</v>
      </c>
      <c r="G4879" t="s">
        <v>16</v>
      </c>
      <c r="H4879" t="s">
        <v>13</v>
      </c>
    </row>
    <row r="4880" spans="1:8" x14ac:dyDescent="0.25">
      <c r="A4880" s="1">
        <v>45666.25</v>
      </c>
      <c r="B4880" t="s">
        <v>30</v>
      </c>
      <c r="C4880">
        <v>377.84</v>
      </c>
      <c r="D4880">
        <v>63.5</v>
      </c>
      <c r="E4880" t="s">
        <v>9</v>
      </c>
      <c r="F4880">
        <v>34.869999999999997</v>
      </c>
      <c r="G4880" t="s">
        <v>16</v>
      </c>
      <c r="H4880" t="s">
        <v>13</v>
      </c>
    </row>
    <row r="4881" spans="1:8" x14ac:dyDescent="0.25">
      <c r="A4881" s="1">
        <v>45666.291666666664</v>
      </c>
      <c r="B4881" t="s">
        <v>30</v>
      </c>
      <c r="C4881">
        <v>214.41</v>
      </c>
      <c r="D4881">
        <v>17.829999999999998</v>
      </c>
      <c r="E4881" t="s">
        <v>9</v>
      </c>
      <c r="F4881">
        <v>36.25</v>
      </c>
      <c r="G4881" t="s">
        <v>16</v>
      </c>
      <c r="H4881" t="s">
        <v>13</v>
      </c>
    </row>
    <row r="4882" spans="1:8" x14ac:dyDescent="0.25">
      <c r="A4882" s="1">
        <v>45666.333333333336</v>
      </c>
      <c r="B4882" t="s">
        <v>30</v>
      </c>
      <c r="C4882">
        <v>376.77</v>
      </c>
      <c r="D4882">
        <v>73.2</v>
      </c>
      <c r="E4882" t="s">
        <v>9</v>
      </c>
      <c r="F4882">
        <v>43.29</v>
      </c>
      <c r="G4882" t="s">
        <v>16</v>
      </c>
      <c r="H4882" t="s">
        <v>13</v>
      </c>
    </row>
    <row r="4883" spans="1:8" x14ac:dyDescent="0.25">
      <c r="A4883" s="1">
        <v>45666.375</v>
      </c>
      <c r="B4883" t="s">
        <v>30</v>
      </c>
      <c r="C4883">
        <v>418.79</v>
      </c>
      <c r="D4883">
        <v>29.66</v>
      </c>
      <c r="E4883" t="s">
        <v>9</v>
      </c>
      <c r="F4883">
        <v>34.85</v>
      </c>
      <c r="G4883" t="s">
        <v>16</v>
      </c>
      <c r="H4883" t="s">
        <v>12</v>
      </c>
    </row>
    <row r="4884" spans="1:8" x14ac:dyDescent="0.25">
      <c r="A4884" s="1">
        <v>45666.416666666664</v>
      </c>
      <c r="B4884" t="s">
        <v>30</v>
      </c>
      <c r="C4884">
        <v>166.01</v>
      </c>
      <c r="D4884">
        <v>61.47</v>
      </c>
      <c r="E4884" t="s">
        <v>9</v>
      </c>
      <c r="F4884">
        <v>49.14</v>
      </c>
      <c r="G4884" t="s">
        <v>16</v>
      </c>
      <c r="H4884" t="s">
        <v>13</v>
      </c>
    </row>
    <row r="4885" spans="1:8" x14ac:dyDescent="0.25">
      <c r="A4885" s="1">
        <v>45666.458333333336</v>
      </c>
      <c r="B4885" t="s">
        <v>30</v>
      </c>
      <c r="C4885">
        <v>104.03</v>
      </c>
      <c r="D4885">
        <v>34.03</v>
      </c>
      <c r="E4885" t="s">
        <v>9</v>
      </c>
      <c r="F4885">
        <v>77.89</v>
      </c>
      <c r="G4885" t="s">
        <v>16</v>
      </c>
      <c r="H4885" t="s">
        <v>11</v>
      </c>
    </row>
    <row r="4886" spans="1:8" x14ac:dyDescent="0.25">
      <c r="A4886" s="1">
        <v>45666.5</v>
      </c>
      <c r="B4886" t="s">
        <v>30</v>
      </c>
      <c r="C4886">
        <v>342.36</v>
      </c>
      <c r="D4886">
        <v>48.2</v>
      </c>
      <c r="E4886" t="s">
        <v>9</v>
      </c>
      <c r="F4886">
        <v>50.5</v>
      </c>
      <c r="G4886" t="s">
        <v>16</v>
      </c>
      <c r="H4886" t="s">
        <v>13</v>
      </c>
    </row>
    <row r="4887" spans="1:8" x14ac:dyDescent="0.25">
      <c r="A4887" s="1">
        <v>45666.541666666664</v>
      </c>
      <c r="B4887" t="s">
        <v>30</v>
      </c>
      <c r="C4887">
        <v>135.51</v>
      </c>
      <c r="D4887">
        <v>29.23</v>
      </c>
      <c r="E4887" t="s">
        <v>9</v>
      </c>
      <c r="F4887">
        <v>63.92</v>
      </c>
      <c r="G4887" t="s">
        <v>16</v>
      </c>
      <c r="H4887" t="s">
        <v>11</v>
      </c>
    </row>
    <row r="4888" spans="1:8" x14ac:dyDescent="0.25">
      <c r="A4888" s="1">
        <v>45666.583333333336</v>
      </c>
      <c r="B4888" t="s">
        <v>30</v>
      </c>
      <c r="C4888">
        <v>244.63</v>
      </c>
      <c r="D4888">
        <v>17.399999999999999</v>
      </c>
      <c r="E4888" t="s">
        <v>9</v>
      </c>
      <c r="F4888">
        <v>38.33</v>
      </c>
      <c r="G4888" t="s">
        <v>16</v>
      </c>
      <c r="H4888" t="s">
        <v>11</v>
      </c>
    </row>
    <row r="4889" spans="1:8" x14ac:dyDescent="0.25">
      <c r="A4889" s="1">
        <v>45666.625</v>
      </c>
      <c r="B4889" t="s">
        <v>30</v>
      </c>
      <c r="C4889">
        <v>314.99</v>
      </c>
      <c r="D4889">
        <v>29.12</v>
      </c>
      <c r="E4889" t="s">
        <v>9</v>
      </c>
      <c r="F4889">
        <v>59.91</v>
      </c>
      <c r="G4889" t="s">
        <v>16</v>
      </c>
      <c r="H4889" t="s">
        <v>11</v>
      </c>
    </row>
    <row r="4890" spans="1:8" x14ac:dyDescent="0.25">
      <c r="A4890" s="1">
        <v>45666.666666666664</v>
      </c>
      <c r="B4890" t="s">
        <v>30</v>
      </c>
      <c r="C4890">
        <v>183.83</v>
      </c>
      <c r="D4890">
        <v>89.58</v>
      </c>
      <c r="E4890" t="s">
        <v>14</v>
      </c>
      <c r="F4890">
        <v>87.68</v>
      </c>
      <c r="G4890" t="s">
        <v>16</v>
      </c>
      <c r="H4890" t="s">
        <v>12</v>
      </c>
    </row>
    <row r="4891" spans="1:8" x14ac:dyDescent="0.25">
      <c r="A4891" s="1">
        <v>45666.708333333336</v>
      </c>
      <c r="B4891" t="s">
        <v>30</v>
      </c>
      <c r="C4891">
        <v>307.42</v>
      </c>
      <c r="D4891">
        <v>48.04</v>
      </c>
      <c r="E4891" t="s">
        <v>9</v>
      </c>
      <c r="F4891">
        <v>33.479999999999997</v>
      </c>
      <c r="G4891" t="s">
        <v>16</v>
      </c>
      <c r="H4891" t="s">
        <v>13</v>
      </c>
    </row>
    <row r="4892" spans="1:8" x14ac:dyDescent="0.25">
      <c r="A4892" s="1">
        <v>45666.75</v>
      </c>
      <c r="B4892" t="s">
        <v>30</v>
      </c>
      <c r="C4892">
        <v>234.74</v>
      </c>
      <c r="D4892">
        <v>54.82</v>
      </c>
      <c r="E4892" t="s">
        <v>9</v>
      </c>
      <c r="F4892">
        <v>88.03</v>
      </c>
      <c r="G4892" t="s">
        <v>16</v>
      </c>
      <c r="H4892" t="s">
        <v>12</v>
      </c>
    </row>
    <row r="4893" spans="1:8" x14ac:dyDescent="0.25">
      <c r="A4893" s="1">
        <v>45666.791666666664</v>
      </c>
      <c r="B4893" t="s">
        <v>30</v>
      </c>
      <c r="C4893">
        <v>457.25</v>
      </c>
      <c r="D4893">
        <v>28.47</v>
      </c>
      <c r="E4893" t="s">
        <v>9</v>
      </c>
      <c r="F4893">
        <v>58.99</v>
      </c>
      <c r="G4893" t="s">
        <v>16</v>
      </c>
      <c r="H4893" t="s">
        <v>13</v>
      </c>
    </row>
    <row r="4894" spans="1:8" x14ac:dyDescent="0.25">
      <c r="A4894" s="1">
        <v>45666.833333333336</v>
      </c>
      <c r="B4894" t="s">
        <v>30</v>
      </c>
      <c r="C4894">
        <v>431.28</v>
      </c>
      <c r="D4894">
        <v>87.87</v>
      </c>
      <c r="E4894" t="s">
        <v>14</v>
      </c>
      <c r="F4894">
        <v>38.53</v>
      </c>
      <c r="G4894" t="s">
        <v>16</v>
      </c>
      <c r="H4894" t="s">
        <v>11</v>
      </c>
    </row>
    <row r="4895" spans="1:8" x14ac:dyDescent="0.25">
      <c r="A4895" s="1">
        <v>45666.875</v>
      </c>
      <c r="B4895" t="s">
        <v>30</v>
      </c>
      <c r="C4895">
        <v>456.2</v>
      </c>
      <c r="D4895">
        <v>50.05</v>
      </c>
      <c r="E4895" t="s">
        <v>9</v>
      </c>
      <c r="F4895">
        <v>34.42</v>
      </c>
      <c r="G4895" t="s">
        <v>16</v>
      </c>
      <c r="H4895" t="s">
        <v>13</v>
      </c>
    </row>
    <row r="4896" spans="1:8" x14ac:dyDescent="0.25">
      <c r="A4896" s="1">
        <v>45666.916666666664</v>
      </c>
      <c r="B4896" t="s">
        <v>30</v>
      </c>
      <c r="C4896">
        <v>447.73</v>
      </c>
      <c r="D4896">
        <v>87.01</v>
      </c>
      <c r="E4896" t="s">
        <v>14</v>
      </c>
      <c r="F4896">
        <v>47.5</v>
      </c>
      <c r="G4896" t="s">
        <v>16</v>
      </c>
      <c r="H4896" t="s">
        <v>12</v>
      </c>
    </row>
    <row r="4897" spans="1:8" x14ac:dyDescent="0.25">
      <c r="A4897" s="1">
        <v>45666.958333333336</v>
      </c>
      <c r="B4897" t="s">
        <v>30</v>
      </c>
      <c r="C4897">
        <v>346.6</v>
      </c>
      <c r="D4897">
        <v>93.2</v>
      </c>
      <c r="E4897" t="s">
        <v>14</v>
      </c>
      <c r="F4897">
        <v>36.69</v>
      </c>
      <c r="G4897" t="s">
        <v>16</v>
      </c>
      <c r="H4897" t="s">
        <v>13</v>
      </c>
    </row>
    <row r="4898" spans="1:8" x14ac:dyDescent="0.25">
      <c r="A4898" s="1">
        <v>45667</v>
      </c>
      <c r="B4898" t="s">
        <v>30</v>
      </c>
      <c r="C4898">
        <v>131.29</v>
      </c>
      <c r="D4898">
        <v>74.349999999999994</v>
      </c>
      <c r="E4898" t="s">
        <v>9</v>
      </c>
      <c r="F4898">
        <v>37.08</v>
      </c>
      <c r="G4898" t="s">
        <v>16</v>
      </c>
      <c r="H4898" t="s">
        <v>13</v>
      </c>
    </row>
    <row r="4899" spans="1:8" x14ac:dyDescent="0.25">
      <c r="A4899" s="1">
        <v>45667.041666666664</v>
      </c>
      <c r="B4899" t="s">
        <v>30</v>
      </c>
      <c r="C4899">
        <v>138.38</v>
      </c>
      <c r="D4899">
        <v>58.75</v>
      </c>
      <c r="E4899" t="s">
        <v>9</v>
      </c>
      <c r="F4899">
        <v>82.39</v>
      </c>
      <c r="G4899" t="s">
        <v>16</v>
      </c>
      <c r="H4899" t="s">
        <v>11</v>
      </c>
    </row>
    <row r="4900" spans="1:8" x14ac:dyDescent="0.25">
      <c r="A4900" s="1">
        <v>45667.083333333336</v>
      </c>
      <c r="B4900" t="s">
        <v>30</v>
      </c>
      <c r="C4900">
        <v>76.209999999999994</v>
      </c>
      <c r="D4900">
        <v>59.63</v>
      </c>
      <c r="E4900" t="s">
        <v>9</v>
      </c>
      <c r="F4900">
        <v>77.849999999999994</v>
      </c>
      <c r="G4900" t="s">
        <v>16</v>
      </c>
      <c r="H4900" t="s">
        <v>11</v>
      </c>
    </row>
    <row r="4901" spans="1:8" x14ac:dyDescent="0.25">
      <c r="A4901" s="1">
        <v>45667.125</v>
      </c>
      <c r="B4901" t="s">
        <v>30</v>
      </c>
      <c r="C4901">
        <v>294.49</v>
      </c>
      <c r="D4901">
        <v>94.15</v>
      </c>
      <c r="E4901" t="s">
        <v>14</v>
      </c>
      <c r="F4901">
        <v>42.27</v>
      </c>
      <c r="G4901" t="s">
        <v>16</v>
      </c>
      <c r="H4901" t="s">
        <v>12</v>
      </c>
    </row>
    <row r="4902" spans="1:8" x14ac:dyDescent="0.25">
      <c r="A4902" s="1">
        <v>45667.166666666664</v>
      </c>
      <c r="B4902" t="s">
        <v>30</v>
      </c>
      <c r="C4902">
        <v>316.26</v>
      </c>
      <c r="D4902">
        <v>57.79</v>
      </c>
      <c r="E4902" t="s">
        <v>9</v>
      </c>
      <c r="F4902">
        <v>44.97</v>
      </c>
      <c r="G4902" t="s">
        <v>16</v>
      </c>
      <c r="H4902" t="s">
        <v>11</v>
      </c>
    </row>
    <row r="4903" spans="1:8" x14ac:dyDescent="0.25">
      <c r="A4903" s="1">
        <v>45667.208333333336</v>
      </c>
      <c r="B4903" t="s">
        <v>30</v>
      </c>
      <c r="C4903">
        <v>487.62</v>
      </c>
      <c r="D4903">
        <v>90.66</v>
      </c>
      <c r="E4903" t="s">
        <v>14</v>
      </c>
      <c r="F4903">
        <v>43.87</v>
      </c>
      <c r="G4903" t="s">
        <v>16</v>
      </c>
      <c r="H4903" t="s">
        <v>12</v>
      </c>
    </row>
    <row r="4904" spans="1:8" x14ac:dyDescent="0.25">
      <c r="A4904" s="1">
        <v>45667.25</v>
      </c>
      <c r="B4904" t="s">
        <v>30</v>
      </c>
      <c r="C4904">
        <v>311.24</v>
      </c>
      <c r="D4904">
        <v>23.99</v>
      </c>
      <c r="E4904" t="s">
        <v>9</v>
      </c>
      <c r="F4904">
        <v>58.04</v>
      </c>
      <c r="G4904" t="s">
        <v>16</v>
      </c>
      <c r="H4904" t="s">
        <v>12</v>
      </c>
    </row>
    <row r="4905" spans="1:8" x14ac:dyDescent="0.25">
      <c r="A4905" s="1">
        <v>45667.291666666664</v>
      </c>
      <c r="B4905" t="s">
        <v>30</v>
      </c>
      <c r="C4905">
        <v>383.67</v>
      </c>
      <c r="D4905">
        <v>62.67</v>
      </c>
      <c r="E4905" t="s">
        <v>9</v>
      </c>
      <c r="F4905">
        <v>36.71</v>
      </c>
      <c r="G4905" t="s">
        <v>16</v>
      </c>
      <c r="H4905" t="s">
        <v>11</v>
      </c>
    </row>
    <row r="4906" spans="1:8" x14ac:dyDescent="0.25">
      <c r="A4906" s="1">
        <v>45667.333333333336</v>
      </c>
      <c r="B4906" t="s">
        <v>30</v>
      </c>
      <c r="C4906">
        <v>85.78</v>
      </c>
      <c r="D4906">
        <v>15.62</v>
      </c>
      <c r="E4906" t="s">
        <v>9</v>
      </c>
      <c r="F4906">
        <v>76.180000000000007</v>
      </c>
      <c r="G4906" t="s">
        <v>16</v>
      </c>
      <c r="H4906" t="s">
        <v>12</v>
      </c>
    </row>
    <row r="4907" spans="1:8" x14ac:dyDescent="0.25">
      <c r="A4907" s="1">
        <v>45667.375</v>
      </c>
      <c r="B4907" t="s">
        <v>30</v>
      </c>
      <c r="C4907">
        <v>337.86</v>
      </c>
      <c r="D4907">
        <v>14.23</v>
      </c>
      <c r="E4907" t="s">
        <v>9</v>
      </c>
      <c r="F4907">
        <v>45.19</v>
      </c>
      <c r="G4907" t="s">
        <v>16</v>
      </c>
      <c r="H4907" t="s">
        <v>13</v>
      </c>
    </row>
    <row r="4908" spans="1:8" x14ac:dyDescent="0.25">
      <c r="A4908" s="1">
        <v>45667.416666666664</v>
      </c>
      <c r="B4908" t="s">
        <v>30</v>
      </c>
      <c r="C4908">
        <v>198.96</v>
      </c>
      <c r="D4908">
        <v>63.27</v>
      </c>
      <c r="E4908" t="s">
        <v>9</v>
      </c>
      <c r="F4908">
        <v>43.54</v>
      </c>
      <c r="G4908" t="s">
        <v>16</v>
      </c>
      <c r="H4908" t="s">
        <v>12</v>
      </c>
    </row>
    <row r="4909" spans="1:8" x14ac:dyDescent="0.25">
      <c r="A4909" s="1">
        <v>45667.458333333336</v>
      </c>
      <c r="B4909" t="s">
        <v>30</v>
      </c>
      <c r="C4909">
        <v>485.94</v>
      </c>
      <c r="D4909">
        <v>68.16</v>
      </c>
      <c r="E4909" t="s">
        <v>9</v>
      </c>
      <c r="F4909">
        <v>55.56</v>
      </c>
      <c r="G4909" t="s">
        <v>16</v>
      </c>
      <c r="H4909" t="s">
        <v>12</v>
      </c>
    </row>
    <row r="4910" spans="1:8" x14ac:dyDescent="0.25">
      <c r="A4910" s="1">
        <v>45667.5</v>
      </c>
      <c r="B4910" t="s">
        <v>30</v>
      </c>
      <c r="C4910">
        <v>434.67</v>
      </c>
      <c r="D4910">
        <v>85.12</v>
      </c>
      <c r="E4910" t="s">
        <v>14</v>
      </c>
      <c r="F4910">
        <v>69.66</v>
      </c>
      <c r="G4910" t="s">
        <v>16</v>
      </c>
      <c r="H4910" t="s">
        <v>12</v>
      </c>
    </row>
    <row r="4911" spans="1:8" x14ac:dyDescent="0.25">
      <c r="A4911" s="1">
        <v>45667.541666666664</v>
      </c>
      <c r="B4911" t="s">
        <v>30</v>
      </c>
      <c r="C4911">
        <v>75.010000000000005</v>
      </c>
      <c r="D4911">
        <v>72.069999999999993</v>
      </c>
      <c r="E4911" t="s">
        <v>9</v>
      </c>
      <c r="F4911">
        <v>35.99</v>
      </c>
      <c r="G4911" t="s">
        <v>16</v>
      </c>
      <c r="H4911" t="s">
        <v>11</v>
      </c>
    </row>
    <row r="4912" spans="1:8" x14ac:dyDescent="0.25">
      <c r="A4912" s="1">
        <v>45667.583333333336</v>
      </c>
      <c r="B4912" t="s">
        <v>30</v>
      </c>
      <c r="C4912">
        <v>382.48</v>
      </c>
      <c r="D4912">
        <v>58.39</v>
      </c>
      <c r="E4912" t="s">
        <v>9</v>
      </c>
      <c r="F4912">
        <v>35.76</v>
      </c>
      <c r="G4912" t="s">
        <v>16</v>
      </c>
      <c r="H4912" t="s">
        <v>11</v>
      </c>
    </row>
    <row r="4913" spans="1:8" x14ac:dyDescent="0.25">
      <c r="A4913" s="1">
        <v>45667.625</v>
      </c>
      <c r="B4913" t="s">
        <v>30</v>
      </c>
      <c r="C4913">
        <v>344.94</v>
      </c>
      <c r="D4913">
        <v>59</v>
      </c>
      <c r="E4913" t="s">
        <v>9</v>
      </c>
      <c r="F4913">
        <v>47.57</v>
      </c>
      <c r="G4913" t="s">
        <v>16</v>
      </c>
      <c r="H4913" t="s">
        <v>11</v>
      </c>
    </row>
    <row r="4914" spans="1:8" x14ac:dyDescent="0.25">
      <c r="A4914" s="1">
        <v>45667.666666666664</v>
      </c>
      <c r="B4914" t="s">
        <v>30</v>
      </c>
      <c r="C4914">
        <v>234.57</v>
      </c>
      <c r="D4914">
        <v>25.77</v>
      </c>
      <c r="E4914" t="s">
        <v>9</v>
      </c>
      <c r="F4914">
        <v>71.38</v>
      </c>
      <c r="G4914" t="s">
        <v>16</v>
      </c>
      <c r="H4914" t="s">
        <v>11</v>
      </c>
    </row>
    <row r="4915" spans="1:8" x14ac:dyDescent="0.25">
      <c r="A4915" s="1">
        <v>45667.708333333336</v>
      </c>
      <c r="B4915" t="s">
        <v>30</v>
      </c>
      <c r="C4915">
        <v>125.99</v>
      </c>
      <c r="D4915">
        <v>74.39</v>
      </c>
      <c r="E4915" t="s">
        <v>9</v>
      </c>
      <c r="F4915">
        <v>79.400000000000006</v>
      </c>
      <c r="G4915" t="s">
        <v>16</v>
      </c>
      <c r="H4915" t="s">
        <v>12</v>
      </c>
    </row>
    <row r="4916" spans="1:8" x14ac:dyDescent="0.25">
      <c r="A4916" s="1">
        <v>45667.75</v>
      </c>
      <c r="B4916" t="s">
        <v>30</v>
      </c>
      <c r="C4916">
        <v>333.95</v>
      </c>
      <c r="D4916">
        <v>47.88</v>
      </c>
      <c r="E4916" t="s">
        <v>9</v>
      </c>
      <c r="F4916">
        <v>53.78</v>
      </c>
      <c r="G4916" t="s">
        <v>16</v>
      </c>
      <c r="H4916" t="s">
        <v>13</v>
      </c>
    </row>
    <row r="4917" spans="1:8" x14ac:dyDescent="0.25">
      <c r="A4917" s="1">
        <v>45667.791666666664</v>
      </c>
      <c r="B4917" t="s">
        <v>30</v>
      </c>
      <c r="C4917">
        <v>107.7</v>
      </c>
      <c r="D4917">
        <v>22.06</v>
      </c>
      <c r="E4917" t="s">
        <v>9</v>
      </c>
      <c r="F4917">
        <v>79.02</v>
      </c>
      <c r="G4917" t="s">
        <v>16</v>
      </c>
      <c r="H4917" t="s">
        <v>11</v>
      </c>
    </row>
    <row r="4918" spans="1:8" x14ac:dyDescent="0.25">
      <c r="A4918" s="1">
        <v>45667.833333333336</v>
      </c>
      <c r="B4918" t="s">
        <v>30</v>
      </c>
      <c r="C4918">
        <v>480.06</v>
      </c>
      <c r="D4918">
        <v>47.41</v>
      </c>
      <c r="E4918" t="s">
        <v>9</v>
      </c>
      <c r="F4918">
        <v>79.239999999999995</v>
      </c>
      <c r="G4918" t="s">
        <v>16</v>
      </c>
      <c r="H4918" t="s">
        <v>13</v>
      </c>
    </row>
    <row r="4919" spans="1:8" x14ac:dyDescent="0.25">
      <c r="A4919" s="1">
        <v>45667.875</v>
      </c>
      <c r="B4919" t="s">
        <v>30</v>
      </c>
      <c r="C4919">
        <v>227.66</v>
      </c>
      <c r="D4919">
        <v>55.99</v>
      </c>
      <c r="E4919" t="s">
        <v>9</v>
      </c>
      <c r="F4919">
        <v>56.39</v>
      </c>
      <c r="G4919" t="s">
        <v>16</v>
      </c>
      <c r="H4919" t="s">
        <v>12</v>
      </c>
    </row>
    <row r="4920" spans="1:8" x14ac:dyDescent="0.25">
      <c r="A4920" s="1">
        <v>45667.916666666664</v>
      </c>
      <c r="B4920" t="s">
        <v>30</v>
      </c>
      <c r="C4920">
        <v>377.21</v>
      </c>
      <c r="D4920">
        <v>76.77</v>
      </c>
      <c r="E4920" t="s">
        <v>9</v>
      </c>
      <c r="F4920">
        <v>68.94</v>
      </c>
      <c r="G4920" t="s">
        <v>16</v>
      </c>
      <c r="H4920" t="s">
        <v>11</v>
      </c>
    </row>
    <row r="4921" spans="1:8" x14ac:dyDescent="0.25">
      <c r="A4921" s="1">
        <v>45667.958333333336</v>
      </c>
      <c r="B4921" t="s">
        <v>30</v>
      </c>
      <c r="C4921">
        <v>211.3</v>
      </c>
      <c r="D4921">
        <v>32.880000000000003</v>
      </c>
      <c r="E4921" t="s">
        <v>9</v>
      </c>
      <c r="F4921">
        <v>48.95</v>
      </c>
      <c r="G4921" t="s">
        <v>16</v>
      </c>
      <c r="H4921" t="s">
        <v>12</v>
      </c>
    </row>
    <row r="4922" spans="1:8" x14ac:dyDescent="0.25">
      <c r="A4922" s="1">
        <v>45668</v>
      </c>
      <c r="B4922" t="s">
        <v>30</v>
      </c>
      <c r="C4922">
        <v>486.65</v>
      </c>
      <c r="D4922">
        <v>65.98</v>
      </c>
      <c r="E4922" t="s">
        <v>9</v>
      </c>
      <c r="F4922">
        <v>39.28</v>
      </c>
      <c r="G4922" t="s">
        <v>16</v>
      </c>
      <c r="H4922" t="s">
        <v>11</v>
      </c>
    </row>
    <row r="4923" spans="1:8" x14ac:dyDescent="0.25">
      <c r="A4923" s="1">
        <v>45668.041666666664</v>
      </c>
      <c r="B4923" t="s">
        <v>30</v>
      </c>
      <c r="C4923">
        <v>178.98</v>
      </c>
      <c r="D4923">
        <v>21.72</v>
      </c>
      <c r="E4923" t="s">
        <v>9</v>
      </c>
      <c r="F4923">
        <v>83.51</v>
      </c>
      <c r="G4923" t="s">
        <v>16</v>
      </c>
      <c r="H4923" t="s">
        <v>11</v>
      </c>
    </row>
    <row r="4924" spans="1:8" x14ac:dyDescent="0.25">
      <c r="A4924" s="1">
        <v>45668.083333333336</v>
      </c>
      <c r="B4924" t="s">
        <v>30</v>
      </c>
      <c r="C4924">
        <v>50.74</v>
      </c>
      <c r="D4924">
        <v>80.98</v>
      </c>
      <c r="E4924" t="s">
        <v>9</v>
      </c>
      <c r="F4924">
        <v>89.81</v>
      </c>
      <c r="G4924" t="s">
        <v>16</v>
      </c>
      <c r="H4924" t="s">
        <v>11</v>
      </c>
    </row>
    <row r="4925" spans="1:8" x14ac:dyDescent="0.25">
      <c r="A4925" s="1">
        <v>45668.125</v>
      </c>
      <c r="B4925" t="s">
        <v>30</v>
      </c>
      <c r="C4925">
        <v>301.14999999999998</v>
      </c>
      <c r="D4925">
        <v>82.26</v>
      </c>
      <c r="E4925" t="s">
        <v>9</v>
      </c>
      <c r="F4925">
        <v>41</v>
      </c>
      <c r="G4925" t="s">
        <v>16</v>
      </c>
      <c r="H4925" t="s">
        <v>11</v>
      </c>
    </row>
    <row r="4926" spans="1:8" x14ac:dyDescent="0.25">
      <c r="A4926" s="1">
        <v>45668.166666666664</v>
      </c>
      <c r="B4926" t="s">
        <v>30</v>
      </c>
      <c r="C4926">
        <v>413.87</v>
      </c>
      <c r="D4926">
        <v>59.92</v>
      </c>
      <c r="E4926" t="s">
        <v>9</v>
      </c>
      <c r="F4926">
        <v>44.21</v>
      </c>
      <c r="G4926" t="s">
        <v>16</v>
      </c>
      <c r="H4926" t="s">
        <v>12</v>
      </c>
    </row>
    <row r="4927" spans="1:8" x14ac:dyDescent="0.25">
      <c r="A4927" s="1">
        <v>45668.208333333336</v>
      </c>
      <c r="B4927" t="s">
        <v>30</v>
      </c>
      <c r="C4927">
        <v>225.67</v>
      </c>
      <c r="D4927">
        <v>51.28</v>
      </c>
      <c r="E4927" t="s">
        <v>9</v>
      </c>
      <c r="F4927">
        <v>34.950000000000003</v>
      </c>
      <c r="G4927" t="s">
        <v>16</v>
      </c>
      <c r="H4927" t="s">
        <v>12</v>
      </c>
    </row>
    <row r="4928" spans="1:8" x14ac:dyDescent="0.25">
      <c r="A4928" s="1">
        <v>45668.25</v>
      </c>
      <c r="B4928" t="s">
        <v>30</v>
      </c>
      <c r="C4928">
        <v>497.13</v>
      </c>
      <c r="D4928">
        <v>28.85</v>
      </c>
      <c r="E4928" t="s">
        <v>9</v>
      </c>
      <c r="F4928">
        <v>72.64</v>
      </c>
      <c r="G4928" t="s">
        <v>16</v>
      </c>
      <c r="H4928" t="s">
        <v>11</v>
      </c>
    </row>
    <row r="4929" spans="1:8" x14ac:dyDescent="0.25">
      <c r="A4929" s="1">
        <v>45668.291666666664</v>
      </c>
      <c r="B4929" t="s">
        <v>30</v>
      </c>
      <c r="C4929">
        <v>280.52999999999997</v>
      </c>
      <c r="D4929">
        <v>85.89</v>
      </c>
      <c r="E4929" t="s">
        <v>14</v>
      </c>
      <c r="F4929">
        <v>89.35</v>
      </c>
      <c r="G4929" t="s">
        <v>16</v>
      </c>
      <c r="H4929" t="s">
        <v>13</v>
      </c>
    </row>
    <row r="4930" spans="1:8" x14ac:dyDescent="0.25">
      <c r="A4930" s="1">
        <v>45668.333333333336</v>
      </c>
      <c r="B4930" t="s">
        <v>30</v>
      </c>
      <c r="C4930">
        <v>313.20999999999998</v>
      </c>
      <c r="D4930">
        <v>20.98</v>
      </c>
      <c r="E4930" t="s">
        <v>9</v>
      </c>
      <c r="F4930">
        <v>80.92</v>
      </c>
      <c r="G4930" t="s">
        <v>16</v>
      </c>
      <c r="H4930" t="s">
        <v>12</v>
      </c>
    </row>
    <row r="4931" spans="1:8" x14ac:dyDescent="0.25">
      <c r="A4931" s="1">
        <v>45668.375</v>
      </c>
      <c r="B4931" t="s">
        <v>30</v>
      </c>
      <c r="C4931">
        <v>342.07</v>
      </c>
      <c r="D4931">
        <v>94.37</v>
      </c>
      <c r="E4931" t="s">
        <v>14</v>
      </c>
      <c r="F4931">
        <v>68.81</v>
      </c>
      <c r="G4931" t="s">
        <v>16</v>
      </c>
      <c r="H4931" t="s">
        <v>12</v>
      </c>
    </row>
    <row r="4932" spans="1:8" x14ac:dyDescent="0.25">
      <c r="A4932" s="1">
        <v>45668.416666666664</v>
      </c>
      <c r="B4932" t="s">
        <v>30</v>
      </c>
      <c r="C4932">
        <v>85</v>
      </c>
      <c r="D4932">
        <v>23.79</v>
      </c>
      <c r="E4932" t="s">
        <v>9</v>
      </c>
      <c r="F4932">
        <v>89.26</v>
      </c>
      <c r="G4932" t="s">
        <v>16</v>
      </c>
      <c r="H4932" t="s">
        <v>11</v>
      </c>
    </row>
    <row r="4933" spans="1:8" x14ac:dyDescent="0.25">
      <c r="A4933" s="1">
        <v>45668.458333333336</v>
      </c>
      <c r="B4933" t="s">
        <v>30</v>
      </c>
      <c r="C4933">
        <v>157.19999999999999</v>
      </c>
      <c r="D4933">
        <v>76.33</v>
      </c>
      <c r="E4933" t="s">
        <v>9</v>
      </c>
      <c r="F4933">
        <v>45.86</v>
      </c>
      <c r="G4933" t="s">
        <v>16</v>
      </c>
      <c r="H4933" t="s">
        <v>13</v>
      </c>
    </row>
    <row r="4934" spans="1:8" x14ac:dyDescent="0.25">
      <c r="A4934" s="1">
        <v>45668.5</v>
      </c>
      <c r="B4934" t="s">
        <v>30</v>
      </c>
      <c r="C4934">
        <v>426.78</v>
      </c>
      <c r="D4934">
        <v>77.52</v>
      </c>
      <c r="E4934" t="s">
        <v>9</v>
      </c>
      <c r="F4934">
        <v>46.44</v>
      </c>
      <c r="G4934" t="s">
        <v>16</v>
      </c>
      <c r="H4934" t="s">
        <v>11</v>
      </c>
    </row>
    <row r="4935" spans="1:8" x14ac:dyDescent="0.25">
      <c r="A4935" s="1">
        <v>45668.541666666664</v>
      </c>
      <c r="B4935" t="s">
        <v>30</v>
      </c>
      <c r="C4935">
        <v>290.98</v>
      </c>
      <c r="D4935">
        <v>74.569999999999993</v>
      </c>
      <c r="E4935" t="s">
        <v>9</v>
      </c>
      <c r="F4935">
        <v>83.75</v>
      </c>
      <c r="G4935" t="s">
        <v>16</v>
      </c>
      <c r="H4935" t="s">
        <v>13</v>
      </c>
    </row>
    <row r="4936" spans="1:8" x14ac:dyDescent="0.25">
      <c r="A4936" s="1">
        <v>45668.583333333336</v>
      </c>
      <c r="B4936" t="s">
        <v>30</v>
      </c>
      <c r="C4936">
        <v>253.61</v>
      </c>
      <c r="D4936">
        <v>55.38</v>
      </c>
      <c r="E4936" t="s">
        <v>9</v>
      </c>
      <c r="F4936">
        <v>61.9</v>
      </c>
      <c r="G4936" t="s">
        <v>16</v>
      </c>
      <c r="H4936" t="s">
        <v>11</v>
      </c>
    </row>
    <row r="4937" spans="1:8" x14ac:dyDescent="0.25">
      <c r="A4937" s="1">
        <v>45668.625</v>
      </c>
      <c r="B4937" t="s">
        <v>30</v>
      </c>
      <c r="C4937">
        <v>454.43</v>
      </c>
      <c r="D4937">
        <v>14.16</v>
      </c>
      <c r="E4937" t="s">
        <v>9</v>
      </c>
      <c r="F4937">
        <v>74.319999999999993</v>
      </c>
      <c r="G4937" t="s">
        <v>16</v>
      </c>
      <c r="H4937" t="s">
        <v>12</v>
      </c>
    </row>
    <row r="4938" spans="1:8" x14ac:dyDescent="0.25">
      <c r="A4938" s="1">
        <v>45668.666666666664</v>
      </c>
      <c r="B4938" t="s">
        <v>30</v>
      </c>
      <c r="C4938">
        <v>408.79</v>
      </c>
      <c r="D4938">
        <v>39.869999999999997</v>
      </c>
      <c r="E4938" t="s">
        <v>9</v>
      </c>
      <c r="F4938">
        <v>68.72</v>
      </c>
      <c r="G4938" t="s">
        <v>16</v>
      </c>
      <c r="H4938" t="s">
        <v>13</v>
      </c>
    </row>
    <row r="4939" spans="1:8" x14ac:dyDescent="0.25">
      <c r="A4939" s="1">
        <v>45668.708333333336</v>
      </c>
      <c r="B4939" t="s">
        <v>30</v>
      </c>
      <c r="C4939">
        <v>487.74</v>
      </c>
      <c r="D4939">
        <v>74.260000000000005</v>
      </c>
      <c r="E4939" t="s">
        <v>9</v>
      </c>
      <c r="F4939">
        <v>34.04</v>
      </c>
      <c r="G4939" t="s">
        <v>16</v>
      </c>
      <c r="H4939" t="s">
        <v>13</v>
      </c>
    </row>
    <row r="4940" spans="1:8" x14ac:dyDescent="0.25">
      <c r="A4940" s="1">
        <v>45668.75</v>
      </c>
      <c r="B4940" t="s">
        <v>30</v>
      </c>
      <c r="C4940">
        <v>419.65</v>
      </c>
      <c r="D4940">
        <v>41.13</v>
      </c>
      <c r="E4940" t="s">
        <v>9</v>
      </c>
      <c r="F4940">
        <v>72.36</v>
      </c>
      <c r="G4940" t="s">
        <v>16</v>
      </c>
      <c r="H4940" t="s">
        <v>11</v>
      </c>
    </row>
    <row r="4941" spans="1:8" x14ac:dyDescent="0.25">
      <c r="A4941" s="1">
        <v>45668.791666666664</v>
      </c>
      <c r="B4941" t="s">
        <v>30</v>
      </c>
      <c r="C4941">
        <v>270.45</v>
      </c>
      <c r="D4941">
        <v>59.49</v>
      </c>
      <c r="E4941" t="s">
        <v>9</v>
      </c>
      <c r="F4941">
        <v>54.94</v>
      </c>
      <c r="G4941" t="s">
        <v>16</v>
      </c>
      <c r="H4941" t="s">
        <v>11</v>
      </c>
    </row>
    <row r="4942" spans="1:8" x14ac:dyDescent="0.25">
      <c r="A4942" s="1">
        <v>45668.833333333336</v>
      </c>
      <c r="B4942" t="s">
        <v>30</v>
      </c>
      <c r="C4942">
        <v>71.94</v>
      </c>
      <c r="D4942">
        <v>51.48</v>
      </c>
      <c r="E4942" t="s">
        <v>9</v>
      </c>
      <c r="F4942">
        <v>41.2</v>
      </c>
      <c r="G4942" t="s">
        <v>16</v>
      </c>
      <c r="H4942" t="s">
        <v>12</v>
      </c>
    </row>
    <row r="4943" spans="1:8" x14ac:dyDescent="0.25">
      <c r="A4943" s="1">
        <v>45668.875</v>
      </c>
      <c r="B4943" t="s">
        <v>30</v>
      </c>
      <c r="C4943">
        <v>451.57</v>
      </c>
      <c r="D4943">
        <v>18.18</v>
      </c>
      <c r="E4943" t="s">
        <v>9</v>
      </c>
      <c r="F4943">
        <v>61.63</v>
      </c>
      <c r="G4943" t="s">
        <v>16</v>
      </c>
      <c r="H4943" t="s">
        <v>11</v>
      </c>
    </row>
    <row r="4944" spans="1:8" x14ac:dyDescent="0.25">
      <c r="A4944" s="1">
        <v>45668.916666666664</v>
      </c>
      <c r="B4944" t="s">
        <v>30</v>
      </c>
      <c r="C4944">
        <v>366.12</v>
      </c>
      <c r="D4944">
        <v>73.8</v>
      </c>
      <c r="E4944" t="s">
        <v>9</v>
      </c>
      <c r="F4944">
        <v>69.459999999999994</v>
      </c>
      <c r="G4944" t="s">
        <v>16</v>
      </c>
      <c r="H4944" t="s">
        <v>13</v>
      </c>
    </row>
    <row r="4945" spans="1:8" x14ac:dyDescent="0.25">
      <c r="A4945" s="1">
        <v>45668.958333333336</v>
      </c>
      <c r="B4945" t="s">
        <v>30</v>
      </c>
      <c r="C4945">
        <v>391.35</v>
      </c>
      <c r="D4945">
        <v>19.22</v>
      </c>
      <c r="E4945" t="s">
        <v>9</v>
      </c>
      <c r="F4945">
        <v>55.01</v>
      </c>
      <c r="G4945" t="s">
        <v>16</v>
      </c>
      <c r="H4945" t="s">
        <v>13</v>
      </c>
    </row>
    <row r="4946" spans="1:8" x14ac:dyDescent="0.25">
      <c r="A4946" s="1">
        <v>45669</v>
      </c>
      <c r="B4946" t="s">
        <v>30</v>
      </c>
      <c r="C4946">
        <v>110.03</v>
      </c>
      <c r="D4946">
        <v>40.39</v>
      </c>
      <c r="E4946" t="s">
        <v>9</v>
      </c>
      <c r="F4946">
        <v>33.869999999999997</v>
      </c>
      <c r="G4946" t="s">
        <v>16</v>
      </c>
      <c r="H4946" t="s">
        <v>12</v>
      </c>
    </row>
    <row r="4947" spans="1:8" x14ac:dyDescent="0.25">
      <c r="A4947" s="1">
        <v>45669.041666666664</v>
      </c>
      <c r="B4947" t="s">
        <v>30</v>
      </c>
      <c r="C4947">
        <v>58.62</v>
      </c>
      <c r="D4947">
        <v>88.99</v>
      </c>
      <c r="E4947" t="s">
        <v>14</v>
      </c>
      <c r="F4947">
        <v>76.430000000000007</v>
      </c>
      <c r="G4947" t="s">
        <v>16</v>
      </c>
      <c r="H4947" t="s">
        <v>11</v>
      </c>
    </row>
    <row r="4948" spans="1:8" x14ac:dyDescent="0.25">
      <c r="A4948" s="1">
        <v>45669.083333333336</v>
      </c>
      <c r="B4948" t="s">
        <v>30</v>
      </c>
      <c r="C4948">
        <v>430.52</v>
      </c>
      <c r="D4948">
        <v>83.26</v>
      </c>
      <c r="E4948" t="s">
        <v>9</v>
      </c>
      <c r="F4948">
        <v>64.63</v>
      </c>
      <c r="G4948" t="s">
        <v>16</v>
      </c>
      <c r="H4948" t="s">
        <v>12</v>
      </c>
    </row>
    <row r="4949" spans="1:8" x14ac:dyDescent="0.25">
      <c r="A4949" s="1">
        <v>45669.125</v>
      </c>
      <c r="B4949" t="s">
        <v>30</v>
      </c>
      <c r="C4949">
        <v>395.88</v>
      </c>
      <c r="D4949">
        <v>65.05</v>
      </c>
      <c r="E4949" t="s">
        <v>9</v>
      </c>
      <c r="F4949">
        <v>36.090000000000003</v>
      </c>
      <c r="G4949" t="s">
        <v>16</v>
      </c>
      <c r="H4949" t="s">
        <v>11</v>
      </c>
    </row>
    <row r="4950" spans="1:8" x14ac:dyDescent="0.25">
      <c r="A4950" s="1">
        <v>45669.166666666664</v>
      </c>
      <c r="B4950" t="s">
        <v>30</v>
      </c>
      <c r="C4950">
        <v>75.3</v>
      </c>
      <c r="D4950">
        <v>90.79</v>
      </c>
      <c r="E4950" t="s">
        <v>14</v>
      </c>
      <c r="F4950">
        <v>30.23</v>
      </c>
      <c r="G4950" t="s">
        <v>16</v>
      </c>
      <c r="H4950" t="s">
        <v>13</v>
      </c>
    </row>
    <row r="4951" spans="1:8" x14ac:dyDescent="0.25">
      <c r="A4951" s="1">
        <v>45669.208333333336</v>
      </c>
      <c r="B4951" t="s">
        <v>30</v>
      </c>
      <c r="C4951">
        <v>377.98</v>
      </c>
      <c r="D4951">
        <v>40.6</v>
      </c>
      <c r="E4951" t="s">
        <v>9</v>
      </c>
      <c r="F4951">
        <v>71.87</v>
      </c>
      <c r="G4951" t="s">
        <v>16</v>
      </c>
      <c r="H4951" t="s">
        <v>13</v>
      </c>
    </row>
    <row r="4952" spans="1:8" x14ac:dyDescent="0.25">
      <c r="A4952" s="1">
        <v>45669.25</v>
      </c>
      <c r="B4952" t="s">
        <v>30</v>
      </c>
      <c r="C4952">
        <v>160.41</v>
      </c>
      <c r="D4952">
        <v>76.44</v>
      </c>
      <c r="E4952" t="s">
        <v>9</v>
      </c>
      <c r="F4952">
        <v>78.260000000000005</v>
      </c>
      <c r="G4952" t="s">
        <v>16</v>
      </c>
      <c r="H4952" t="s">
        <v>12</v>
      </c>
    </row>
    <row r="4953" spans="1:8" x14ac:dyDescent="0.25">
      <c r="A4953" s="1">
        <v>45669.291666666664</v>
      </c>
      <c r="B4953" t="s">
        <v>30</v>
      </c>
      <c r="C4953">
        <v>62.57</v>
      </c>
      <c r="D4953">
        <v>35.67</v>
      </c>
      <c r="E4953" t="s">
        <v>9</v>
      </c>
      <c r="F4953">
        <v>37.950000000000003</v>
      </c>
      <c r="G4953" t="s">
        <v>16</v>
      </c>
      <c r="H4953" t="s">
        <v>12</v>
      </c>
    </row>
    <row r="4954" spans="1:8" x14ac:dyDescent="0.25">
      <c r="A4954" s="1">
        <v>45669.333333333336</v>
      </c>
      <c r="B4954" t="s">
        <v>30</v>
      </c>
      <c r="C4954">
        <v>376.7</v>
      </c>
      <c r="D4954">
        <v>44.78</v>
      </c>
      <c r="E4954" t="s">
        <v>9</v>
      </c>
      <c r="F4954">
        <v>83.06</v>
      </c>
      <c r="G4954" t="s">
        <v>16</v>
      </c>
      <c r="H4954" t="s">
        <v>13</v>
      </c>
    </row>
    <row r="4955" spans="1:8" x14ac:dyDescent="0.25">
      <c r="A4955" s="1">
        <v>45669.375</v>
      </c>
      <c r="B4955" t="s">
        <v>30</v>
      </c>
      <c r="C4955">
        <v>253.95</v>
      </c>
      <c r="D4955">
        <v>65.77</v>
      </c>
      <c r="E4955" t="s">
        <v>9</v>
      </c>
      <c r="F4955">
        <v>82.65</v>
      </c>
      <c r="G4955" t="s">
        <v>16</v>
      </c>
      <c r="H4955" t="s">
        <v>12</v>
      </c>
    </row>
    <row r="4956" spans="1:8" x14ac:dyDescent="0.25">
      <c r="A4956" s="1">
        <v>45669.416666666664</v>
      </c>
      <c r="B4956" t="s">
        <v>30</v>
      </c>
      <c r="C4956">
        <v>194.09</v>
      </c>
      <c r="D4956">
        <v>86.67</v>
      </c>
      <c r="E4956" t="s">
        <v>14</v>
      </c>
      <c r="F4956">
        <v>88.46</v>
      </c>
      <c r="G4956" t="s">
        <v>16</v>
      </c>
      <c r="H4956" t="s">
        <v>11</v>
      </c>
    </row>
    <row r="4957" spans="1:8" x14ac:dyDescent="0.25">
      <c r="A4957" s="1">
        <v>45669.458333333336</v>
      </c>
      <c r="B4957" t="s">
        <v>30</v>
      </c>
      <c r="C4957">
        <v>85.74</v>
      </c>
      <c r="D4957">
        <v>50.05</v>
      </c>
      <c r="E4957" t="s">
        <v>9</v>
      </c>
      <c r="F4957">
        <v>77.11</v>
      </c>
      <c r="G4957" t="s">
        <v>16</v>
      </c>
      <c r="H4957" t="s">
        <v>12</v>
      </c>
    </row>
    <row r="4958" spans="1:8" x14ac:dyDescent="0.25">
      <c r="A4958" s="1">
        <v>45669.5</v>
      </c>
      <c r="B4958" t="s">
        <v>30</v>
      </c>
      <c r="C4958">
        <v>186.76</v>
      </c>
      <c r="D4958">
        <v>78.64</v>
      </c>
      <c r="E4958" t="s">
        <v>9</v>
      </c>
      <c r="F4958">
        <v>88.26</v>
      </c>
      <c r="G4958" t="s">
        <v>16</v>
      </c>
      <c r="H4958" t="s">
        <v>11</v>
      </c>
    </row>
    <row r="4959" spans="1:8" x14ac:dyDescent="0.25">
      <c r="A4959" s="1">
        <v>45669.541666666664</v>
      </c>
      <c r="B4959" t="s">
        <v>30</v>
      </c>
      <c r="C4959">
        <v>178.91</v>
      </c>
      <c r="D4959">
        <v>36.590000000000003</v>
      </c>
      <c r="E4959" t="s">
        <v>9</v>
      </c>
      <c r="F4959">
        <v>56.43</v>
      </c>
      <c r="G4959" t="s">
        <v>16</v>
      </c>
      <c r="H4959" t="s">
        <v>12</v>
      </c>
    </row>
    <row r="4960" spans="1:8" x14ac:dyDescent="0.25">
      <c r="A4960" s="1">
        <v>45669.583333333336</v>
      </c>
      <c r="B4960" t="s">
        <v>30</v>
      </c>
      <c r="C4960">
        <v>370.56</v>
      </c>
      <c r="D4960">
        <v>73.27</v>
      </c>
      <c r="E4960" t="s">
        <v>9</v>
      </c>
      <c r="F4960">
        <v>56.35</v>
      </c>
      <c r="G4960" t="s">
        <v>16</v>
      </c>
      <c r="H4960" t="s">
        <v>11</v>
      </c>
    </row>
    <row r="4961" spans="1:8" x14ac:dyDescent="0.25">
      <c r="A4961" s="1">
        <v>45669.625</v>
      </c>
      <c r="B4961" t="s">
        <v>30</v>
      </c>
      <c r="C4961">
        <v>243.92</v>
      </c>
      <c r="D4961">
        <v>93.76</v>
      </c>
      <c r="E4961" t="s">
        <v>14</v>
      </c>
      <c r="F4961">
        <v>42.94</v>
      </c>
      <c r="G4961" t="s">
        <v>16</v>
      </c>
      <c r="H4961" t="s">
        <v>13</v>
      </c>
    </row>
    <row r="4962" spans="1:8" x14ac:dyDescent="0.25">
      <c r="A4962" s="1">
        <v>45669.666666666664</v>
      </c>
      <c r="B4962" t="s">
        <v>30</v>
      </c>
      <c r="C4962">
        <v>499.52</v>
      </c>
      <c r="D4962">
        <v>38.28</v>
      </c>
      <c r="E4962" t="s">
        <v>9</v>
      </c>
      <c r="F4962">
        <v>79.23</v>
      </c>
      <c r="G4962" t="s">
        <v>16</v>
      </c>
      <c r="H4962" t="s">
        <v>11</v>
      </c>
    </row>
    <row r="4963" spans="1:8" x14ac:dyDescent="0.25">
      <c r="A4963" s="1">
        <v>45669.708333333336</v>
      </c>
      <c r="B4963" t="s">
        <v>30</v>
      </c>
      <c r="C4963">
        <v>402.77</v>
      </c>
      <c r="D4963">
        <v>89.35</v>
      </c>
      <c r="E4963" t="s">
        <v>14</v>
      </c>
      <c r="F4963">
        <v>73.94</v>
      </c>
      <c r="G4963" t="s">
        <v>16</v>
      </c>
      <c r="H4963" t="s">
        <v>13</v>
      </c>
    </row>
    <row r="4964" spans="1:8" x14ac:dyDescent="0.25">
      <c r="A4964" s="1">
        <v>45669.75</v>
      </c>
      <c r="B4964" t="s">
        <v>30</v>
      </c>
      <c r="C4964">
        <v>80.23</v>
      </c>
      <c r="D4964">
        <v>30.6</v>
      </c>
      <c r="E4964" t="s">
        <v>9</v>
      </c>
      <c r="F4964">
        <v>88.46</v>
      </c>
      <c r="G4964" t="s">
        <v>16</v>
      </c>
      <c r="H4964" t="s">
        <v>11</v>
      </c>
    </row>
    <row r="4965" spans="1:8" x14ac:dyDescent="0.25">
      <c r="A4965" s="1">
        <v>45669.791666666664</v>
      </c>
      <c r="B4965" t="s">
        <v>30</v>
      </c>
      <c r="C4965">
        <v>377.36</v>
      </c>
      <c r="D4965">
        <v>53.8</v>
      </c>
      <c r="E4965" t="s">
        <v>9</v>
      </c>
      <c r="F4965">
        <v>34.020000000000003</v>
      </c>
      <c r="G4965" t="s">
        <v>16</v>
      </c>
      <c r="H4965" t="s">
        <v>13</v>
      </c>
    </row>
    <row r="4966" spans="1:8" x14ac:dyDescent="0.25">
      <c r="A4966" s="1">
        <v>45669.833333333336</v>
      </c>
      <c r="B4966" t="s">
        <v>30</v>
      </c>
      <c r="C4966">
        <v>216.11</v>
      </c>
      <c r="D4966">
        <v>54.41</v>
      </c>
      <c r="E4966" t="s">
        <v>9</v>
      </c>
      <c r="F4966">
        <v>42.69</v>
      </c>
      <c r="G4966" t="s">
        <v>16</v>
      </c>
      <c r="H4966" t="s">
        <v>12</v>
      </c>
    </row>
    <row r="4967" spans="1:8" x14ac:dyDescent="0.25">
      <c r="A4967" s="1">
        <v>45669.875</v>
      </c>
      <c r="B4967" t="s">
        <v>30</v>
      </c>
      <c r="C4967">
        <v>278.79000000000002</v>
      </c>
      <c r="D4967">
        <v>61.47</v>
      </c>
      <c r="E4967" t="s">
        <v>9</v>
      </c>
      <c r="F4967">
        <v>44.4</v>
      </c>
      <c r="G4967" t="s">
        <v>16</v>
      </c>
      <c r="H4967" t="s">
        <v>13</v>
      </c>
    </row>
    <row r="4968" spans="1:8" x14ac:dyDescent="0.25">
      <c r="A4968" s="1">
        <v>45669.916666666664</v>
      </c>
      <c r="B4968" t="s">
        <v>30</v>
      </c>
      <c r="C4968">
        <v>370.68</v>
      </c>
      <c r="D4968">
        <v>44.69</v>
      </c>
      <c r="E4968" t="s">
        <v>9</v>
      </c>
      <c r="F4968">
        <v>68.52</v>
      </c>
      <c r="G4968" t="s">
        <v>16</v>
      </c>
      <c r="H4968" t="s">
        <v>12</v>
      </c>
    </row>
    <row r="4969" spans="1:8" x14ac:dyDescent="0.25">
      <c r="A4969" s="1">
        <v>45669.958333333336</v>
      </c>
      <c r="B4969" t="s">
        <v>30</v>
      </c>
      <c r="C4969">
        <v>467.27</v>
      </c>
      <c r="D4969">
        <v>21.49</v>
      </c>
      <c r="E4969" t="s">
        <v>9</v>
      </c>
      <c r="F4969">
        <v>35.75</v>
      </c>
      <c r="G4969" t="s">
        <v>16</v>
      </c>
      <c r="H4969" t="s">
        <v>13</v>
      </c>
    </row>
    <row r="4970" spans="1:8" x14ac:dyDescent="0.25">
      <c r="A4970" s="1">
        <v>45670</v>
      </c>
      <c r="B4970" t="s">
        <v>30</v>
      </c>
      <c r="C4970">
        <v>314.64999999999998</v>
      </c>
      <c r="D4970">
        <v>48.49</v>
      </c>
      <c r="E4970" t="s">
        <v>9</v>
      </c>
      <c r="F4970">
        <v>49.59</v>
      </c>
      <c r="G4970" t="s">
        <v>16</v>
      </c>
      <c r="H4970" t="s">
        <v>11</v>
      </c>
    </row>
    <row r="4971" spans="1:8" x14ac:dyDescent="0.25">
      <c r="A4971" s="1">
        <v>45670.041666666664</v>
      </c>
      <c r="B4971" t="s">
        <v>30</v>
      </c>
      <c r="C4971">
        <v>467.52</v>
      </c>
      <c r="D4971">
        <v>83.53</v>
      </c>
      <c r="E4971" t="s">
        <v>9</v>
      </c>
      <c r="F4971">
        <v>47.7</v>
      </c>
      <c r="G4971" t="s">
        <v>16</v>
      </c>
      <c r="H4971" t="s">
        <v>13</v>
      </c>
    </row>
    <row r="4972" spans="1:8" x14ac:dyDescent="0.25">
      <c r="A4972" s="1">
        <v>45670.083333333336</v>
      </c>
      <c r="B4972" t="s">
        <v>30</v>
      </c>
      <c r="C4972">
        <v>462.69</v>
      </c>
      <c r="D4972">
        <v>22.84</v>
      </c>
      <c r="E4972" t="s">
        <v>9</v>
      </c>
      <c r="F4972">
        <v>44.29</v>
      </c>
      <c r="G4972" t="s">
        <v>16</v>
      </c>
      <c r="H4972" t="s">
        <v>12</v>
      </c>
    </row>
    <row r="4973" spans="1:8" x14ac:dyDescent="0.25">
      <c r="A4973" s="1">
        <v>45670.125</v>
      </c>
      <c r="B4973" t="s">
        <v>30</v>
      </c>
      <c r="C4973">
        <v>287.11</v>
      </c>
      <c r="D4973">
        <v>57.94</v>
      </c>
      <c r="E4973" t="s">
        <v>9</v>
      </c>
      <c r="F4973">
        <v>77.69</v>
      </c>
      <c r="G4973" t="s">
        <v>16</v>
      </c>
      <c r="H4973" t="s">
        <v>13</v>
      </c>
    </row>
    <row r="4974" spans="1:8" x14ac:dyDescent="0.25">
      <c r="A4974" s="1">
        <v>45670.166666666664</v>
      </c>
      <c r="B4974" t="s">
        <v>30</v>
      </c>
      <c r="C4974">
        <v>441.36</v>
      </c>
      <c r="D4974">
        <v>68.45</v>
      </c>
      <c r="E4974" t="s">
        <v>9</v>
      </c>
      <c r="F4974">
        <v>51.76</v>
      </c>
      <c r="G4974" t="s">
        <v>16</v>
      </c>
      <c r="H4974" t="s">
        <v>12</v>
      </c>
    </row>
    <row r="4975" spans="1:8" x14ac:dyDescent="0.25">
      <c r="A4975" s="1">
        <v>45670.208333333336</v>
      </c>
      <c r="B4975" t="s">
        <v>30</v>
      </c>
      <c r="C4975">
        <v>320.8</v>
      </c>
      <c r="D4975">
        <v>50.47</v>
      </c>
      <c r="E4975" t="s">
        <v>9</v>
      </c>
      <c r="F4975">
        <v>70.56</v>
      </c>
      <c r="G4975" t="s">
        <v>16</v>
      </c>
      <c r="H4975" t="s">
        <v>13</v>
      </c>
    </row>
    <row r="4976" spans="1:8" x14ac:dyDescent="0.25">
      <c r="A4976" s="1">
        <v>45670.25</v>
      </c>
      <c r="B4976" t="s">
        <v>30</v>
      </c>
      <c r="C4976">
        <v>492.15</v>
      </c>
      <c r="D4976">
        <v>50.43</v>
      </c>
      <c r="E4976" t="s">
        <v>9</v>
      </c>
      <c r="F4976">
        <v>80.84</v>
      </c>
      <c r="G4976" t="s">
        <v>16</v>
      </c>
      <c r="H4976" t="s">
        <v>13</v>
      </c>
    </row>
    <row r="4977" spans="1:8" x14ac:dyDescent="0.25">
      <c r="A4977" s="1">
        <v>45670.291666666664</v>
      </c>
      <c r="B4977" t="s">
        <v>30</v>
      </c>
      <c r="C4977">
        <v>217.32</v>
      </c>
      <c r="D4977">
        <v>27.36</v>
      </c>
      <c r="E4977" t="s">
        <v>9</v>
      </c>
      <c r="F4977">
        <v>42.55</v>
      </c>
      <c r="G4977" t="s">
        <v>16</v>
      </c>
      <c r="H4977" t="s">
        <v>13</v>
      </c>
    </row>
    <row r="4978" spans="1:8" x14ac:dyDescent="0.25">
      <c r="A4978" s="1">
        <v>45670.333333333336</v>
      </c>
      <c r="B4978" t="s">
        <v>30</v>
      </c>
      <c r="C4978">
        <v>279.85000000000002</v>
      </c>
      <c r="D4978">
        <v>32.72</v>
      </c>
      <c r="E4978" t="s">
        <v>9</v>
      </c>
      <c r="F4978">
        <v>54.17</v>
      </c>
      <c r="G4978" t="s">
        <v>16</v>
      </c>
      <c r="H4978" t="s">
        <v>12</v>
      </c>
    </row>
    <row r="4979" spans="1:8" x14ac:dyDescent="0.25">
      <c r="A4979" s="1">
        <v>45670.375</v>
      </c>
      <c r="B4979" t="s">
        <v>30</v>
      </c>
      <c r="C4979">
        <v>99.54</v>
      </c>
      <c r="D4979">
        <v>44.01</v>
      </c>
      <c r="E4979" t="s">
        <v>9</v>
      </c>
      <c r="F4979">
        <v>52.14</v>
      </c>
      <c r="G4979" t="s">
        <v>16</v>
      </c>
      <c r="H4979" t="s">
        <v>13</v>
      </c>
    </row>
    <row r="4980" spans="1:8" x14ac:dyDescent="0.25">
      <c r="A4980" s="1">
        <v>45670.416666666664</v>
      </c>
      <c r="B4980" t="s">
        <v>30</v>
      </c>
      <c r="C4980">
        <v>410.43</v>
      </c>
      <c r="D4980">
        <v>78.53</v>
      </c>
      <c r="E4980" t="s">
        <v>9</v>
      </c>
      <c r="F4980">
        <v>64.02</v>
      </c>
      <c r="G4980" t="s">
        <v>16</v>
      </c>
      <c r="H4980" t="s">
        <v>11</v>
      </c>
    </row>
    <row r="4981" spans="1:8" x14ac:dyDescent="0.25">
      <c r="A4981" s="1">
        <v>45670.458333333336</v>
      </c>
      <c r="B4981" t="s">
        <v>30</v>
      </c>
      <c r="C4981">
        <v>225.63</v>
      </c>
      <c r="D4981">
        <v>69.06</v>
      </c>
      <c r="E4981" t="s">
        <v>9</v>
      </c>
      <c r="F4981">
        <v>47.76</v>
      </c>
      <c r="G4981" t="s">
        <v>16</v>
      </c>
      <c r="H4981" t="s">
        <v>11</v>
      </c>
    </row>
    <row r="4982" spans="1:8" x14ac:dyDescent="0.25">
      <c r="A4982" s="1">
        <v>45670.5</v>
      </c>
      <c r="B4982" t="s">
        <v>30</v>
      </c>
      <c r="C4982">
        <v>472.09</v>
      </c>
      <c r="D4982">
        <v>37.04</v>
      </c>
      <c r="E4982" t="s">
        <v>9</v>
      </c>
      <c r="F4982">
        <v>57.53</v>
      </c>
      <c r="G4982" t="s">
        <v>16</v>
      </c>
      <c r="H4982" t="s">
        <v>12</v>
      </c>
    </row>
    <row r="4983" spans="1:8" x14ac:dyDescent="0.25">
      <c r="A4983" s="1">
        <v>45670.541666666664</v>
      </c>
      <c r="B4983" t="s">
        <v>30</v>
      </c>
      <c r="C4983">
        <v>471.94</v>
      </c>
      <c r="D4983">
        <v>88.07</v>
      </c>
      <c r="E4983" t="s">
        <v>14</v>
      </c>
      <c r="F4983">
        <v>45.23</v>
      </c>
      <c r="G4983" t="s">
        <v>16</v>
      </c>
      <c r="H4983" t="s">
        <v>13</v>
      </c>
    </row>
    <row r="4984" spans="1:8" x14ac:dyDescent="0.25">
      <c r="A4984" s="1">
        <v>45670.583333333336</v>
      </c>
      <c r="B4984" t="s">
        <v>30</v>
      </c>
      <c r="C4984">
        <v>448.32</v>
      </c>
      <c r="D4984">
        <v>20.5</v>
      </c>
      <c r="E4984" t="s">
        <v>9</v>
      </c>
      <c r="F4984">
        <v>66.33</v>
      </c>
      <c r="G4984" t="s">
        <v>16</v>
      </c>
      <c r="H4984" t="s">
        <v>12</v>
      </c>
    </row>
    <row r="4985" spans="1:8" x14ac:dyDescent="0.25">
      <c r="A4985" s="1">
        <v>45670.625</v>
      </c>
      <c r="B4985" t="s">
        <v>30</v>
      </c>
      <c r="C4985">
        <v>497.16</v>
      </c>
      <c r="D4985">
        <v>74.97</v>
      </c>
      <c r="E4985" t="s">
        <v>9</v>
      </c>
      <c r="F4985">
        <v>56.26</v>
      </c>
      <c r="G4985" t="s">
        <v>16</v>
      </c>
      <c r="H4985" t="s">
        <v>13</v>
      </c>
    </row>
    <row r="4986" spans="1:8" x14ac:dyDescent="0.25">
      <c r="A4986" s="1">
        <v>45670.666666666664</v>
      </c>
      <c r="B4986" t="s">
        <v>30</v>
      </c>
      <c r="C4986">
        <v>89.41</v>
      </c>
      <c r="D4986">
        <v>54.12</v>
      </c>
      <c r="E4986" t="s">
        <v>9</v>
      </c>
      <c r="F4986">
        <v>85.85</v>
      </c>
      <c r="G4986" t="s">
        <v>16</v>
      </c>
      <c r="H4986" t="s">
        <v>11</v>
      </c>
    </row>
    <row r="4987" spans="1:8" x14ac:dyDescent="0.25">
      <c r="A4987" s="1">
        <v>45670.708333333336</v>
      </c>
      <c r="B4987" t="s">
        <v>30</v>
      </c>
      <c r="C4987">
        <v>280.74</v>
      </c>
      <c r="D4987">
        <v>58.68</v>
      </c>
      <c r="E4987" t="s">
        <v>9</v>
      </c>
      <c r="F4987">
        <v>54.86</v>
      </c>
      <c r="G4987" t="s">
        <v>16</v>
      </c>
      <c r="H4987" t="s">
        <v>13</v>
      </c>
    </row>
    <row r="4988" spans="1:8" x14ac:dyDescent="0.25">
      <c r="A4988" s="1">
        <v>45670.75</v>
      </c>
      <c r="B4988" t="s">
        <v>30</v>
      </c>
      <c r="C4988">
        <v>203</v>
      </c>
      <c r="D4988">
        <v>19.260000000000002</v>
      </c>
      <c r="E4988" t="s">
        <v>9</v>
      </c>
      <c r="F4988">
        <v>60.33</v>
      </c>
      <c r="G4988" t="s">
        <v>16</v>
      </c>
      <c r="H4988" t="s">
        <v>13</v>
      </c>
    </row>
    <row r="4989" spans="1:8" x14ac:dyDescent="0.25">
      <c r="A4989" s="1">
        <v>45670.791666666664</v>
      </c>
      <c r="B4989" t="s">
        <v>30</v>
      </c>
      <c r="C4989">
        <v>295.62</v>
      </c>
      <c r="D4989">
        <v>37.99</v>
      </c>
      <c r="E4989" t="s">
        <v>9</v>
      </c>
      <c r="F4989">
        <v>59.35</v>
      </c>
      <c r="G4989" t="s">
        <v>16</v>
      </c>
      <c r="H4989" t="s">
        <v>13</v>
      </c>
    </row>
    <row r="4990" spans="1:8" x14ac:dyDescent="0.25">
      <c r="A4990" s="1">
        <v>45670.833333333336</v>
      </c>
      <c r="B4990" t="s">
        <v>30</v>
      </c>
      <c r="C4990">
        <v>206.62</v>
      </c>
      <c r="D4990">
        <v>57.83</v>
      </c>
      <c r="E4990" t="s">
        <v>9</v>
      </c>
      <c r="F4990">
        <v>47.63</v>
      </c>
      <c r="G4990" t="s">
        <v>16</v>
      </c>
      <c r="H4990" t="s">
        <v>13</v>
      </c>
    </row>
    <row r="4991" spans="1:8" x14ac:dyDescent="0.25">
      <c r="A4991" s="1">
        <v>45670.875</v>
      </c>
      <c r="B4991" t="s">
        <v>30</v>
      </c>
      <c r="C4991">
        <v>86.01</v>
      </c>
      <c r="D4991">
        <v>75.959999999999994</v>
      </c>
      <c r="E4991" t="s">
        <v>9</v>
      </c>
      <c r="F4991">
        <v>57.2</v>
      </c>
      <c r="G4991" t="s">
        <v>16</v>
      </c>
      <c r="H4991" t="s">
        <v>12</v>
      </c>
    </row>
    <row r="4992" spans="1:8" x14ac:dyDescent="0.25">
      <c r="A4992" s="1">
        <v>45670.916666666664</v>
      </c>
      <c r="B4992" t="s">
        <v>30</v>
      </c>
      <c r="C4992">
        <v>478.77</v>
      </c>
      <c r="D4992">
        <v>64.63</v>
      </c>
      <c r="E4992" t="s">
        <v>9</v>
      </c>
      <c r="F4992">
        <v>73.03</v>
      </c>
      <c r="G4992" t="s">
        <v>16</v>
      </c>
      <c r="H4992" t="s">
        <v>12</v>
      </c>
    </row>
    <row r="4993" spans="1:8" x14ac:dyDescent="0.25">
      <c r="A4993" s="1">
        <v>45670.958333333336</v>
      </c>
      <c r="B4993" t="s">
        <v>30</v>
      </c>
      <c r="C4993">
        <v>146.30000000000001</v>
      </c>
      <c r="D4993">
        <v>28.98</v>
      </c>
      <c r="E4993" t="s">
        <v>9</v>
      </c>
      <c r="F4993">
        <v>32.04</v>
      </c>
      <c r="G4993" t="s">
        <v>16</v>
      </c>
      <c r="H4993" t="s">
        <v>12</v>
      </c>
    </row>
    <row r="4994" spans="1:8" x14ac:dyDescent="0.25">
      <c r="A4994" s="1">
        <v>45671</v>
      </c>
      <c r="B4994" t="s">
        <v>30</v>
      </c>
      <c r="C4994">
        <v>99.69</v>
      </c>
      <c r="D4994">
        <v>51.44</v>
      </c>
      <c r="E4994" t="s">
        <v>9</v>
      </c>
      <c r="F4994">
        <v>84.92</v>
      </c>
      <c r="G4994" t="s">
        <v>16</v>
      </c>
      <c r="H4994" t="s">
        <v>11</v>
      </c>
    </row>
    <row r="4995" spans="1:8" x14ac:dyDescent="0.25">
      <c r="A4995" s="1">
        <v>45671.041666666664</v>
      </c>
      <c r="B4995" t="s">
        <v>30</v>
      </c>
      <c r="C4995">
        <v>137.54</v>
      </c>
      <c r="D4995">
        <v>32.68</v>
      </c>
      <c r="E4995" t="s">
        <v>9</v>
      </c>
      <c r="F4995">
        <v>83.47</v>
      </c>
      <c r="G4995" t="s">
        <v>16</v>
      </c>
      <c r="H4995" t="s">
        <v>12</v>
      </c>
    </row>
    <row r="4996" spans="1:8" x14ac:dyDescent="0.25">
      <c r="A4996" s="1">
        <v>45671.083333333336</v>
      </c>
      <c r="B4996" t="s">
        <v>30</v>
      </c>
      <c r="C4996">
        <v>421.06</v>
      </c>
      <c r="D4996">
        <v>75.510000000000005</v>
      </c>
      <c r="E4996" t="s">
        <v>9</v>
      </c>
      <c r="F4996">
        <v>51.93</v>
      </c>
      <c r="G4996" t="s">
        <v>16</v>
      </c>
      <c r="H4996" t="s">
        <v>12</v>
      </c>
    </row>
    <row r="4997" spans="1:8" x14ac:dyDescent="0.25">
      <c r="A4997" s="1">
        <v>45671.125</v>
      </c>
      <c r="B4997" t="s">
        <v>30</v>
      </c>
      <c r="C4997">
        <v>233.64</v>
      </c>
      <c r="D4997">
        <v>28.4</v>
      </c>
      <c r="E4997" t="s">
        <v>9</v>
      </c>
      <c r="F4997">
        <v>62.94</v>
      </c>
      <c r="G4997" t="s">
        <v>16</v>
      </c>
      <c r="H4997" t="s">
        <v>11</v>
      </c>
    </row>
    <row r="4998" spans="1:8" x14ac:dyDescent="0.25">
      <c r="A4998" s="1">
        <v>45671.166666666664</v>
      </c>
      <c r="B4998" t="s">
        <v>30</v>
      </c>
      <c r="C4998">
        <v>484.25</v>
      </c>
      <c r="D4998">
        <v>50.74</v>
      </c>
      <c r="E4998" t="s">
        <v>9</v>
      </c>
      <c r="F4998">
        <v>67.95</v>
      </c>
      <c r="G4998" t="s">
        <v>16</v>
      </c>
      <c r="H4998" t="s">
        <v>11</v>
      </c>
    </row>
    <row r="4999" spans="1:8" x14ac:dyDescent="0.25">
      <c r="A4999" s="1">
        <v>45671.208333333336</v>
      </c>
      <c r="B4999" t="s">
        <v>30</v>
      </c>
      <c r="C4999">
        <v>332.02</v>
      </c>
      <c r="D4999">
        <v>89.58</v>
      </c>
      <c r="E4999" t="s">
        <v>14</v>
      </c>
      <c r="F4999">
        <v>87.45</v>
      </c>
      <c r="G4999" t="s">
        <v>16</v>
      </c>
      <c r="H4999" t="s">
        <v>11</v>
      </c>
    </row>
    <row r="5000" spans="1:8" x14ac:dyDescent="0.25">
      <c r="A5000" s="1">
        <v>45671.25</v>
      </c>
      <c r="B5000" t="s">
        <v>30</v>
      </c>
      <c r="C5000">
        <v>477.84</v>
      </c>
      <c r="D5000">
        <v>43.68</v>
      </c>
      <c r="E5000" t="s">
        <v>9</v>
      </c>
      <c r="F5000">
        <v>88.81</v>
      </c>
      <c r="G5000" t="s">
        <v>16</v>
      </c>
      <c r="H5000" t="s">
        <v>13</v>
      </c>
    </row>
    <row r="5001" spans="1:8" x14ac:dyDescent="0.25">
      <c r="A5001" s="1">
        <v>45671.291666666664</v>
      </c>
      <c r="B5001" t="s">
        <v>30</v>
      </c>
      <c r="C5001">
        <v>423.38</v>
      </c>
      <c r="D5001">
        <v>90.63</v>
      </c>
      <c r="E5001" t="s">
        <v>14</v>
      </c>
      <c r="F5001">
        <v>63.83</v>
      </c>
      <c r="G5001" t="s">
        <v>16</v>
      </c>
      <c r="H5001" t="s">
        <v>12</v>
      </c>
    </row>
    <row r="5002" spans="1:8" x14ac:dyDescent="0.25">
      <c r="A5002" s="1">
        <v>45671.333333333336</v>
      </c>
      <c r="B5002" t="s">
        <v>30</v>
      </c>
      <c r="C5002">
        <v>253.82</v>
      </c>
      <c r="D5002">
        <v>15.78</v>
      </c>
      <c r="E5002" t="s">
        <v>9</v>
      </c>
      <c r="F5002">
        <v>56.7</v>
      </c>
      <c r="G5002" t="s">
        <v>16</v>
      </c>
      <c r="H5002" t="s">
        <v>11</v>
      </c>
    </row>
    <row r="5003" spans="1:8" x14ac:dyDescent="0.25">
      <c r="A5003" s="1">
        <v>45671.375</v>
      </c>
      <c r="B5003" t="s">
        <v>30</v>
      </c>
      <c r="C5003">
        <v>351.55</v>
      </c>
      <c r="D5003">
        <v>75.540000000000006</v>
      </c>
      <c r="E5003" t="s">
        <v>9</v>
      </c>
      <c r="F5003">
        <v>37.14</v>
      </c>
      <c r="G5003" t="s">
        <v>16</v>
      </c>
      <c r="H5003" t="s">
        <v>13</v>
      </c>
    </row>
    <row r="5004" spans="1:8" x14ac:dyDescent="0.25">
      <c r="A5004" s="1">
        <v>45671.416666666664</v>
      </c>
      <c r="B5004" t="s">
        <v>30</v>
      </c>
      <c r="C5004">
        <v>384.82</v>
      </c>
      <c r="D5004">
        <v>39.99</v>
      </c>
      <c r="E5004" t="s">
        <v>9</v>
      </c>
      <c r="F5004">
        <v>79.03</v>
      </c>
      <c r="G5004" t="s">
        <v>16</v>
      </c>
      <c r="H5004" t="s">
        <v>12</v>
      </c>
    </row>
    <row r="5005" spans="1:8" x14ac:dyDescent="0.25">
      <c r="A5005" s="1">
        <v>45671.458333333336</v>
      </c>
      <c r="B5005" t="s">
        <v>30</v>
      </c>
      <c r="C5005">
        <v>256.43</v>
      </c>
      <c r="D5005">
        <v>61.63</v>
      </c>
      <c r="E5005" t="s">
        <v>9</v>
      </c>
      <c r="F5005">
        <v>60.84</v>
      </c>
      <c r="G5005" t="s">
        <v>16</v>
      </c>
      <c r="H5005" t="s">
        <v>11</v>
      </c>
    </row>
    <row r="5006" spans="1:8" x14ac:dyDescent="0.25">
      <c r="A5006" s="1">
        <v>45671.5</v>
      </c>
      <c r="B5006" t="s">
        <v>30</v>
      </c>
      <c r="C5006">
        <v>154.15</v>
      </c>
      <c r="D5006">
        <v>44.56</v>
      </c>
      <c r="E5006" t="s">
        <v>9</v>
      </c>
      <c r="F5006">
        <v>77.53</v>
      </c>
      <c r="G5006" t="s">
        <v>16</v>
      </c>
      <c r="H5006" t="s">
        <v>11</v>
      </c>
    </row>
    <row r="5007" spans="1:8" x14ac:dyDescent="0.25">
      <c r="A5007" s="1">
        <v>45671.541666666664</v>
      </c>
      <c r="B5007" t="s">
        <v>30</v>
      </c>
      <c r="C5007">
        <v>97.28</v>
      </c>
      <c r="D5007">
        <v>86.16</v>
      </c>
      <c r="E5007" t="s">
        <v>14</v>
      </c>
      <c r="F5007">
        <v>56.14</v>
      </c>
      <c r="G5007" t="s">
        <v>16</v>
      </c>
      <c r="H5007" t="s">
        <v>11</v>
      </c>
    </row>
    <row r="5008" spans="1:8" x14ac:dyDescent="0.25">
      <c r="A5008" s="1">
        <v>45671.583333333336</v>
      </c>
      <c r="B5008" t="s">
        <v>30</v>
      </c>
      <c r="C5008">
        <v>487.48</v>
      </c>
      <c r="D5008">
        <v>64.239999999999995</v>
      </c>
      <c r="E5008" t="s">
        <v>9</v>
      </c>
      <c r="F5008">
        <v>81.39</v>
      </c>
      <c r="G5008" t="s">
        <v>16</v>
      </c>
      <c r="H5008" t="s">
        <v>12</v>
      </c>
    </row>
    <row r="5009" spans="1:8" x14ac:dyDescent="0.25">
      <c r="A5009" s="1">
        <v>45671.625</v>
      </c>
      <c r="B5009" t="s">
        <v>30</v>
      </c>
      <c r="C5009">
        <v>459.47</v>
      </c>
      <c r="D5009">
        <v>78.8</v>
      </c>
      <c r="E5009" t="s">
        <v>9</v>
      </c>
      <c r="F5009">
        <v>55.08</v>
      </c>
      <c r="G5009" t="s">
        <v>16</v>
      </c>
      <c r="H5009" t="s">
        <v>12</v>
      </c>
    </row>
    <row r="5010" spans="1:8" x14ac:dyDescent="0.25">
      <c r="A5010" s="1">
        <v>45671.666666666664</v>
      </c>
      <c r="B5010" t="s">
        <v>30</v>
      </c>
      <c r="C5010">
        <v>271.89999999999998</v>
      </c>
      <c r="D5010">
        <v>77.34</v>
      </c>
      <c r="E5010" t="s">
        <v>9</v>
      </c>
      <c r="F5010">
        <v>71.680000000000007</v>
      </c>
      <c r="G5010" t="s">
        <v>16</v>
      </c>
      <c r="H5010" t="s">
        <v>13</v>
      </c>
    </row>
    <row r="5011" spans="1:8" x14ac:dyDescent="0.25">
      <c r="A5011" s="1">
        <v>45671.708333333336</v>
      </c>
      <c r="B5011" t="s">
        <v>30</v>
      </c>
      <c r="C5011">
        <v>154.81</v>
      </c>
      <c r="D5011">
        <v>55.74</v>
      </c>
      <c r="E5011" t="s">
        <v>9</v>
      </c>
      <c r="F5011">
        <v>73.73</v>
      </c>
      <c r="G5011" t="s">
        <v>16</v>
      </c>
      <c r="H5011" t="s">
        <v>13</v>
      </c>
    </row>
    <row r="5012" spans="1:8" x14ac:dyDescent="0.25">
      <c r="A5012" s="1">
        <v>45671.75</v>
      </c>
      <c r="B5012" t="s">
        <v>30</v>
      </c>
      <c r="C5012">
        <v>119.92</v>
      </c>
      <c r="D5012">
        <v>64.989999999999995</v>
      </c>
      <c r="E5012" t="s">
        <v>9</v>
      </c>
      <c r="F5012">
        <v>64.36</v>
      </c>
      <c r="G5012" t="s">
        <v>16</v>
      </c>
      <c r="H5012" t="s">
        <v>13</v>
      </c>
    </row>
    <row r="5013" spans="1:8" x14ac:dyDescent="0.25">
      <c r="A5013" s="1">
        <v>45671.791666666664</v>
      </c>
      <c r="B5013" t="s">
        <v>30</v>
      </c>
      <c r="C5013">
        <v>496.99</v>
      </c>
      <c r="D5013">
        <v>62.42</v>
      </c>
      <c r="E5013" t="s">
        <v>9</v>
      </c>
      <c r="F5013">
        <v>49.89</v>
      </c>
      <c r="G5013" t="s">
        <v>16</v>
      </c>
      <c r="H5013" t="s">
        <v>11</v>
      </c>
    </row>
    <row r="5014" spans="1:8" x14ac:dyDescent="0.25">
      <c r="A5014" s="1">
        <v>45671.833333333336</v>
      </c>
      <c r="B5014" t="s">
        <v>30</v>
      </c>
      <c r="C5014">
        <v>392.42</v>
      </c>
      <c r="D5014">
        <v>72.540000000000006</v>
      </c>
      <c r="E5014" t="s">
        <v>9</v>
      </c>
      <c r="F5014">
        <v>60.36</v>
      </c>
      <c r="G5014" t="s">
        <v>16</v>
      </c>
      <c r="H5014" t="s">
        <v>11</v>
      </c>
    </row>
    <row r="5015" spans="1:8" x14ac:dyDescent="0.25">
      <c r="A5015" s="1">
        <v>45671.875</v>
      </c>
      <c r="B5015" t="s">
        <v>30</v>
      </c>
      <c r="C5015">
        <v>227.6</v>
      </c>
      <c r="D5015">
        <v>73.44</v>
      </c>
      <c r="E5015" t="s">
        <v>9</v>
      </c>
      <c r="F5015">
        <v>59.87</v>
      </c>
      <c r="G5015" t="s">
        <v>16</v>
      </c>
      <c r="H5015" t="s">
        <v>11</v>
      </c>
    </row>
    <row r="5016" spans="1:8" x14ac:dyDescent="0.25">
      <c r="A5016" s="1">
        <v>45671.916666666664</v>
      </c>
      <c r="B5016" t="s">
        <v>30</v>
      </c>
      <c r="C5016">
        <v>331.46</v>
      </c>
      <c r="D5016">
        <v>81.81</v>
      </c>
      <c r="E5016" t="s">
        <v>9</v>
      </c>
      <c r="F5016">
        <v>33.69</v>
      </c>
      <c r="G5016" t="s">
        <v>16</v>
      </c>
      <c r="H5016" t="s">
        <v>12</v>
      </c>
    </row>
    <row r="5017" spans="1:8" x14ac:dyDescent="0.25">
      <c r="A5017" s="1">
        <v>45671.958333333336</v>
      </c>
      <c r="B5017" t="s">
        <v>30</v>
      </c>
      <c r="C5017">
        <v>399.61</v>
      </c>
      <c r="D5017">
        <v>73.739999999999995</v>
      </c>
      <c r="E5017" t="s">
        <v>9</v>
      </c>
      <c r="F5017">
        <v>83.5</v>
      </c>
      <c r="G5017" t="s">
        <v>16</v>
      </c>
      <c r="H5017" t="s">
        <v>13</v>
      </c>
    </row>
    <row r="5018" spans="1:8" x14ac:dyDescent="0.25">
      <c r="A5018" s="1">
        <v>45672</v>
      </c>
      <c r="B5018" t="s">
        <v>30</v>
      </c>
      <c r="C5018">
        <v>112.19</v>
      </c>
      <c r="D5018">
        <v>88.16</v>
      </c>
      <c r="E5018" t="s">
        <v>14</v>
      </c>
      <c r="F5018">
        <v>58.29</v>
      </c>
      <c r="G5018" t="s">
        <v>16</v>
      </c>
      <c r="H5018" t="s">
        <v>13</v>
      </c>
    </row>
    <row r="5019" spans="1:8" x14ac:dyDescent="0.25">
      <c r="A5019" s="1">
        <v>45672.041666666664</v>
      </c>
      <c r="B5019" t="s">
        <v>30</v>
      </c>
      <c r="C5019">
        <v>176.48</v>
      </c>
      <c r="D5019">
        <v>89.08</v>
      </c>
      <c r="E5019" t="s">
        <v>14</v>
      </c>
      <c r="F5019">
        <v>87.83</v>
      </c>
      <c r="G5019" t="s">
        <v>16</v>
      </c>
      <c r="H5019" t="s">
        <v>11</v>
      </c>
    </row>
    <row r="5020" spans="1:8" x14ac:dyDescent="0.25">
      <c r="A5020" s="1">
        <v>45672.083333333336</v>
      </c>
      <c r="B5020" t="s">
        <v>30</v>
      </c>
      <c r="C5020">
        <v>248.68</v>
      </c>
      <c r="D5020">
        <v>35.69</v>
      </c>
      <c r="E5020" t="s">
        <v>9</v>
      </c>
      <c r="F5020">
        <v>33.6</v>
      </c>
      <c r="G5020" t="s">
        <v>16</v>
      </c>
      <c r="H5020" t="s">
        <v>11</v>
      </c>
    </row>
    <row r="5021" spans="1:8" x14ac:dyDescent="0.25">
      <c r="A5021" s="1">
        <v>45672.125</v>
      </c>
      <c r="B5021" t="s">
        <v>30</v>
      </c>
      <c r="C5021">
        <v>249.88</v>
      </c>
      <c r="D5021">
        <v>94.48</v>
      </c>
      <c r="E5021" t="s">
        <v>14</v>
      </c>
      <c r="F5021">
        <v>59.31</v>
      </c>
      <c r="G5021" t="s">
        <v>16</v>
      </c>
      <c r="H5021" t="s">
        <v>12</v>
      </c>
    </row>
    <row r="5022" spans="1:8" x14ac:dyDescent="0.25">
      <c r="A5022" s="1">
        <v>45672.166666666664</v>
      </c>
      <c r="B5022" t="s">
        <v>30</v>
      </c>
      <c r="C5022">
        <v>469.92</v>
      </c>
      <c r="D5022">
        <v>94.32</v>
      </c>
      <c r="E5022" t="s">
        <v>14</v>
      </c>
      <c r="F5022">
        <v>55.71</v>
      </c>
      <c r="G5022" t="s">
        <v>16</v>
      </c>
      <c r="H5022" t="s">
        <v>13</v>
      </c>
    </row>
    <row r="5023" spans="1:8" x14ac:dyDescent="0.25">
      <c r="A5023" s="1">
        <v>45672.208333333336</v>
      </c>
      <c r="B5023" t="s">
        <v>30</v>
      </c>
      <c r="C5023">
        <v>138.13</v>
      </c>
      <c r="D5023">
        <v>39.79</v>
      </c>
      <c r="E5023" t="s">
        <v>9</v>
      </c>
      <c r="F5023">
        <v>60.53</v>
      </c>
      <c r="G5023" t="s">
        <v>16</v>
      </c>
      <c r="H5023" t="s">
        <v>11</v>
      </c>
    </row>
    <row r="5024" spans="1:8" x14ac:dyDescent="0.25">
      <c r="A5024" s="1">
        <v>45672.25</v>
      </c>
      <c r="B5024" t="s">
        <v>30</v>
      </c>
      <c r="C5024">
        <v>131.33000000000001</v>
      </c>
      <c r="D5024">
        <v>34.840000000000003</v>
      </c>
      <c r="E5024" t="s">
        <v>9</v>
      </c>
      <c r="F5024">
        <v>83.29</v>
      </c>
      <c r="G5024" t="s">
        <v>16</v>
      </c>
      <c r="H5024" t="s">
        <v>11</v>
      </c>
    </row>
    <row r="5025" spans="1:8" x14ac:dyDescent="0.25">
      <c r="A5025" s="1">
        <v>45672.291666666664</v>
      </c>
      <c r="B5025" t="s">
        <v>30</v>
      </c>
      <c r="C5025">
        <v>209.38</v>
      </c>
      <c r="D5025">
        <v>23.41</v>
      </c>
      <c r="E5025" t="s">
        <v>9</v>
      </c>
      <c r="F5025">
        <v>55.78</v>
      </c>
      <c r="G5025" t="s">
        <v>16</v>
      </c>
      <c r="H5025" t="s">
        <v>11</v>
      </c>
    </row>
    <row r="5026" spans="1:8" x14ac:dyDescent="0.25">
      <c r="A5026" s="1">
        <v>45672.333333333336</v>
      </c>
      <c r="B5026" t="s">
        <v>30</v>
      </c>
      <c r="C5026">
        <v>419.95</v>
      </c>
      <c r="D5026">
        <v>20.52</v>
      </c>
      <c r="E5026" t="s">
        <v>9</v>
      </c>
      <c r="F5026">
        <v>81.94</v>
      </c>
      <c r="G5026" t="s">
        <v>16</v>
      </c>
      <c r="H5026" t="s">
        <v>13</v>
      </c>
    </row>
    <row r="5027" spans="1:8" x14ac:dyDescent="0.25">
      <c r="A5027" s="1">
        <v>45672.375</v>
      </c>
      <c r="B5027" t="s">
        <v>30</v>
      </c>
      <c r="C5027">
        <v>402.3</v>
      </c>
      <c r="D5027">
        <v>75.47</v>
      </c>
      <c r="E5027" t="s">
        <v>9</v>
      </c>
      <c r="F5027">
        <v>77.900000000000006</v>
      </c>
      <c r="G5027" t="s">
        <v>16</v>
      </c>
      <c r="H5027" t="s">
        <v>11</v>
      </c>
    </row>
    <row r="5028" spans="1:8" x14ac:dyDescent="0.25">
      <c r="A5028" s="1">
        <v>45672.416666666664</v>
      </c>
      <c r="B5028" t="s">
        <v>30</v>
      </c>
      <c r="C5028">
        <v>394.65</v>
      </c>
      <c r="D5028">
        <v>89.17</v>
      </c>
      <c r="E5028" t="s">
        <v>14</v>
      </c>
      <c r="F5028">
        <v>87</v>
      </c>
      <c r="G5028" t="s">
        <v>16</v>
      </c>
      <c r="H5028" t="s">
        <v>13</v>
      </c>
    </row>
    <row r="5029" spans="1:8" x14ac:dyDescent="0.25">
      <c r="A5029" s="1">
        <v>45672.458333333336</v>
      </c>
      <c r="B5029" t="s">
        <v>30</v>
      </c>
      <c r="C5029">
        <v>278.89999999999998</v>
      </c>
      <c r="D5029">
        <v>36.5</v>
      </c>
      <c r="E5029" t="s">
        <v>9</v>
      </c>
      <c r="F5029">
        <v>48.18</v>
      </c>
      <c r="G5029" t="s">
        <v>16</v>
      </c>
      <c r="H5029" t="s">
        <v>12</v>
      </c>
    </row>
    <row r="5030" spans="1:8" x14ac:dyDescent="0.25">
      <c r="A5030" s="1">
        <v>45672.5</v>
      </c>
      <c r="B5030" t="s">
        <v>30</v>
      </c>
      <c r="C5030">
        <v>420.38</v>
      </c>
      <c r="D5030">
        <v>44.35</v>
      </c>
      <c r="E5030" t="s">
        <v>9</v>
      </c>
      <c r="F5030">
        <v>85.01</v>
      </c>
      <c r="G5030" t="s">
        <v>16</v>
      </c>
      <c r="H5030" t="s">
        <v>11</v>
      </c>
    </row>
    <row r="5031" spans="1:8" x14ac:dyDescent="0.25">
      <c r="A5031" s="1">
        <v>45672.541666666664</v>
      </c>
      <c r="B5031" t="s">
        <v>30</v>
      </c>
      <c r="C5031">
        <v>288.89</v>
      </c>
      <c r="D5031">
        <v>91.87</v>
      </c>
      <c r="E5031" t="s">
        <v>14</v>
      </c>
      <c r="F5031">
        <v>86.29</v>
      </c>
      <c r="G5031" t="s">
        <v>16</v>
      </c>
      <c r="H5031" t="s">
        <v>13</v>
      </c>
    </row>
    <row r="5032" spans="1:8" x14ac:dyDescent="0.25">
      <c r="A5032" s="1">
        <v>45672.583333333336</v>
      </c>
      <c r="B5032" t="s">
        <v>30</v>
      </c>
      <c r="C5032">
        <v>132.61000000000001</v>
      </c>
      <c r="D5032">
        <v>87.04</v>
      </c>
      <c r="E5032" t="s">
        <v>14</v>
      </c>
      <c r="F5032">
        <v>60.38</v>
      </c>
      <c r="G5032" t="s">
        <v>16</v>
      </c>
      <c r="H5032" t="s">
        <v>11</v>
      </c>
    </row>
    <row r="5033" spans="1:8" x14ac:dyDescent="0.25">
      <c r="A5033" s="1">
        <v>45672.625</v>
      </c>
      <c r="B5033" t="s">
        <v>30</v>
      </c>
      <c r="C5033">
        <v>276.55</v>
      </c>
      <c r="D5033">
        <v>60.35</v>
      </c>
      <c r="E5033" t="s">
        <v>9</v>
      </c>
      <c r="F5033">
        <v>58.34</v>
      </c>
      <c r="G5033" t="s">
        <v>16</v>
      </c>
      <c r="H5033" t="s">
        <v>12</v>
      </c>
    </row>
    <row r="5034" spans="1:8" x14ac:dyDescent="0.25">
      <c r="A5034" s="1">
        <v>45672.666666666664</v>
      </c>
      <c r="B5034" t="s">
        <v>30</v>
      </c>
      <c r="C5034">
        <v>76.97</v>
      </c>
      <c r="D5034">
        <v>33.119999999999997</v>
      </c>
      <c r="E5034" t="s">
        <v>9</v>
      </c>
      <c r="F5034">
        <v>45.94</v>
      </c>
      <c r="G5034" t="s">
        <v>16</v>
      </c>
      <c r="H5034" t="s">
        <v>13</v>
      </c>
    </row>
    <row r="5035" spans="1:8" x14ac:dyDescent="0.25">
      <c r="A5035" s="1">
        <v>45672.708333333336</v>
      </c>
      <c r="B5035" t="s">
        <v>30</v>
      </c>
      <c r="C5035">
        <v>410.74</v>
      </c>
      <c r="D5035">
        <v>45.63</v>
      </c>
      <c r="E5035" t="s">
        <v>9</v>
      </c>
      <c r="F5035">
        <v>74.7</v>
      </c>
      <c r="G5035" t="s">
        <v>16</v>
      </c>
      <c r="H5035" t="s">
        <v>13</v>
      </c>
    </row>
    <row r="5036" spans="1:8" x14ac:dyDescent="0.25">
      <c r="A5036" s="1">
        <v>45672.75</v>
      </c>
      <c r="B5036" t="s">
        <v>30</v>
      </c>
      <c r="C5036">
        <v>436.71</v>
      </c>
      <c r="D5036">
        <v>45.36</v>
      </c>
      <c r="E5036" t="s">
        <v>9</v>
      </c>
      <c r="F5036">
        <v>82.54</v>
      </c>
      <c r="G5036" t="s">
        <v>16</v>
      </c>
      <c r="H5036" t="s">
        <v>13</v>
      </c>
    </row>
    <row r="5037" spans="1:8" x14ac:dyDescent="0.25">
      <c r="A5037" s="1">
        <v>45672.791666666664</v>
      </c>
      <c r="B5037" t="s">
        <v>30</v>
      </c>
      <c r="C5037">
        <v>149.94</v>
      </c>
      <c r="D5037">
        <v>74.08</v>
      </c>
      <c r="E5037" t="s">
        <v>9</v>
      </c>
      <c r="F5037">
        <v>33.71</v>
      </c>
      <c r="G5037" t="s">
        <v>16</v>
      </c>
      <c r="H5037" t="s">
        <v>12</v>
      </c>
    </row>
    <row r="5038" spans="1:8" x14ac:dyDescent="0.25">
      <c r="A5038" s="1">
        <v>45672.833333333336</v>
      </c>
      <c r="B5038" t="s">
        <v>30</v>
      </c>
      <c r="C5038">
        <v>362.12</v>
      </c>
      <c r="D5038">
        <v>59.09</v>
      </c>
      <c r="E5038" t="s">
        <v>9</v>
      </c>
      <c r="F5038">
        <v>55.07</v>
      </c>
      <c r="G5038" t="s">
        <v>16</v>
      </c>
      <c r="H5038" t="s">
        <v>13</v>
      </c>
    </row>
    <row r="5039" spans="1:8" x14ac:dyDescent="0.25">
      <c r="A5039" s="1">
        <v>45672.875</v>
      </c>
      <c r="B5039" t="s">
        <v>30</v>
      </c>
      <c r="C5039">
        <v>380.86</v>
      </c>
      <c r="D5039">
        <v>22.39</v>
      </c>
      <c r="E5039" t="s">
        <v>9</v>
      </c>
      <c r="F5039">
        <v>63.2</v>
      </c>
      <c r="G5039" t="s">
        <v>16</v>
      </c>
      <c r="H5039" t="s">
        <v>11</v>
      </c>
    </row>
    <row r="5040" spans="1:8" x14ac:dyDescent="0.25">
      <c r="A5040" s="1">
        <v>45672.916666666664</v>
      </c>
      <c r="B5040" t="s">
        <v>30</v>
      </c>
      <c r="C5040">
        <v>157.41999999999999</v>
      </c>
      <c r="D5040">
        <v>81.72</v>
      </c>
      <c r="E5040" t="s">
        <v>9</v>
      </c>
      <c r="F5040">
        <v>73.31</v>
      </c>
      <c r="G5040" t="s">
        <v>16</v>
      </c>
      <c r="H5040" t="s">
        <v>11</v>
      </c>
    </row>
    <row r="5041" spans="1:8" x14ac:dyDescent="0.25">
      <c r="A5041" s="1">
        <v>45672.958333333336</v>
      </c>
      <c r="B5041" t="s">
        <v>30</v>
      </c>
      <c r="C5041">
        <v>488.74</v>
      </c>
      <c r="D5041">
        <v>67.86</v>
      </c>
      <c r="E5041" t="s">
        <v>9</v>
      </c>
      <c r="F5041">
        <v>57.15</v>
      </c>
      <c r="G5041" t="s">
        <v>16</v>
      </c>
      <c r="H5041" t="s">
        <v>11</v>
      </c>
    </row>
    <row r="5042" spans="1:8" x14ac:dyDescent="0.25">
      <c r="A5042" s="1">
        <v>45658</v>
      </c>
      <c r="B5042" t="s">
        <v>31</v>
      </c>
      <c r="C5042">
        <v>289.95</v>
      </c>
      <c r="D5042">
        <v>27.34</v>
      </c>
      <c r="E5042" t="s">
        <v>9</v>
      </c>
      <c r="F5042">
        <v>55.77</v>
      </c>
      <c r="G5042" t="s">
        <v>22</v>
      </c>
      <c r="H5042" t="s">
        <v>12</v>
      </c>
    </row>
    <row r="5043" spans="1:8" x14ac:dyDescent="0.25">
      <c r="A5043" s="1">
        <v>45658.041666666664</v>
      </c>
      <c r="B5043" t="s">
        <v>31</v>
      </c>
      <c r="C5043">
        <v>143.26</v>
      </c>
      <c r="D5043">
        <v>43.27</v>
      </c>
      <c r="E5043" t="s">
        <v>9</v>
      </c>
      <c r="F5043">
        <v>59.36</v>
      </c>
      <c r="G5043" t="s">
        <v>22</v>
      </c>
      <c r="H5043" t="s">
        <v>11</v>
      </c>
    </row>
    <row r="5044" spans="1:8" x14ac:dyDescent="0.25">
      <c r="A5044" s="1">
        <v>45658.083333333336</v>
      </c>
      <c r="B5044" t="s">
        <v>31</v>
      </c>
      <c r="C5044">
        <v>249.79</v>
      </c>
      <c r="D5044">
        <v>76.569999999999993</v>
      </c>
      <c r="E5044" t="s">
        <v>9</v>
      </c>
      <c r="F5044">
        <v>67.52</v>
      </c>
      <c r="G5044" t="s">
        <v>22</v>
      </c>
      <c r="H5044" t="s">
        <v>11</v>
      </c>
    </row>
    <row r="5045" spans="1:8" x14ac:dyDescent="0.25">
      <c r="A5045" s="1">
        <v>45658.125</v>
      </c>
      <c r="B5045" t="s">
        <v>31</v>
      </c>
      <c r="C5045">
        <v>448.37</v>
      </c>
      <c r="D5045">
        <v>20.440000000000001</v>
      </c>
      <c r="E5045" t="s">
        <v>9</v>
      </c>
      <c r="F5045">
        <v>55.56</v>
      </c>
      <c r="G5045" t="s">
        <v>22</v>
      </c>
      <c r="H5045" t="s">
        <v>13</v>
      </c>
    </row>
    <row r="5046" spans="1:8" x14ac:dyDescent="0.25">
      <c r="A5046" s="1">
        <v>45658.166666666664</v>
      </c>
      <c r="B5046" t="s">
        <v>31</v>
      </c>
      <c r="C5046">
        <v>105.84</v>
      </c>
      <c r="D5046">
        <v>79.5</v>
      </c>
      <c r="E5046" t="s">
        <v>9</v>
      </c>
      <c r="F5046">
        <v>38.92</v>
      </c>
      <c r="G5046" t="s">
        <v>22</v>
      </c>
      <c r="H5046" t="s">
        <v>13</v>
      </c>
    </row>
    <row r="5047" spans="1:8" x14ac:dyDescent="0.25">
      <c r="A5047" s="1">
        <v>45658.208333333336</v>
      </c>
      <c r="B5047" t="s">
        <v>31</v>
      </c>
      <c r="C5047">
        <v>189.62</v>
      </c>
      <c r="D5047">
        <v>31.95</v>
      </c>
      <c r="E5047" t="s">
        <v>9</v>
      </c>
      <c r="F5047">
        <v>53.42</v>
      </c>
      <c r="G5047" t="s">
        <v>22</v>
      </c>
      <c r="H5047" t="s">
        <v>12</v>
      </c>
    </row>
    <row r="5048" spans="1:8" x14ac:dyDescent="0.25">
      <c r="A5048" s="1">
        <v>45658.25</v>
      </c>
      <c r="B5048" t="s">
        <v>31</v>
      </c>
      <c r="C5048">
        <v>278.04000000000002</v>
      </c>
      <c r="D5048">
        <v>75.11</v>
      </c>
      <c r="E5048" t="s">
        <v>9</v>
      </c>
      <c r="F5048">
        <v>41.35</v>
      </c>
      <c r="G5048" t="s">
        <v>22</v>
      </c>
      <c r="H5048" t="s">
        <v>12</v>
      </c>
    </row>
    <row r="5049" spans="1:8" x14ac:dyDescent="0.25">
      <c r="A5049" s="1">
        <v>45658.291666666664</v>
      </c>
      <c r="B5049" t="s">
        <v>31</v>
      </c>
      <c r="C5049">
        <v>392.92</v>
      </c>
      <c r="D5049">
        <v>38.43</v>
      </c>
      <c r="E5049" t="s">
        <v>9</v>
      </c>
      <c r="F5049">
        <v>34.06</v>
      </c>
      <c r="G5049" t="s">
        <v>22</v>
      </c>
      <c r="H5049" t="s">
        <v>12</v>
      </c>
    </row>
    <row r="5050" spans="1:8" x14ac:dyDescent="0.25">
      <c r="A5050" s="1">
        <v>45658.333333333336</v>
      </c>
      <c r="B5050" t="s">
        <v>31</v>
      </c>
      <c r="C5050">
        <v>395.63</v>
      </c>
      <c r="D5050">
        <v>45.21</v>
      </c>
      <c r="E5050" t="s">
        <v>9</v>
      </c>
      <c r="F5050">
        <v>38.04</v>
      </c>
      <c r="G5050" t="s">
        <v>22</v>
      </c>
      <c r="H5050" t="s">
        <v>12</v>
      </c>
    </row>
    <row r="5051" spans="1:8" x14ac:dyDescent="0.25">
      <c r="A5051" s="1">
        <v>45658.375</v>
      </c>
      <c r="B5051" t="s">
        <v>31</v>
      </c>
      <c r="C5051">
        <v>395.06</v>
      </c>
      <c r="D5051">
        <v>16.77</v>
      </c>
      <c r="E5051" t="s">
        <v>9</v>
      </c>
      <c r="F5051">
        <v>79.64</v>
      </c>
      <c r="G5051" t="s">
        <v>22</v>
      </c>
      <c r="H5051" t="s">
        <v>13</v>
      </c>
    </row>
    <row r="5052" spans="1:8" x14ac:dyDescent="0.25">
      <c r="A5052" s="1">
        <v>45658.416666666664</v>
      </c>
      <c r="B5052" t="s">
        <v>31</v>
      </c>
      <c r="C5052">
        <v>330.35</v>
      </c>
      <c r="D5052">
        <v>25.14</v>
      </c>
      <c r="E5052" t="s">
        <v>9</v>
      </c>
      <c r="F5052">
        <v>49.14</v>
      </c>
      <c r="G5052" t="s">
        <v>22</v>
      </c>
      <c r="H5052" t="s">
        <v>12</v>
      </c>
    </row>
    <row r="5053" spans="1:8" x14ac:dyDescent="0.25">
      <c r="A5053" s="1">
        <v>45658.458333333336</v>
      </c>
      <c r="B5053" t="s">
        <v>31</v>
      </c>
      <c r="C5053">
        <v>244</v>
      </c>
      <c r="D5053">
        <v>19.45</v>
      </c>
      <c r="E5053" t="s">
        <v>9</v>
      </c>
      <c r="F5053">
        <v>57.65</v>
      </c>
      <c r="G5053" t="s">
        <v>22</v>
      </c>
      <c r="H5053" t="s">
        <v>12</v>
      </c>
    </row>
    <row r="5054" spans="1:8" x14ac:dyDescent="0.25">
      <c r="A5054" s="1">
        <v>45658.5</v>
      </c>
      <c r="B5054" t="s">
        <v>31</v>
      </c>
      <c r="C5054">
        <v>378.19</v>
      </c>
      <c r="D5054">
        <v>33.17</v>
      </c>
      <c r="E5054" t="s">
        <v>9</v>
      </c>
      <c r="F5054">
        <v>45.84</v>
      </c>
      <c r="G5054" t="s">
        <v>22</v>
      </c>
      <c r="H5054" t="s">
        <v>12</v>
      </c>
    </row>
    <row r="5055" spans="1:8" x14ac:dyDescent="0.25">
      <c r="A5055" s="1">
        <v>45658.541666666664</v>
      </c>
      <c r="B5055" t="s">
        <v>31</v>
      </c>
      <c r="C5055">
        <v>358.43</v>
      </c>
      <c r="D5055">
        <v>80.58</v>
      </c>
      <c r="E5055" t="s">
        <v>9</v>
      </c>
      <c r="F5055">
        <v>55.23</v>
      </c>
      <c r="G5055" t="s">
        <v>22</v>
      </c>
      <c r="H5055" t="s">
        <v>12</v>
      </c>
    </row>
    <row r="5056" spans="1:8" x14ac:dyDescent="0.25">
      <c r="A5056" s="1">
        <v>45658.583333333336</v>
      </c>
      <c r="B5056" t="s">
        <v>31</v>
      </c>
      <c r="C5056">
        <v>369.1</v>
      </c>
      <c r="D5056">
        <v>92.71</v>
      </c>
      <c r="E5056" t="s">
        <v>14</v>
      </c>
      <c r="F5056">
        <v>39.71</v>
      </c>
      <c r="G5056" t="s">
        <v>22</v>
      </c>
      <c r="H5056" t="s">
        <v>12</v>
      </c>
    </row>
    <row r="5057" spans="1:8" x14ac:dyDescent="0.25">
      <c r="A5057" s="1">
        <v>45658.625</v>
      </c>
      <c r="B5057" t="s">
        <v>31</v>
      </c>
      <c r="C5057">
        <v>184.42</v>
      </c>
      <c r="D5057">
        <v>38.71</v>
      </c>
      <c r="E5057" t="s">
        <v>9</v>
      </c>
      <c r="F5057">
        <v>78.680000000000007</v>
      </c>
      <c r="G5057" t="s">
        <v>22</v>
      </c>
      <c r="H5057" t="s">
        <v>11</v>
      </c>
    </row>
    <row r="5058" spans="1:8" x14ac:dyDescent="0.25">
      <c r="A5058" s="1">
        <v>45658.666666666664</v>
      </c>
      <c r="B5058" t="s">
        <v>31</v>
      </c>
      <c r="C5058">
        <v>315.64</v>
      </c>
      <c r="D5058">
        <v>37.85</v>
      </c>
      <c r="E5058" t="s">
        <v>9</v>
      </c>
      <c r="F5058">
        <v>34.119999999999997</v>
      </c>
      <c r="G5058" t="s">
        <v>22</v>
      </c>
      <c r="H5058" t="s">
        <v>12</v>
      </c>
    </row>
    <row r="5059" spans="1:8" x14ac:dyDescent="0.25">
      <c r="A5059" s="1">
        <v>45658.708333333336</v>
      </c>
      <c r="B5059" t="s">
        <v>31</v>
      </c>
      <c r="C5059">
        <v>260.95</v>
      </c>
      <c r="D5059">
        <v>94.91</v>
      </c>
      <c r="E5059" t="s">
        <v>14</v>
      </c>
      <c r="F5059">
        <v>39.53</v>
      </c>
      <c r="G5059" t="s">
        <v>22</v>
      </c>
      <c r="H5059" t="s">
        <v>12</v>
      </c>
    </row>
    <row r="5060" spans="1:8" x14ac:dyDescent="0.25">
      <c r="A5060" s="1">
        <v>45658.75</v>
      </c>
      <c r="B5060" t="s">
        <v>31</v>
      </c>
      <c r="C5060">
        <v>352.9</v>
      </c>
      <c r="D5060">
        <v>20.100000000000001</v>
      </c>
      <c r="E5060" t="s">
        <v>9</v>
      </c>
      <c r="F5060">
        <v>64.7</v>
      </c>
      <c r="G5060" t="s">
        <v>22</v>
      </c>
      <c r="H5060" t="s">
        <v>11</v>
      </c>
    </row>
    <row r="5061" spans="1:8" x14ac:dyDescent="0.25">
      <c r="A5061" s="1">
        <v>45658.791666666664</v>
      </c>
      <c r="B5061" t="s">
        <v>31</v>
      </c>
      <c r="C5061">
        <v>146.08000000000001</v>
      </c>
      <c r="D5061">
        <v>15.37</v>
      </c>
      <c r="E5061" t="s">
        <v>9</v>
      </c>
      <c r="F5061">
        <v>73.48</v>
      </c>
      <c r="G5061" t="s">
        <v>22</v>
      </c>
      <c r="H5061" t="s">
        <v>11</v>
      </c>
    </row>
    <row r="5062" spans="1:8" x14ac:dyDescent="0.25">
      <c r="A5062" s="1">
        <v>45658.833333333336</v>
      </c>
      <c r="B5062" t="s">
        <v>31</v>
      </c>
      <c r="C5062">
        <v>130.13</v>
      </c>
      <c r="D5062">
        <v>78.08</v>
      </c>
      <c r="E5062" t="s">
        <v>9</v>
      </c>
      <c r="F5062">
        <v>47.95</v>
      </c>
      <c r="G5062" t="s">
        <v>22</v>
      </c>
      <c r="H5062" t="s">
        <v>11</v>
      </c>
    </row>
    <row r="5063" spans="1:8" x14ac:dyDescent="0.25">
      <c r="A5063" s="1">
        <v>45658.875</v>
      </c>
      <c r="B5063" t="s">
        <v>31</v>
      </c>
      <c r="C5063">
        <v>322.52999999999997</v>
      </c>
      <c r="D5063">
        <v>81.75</v>
      </c>
      <c r="E5063" t="s">
        <v>9</v>
      </c>
      <c r="F5063">
        <v>52.34</v>
      </c>
      <c r="G5063" t="s">
        <v>22</v>
      </c>
      <c r="H5063" t="s">
        <v>13</v>
      </c>
    </row>
    <row r="5064" spans="1:8" x14ac:dyDescent="0.25">
      <c r="A5064" s="1">
        <v>45658.916666666664</v>
      </c>
      <c r="B5064" t="s">
        <v>31</v>
      </c>
      <c r="C5064">
        <v>217.1</v>
      </c>
      <c r="D5064">
        <v>82.99</v>
      </c>
      <c r="E5064" t="s">
        <v>9</v>
      </c>
      <c r="F5064">
        <v>77.55</v>
      </c>
      <c r="G5064" t="s">
        <v>22</v>
      </c>
      <c r="H5064" t="s">
        <v>12</v>
      </c>
    </row>
    <row r="5065" spans="1:8" x14ac:dyDescent="0.25">
      <c r="A5065" s="1">
        <v>45658.958333333336</v>
      </c>
      <c r="B5065" t="s">
        <v>31</v>
      </c>
      <c r="C5065">
        <v>183.07</v>
      </c>
      <c r="D5065">
        <v>15.37</v>
      </c>
      <c r="E5065" t="s">
        <v>9</v>
      </c>
      <c r="F5065">
        <v>41.76</v>
      </c>
      <c r="G5065" t="s">
        <v>22</v>
      </c>
      <c r="H5065" t="s">
        <v>12</v>
      </c>
    </row>
    <row r="5066" spans="1:8" x14ac:dyDescent="0.25">
      <c r="A5066" s="1">
        <v>45659</v>
      </c>
      <c r="B5066" t="s">
        <v>31</v>
      </c>
      <c r="C5066">
        <v>376.64</v>
      </c>
      <c r="D5066">
        <v>69.37</v>
      </c>
      <c r="E5066" t="s">
        <v>9</v>
      </c>
      <c r="F5066">
        <v>67.150000000000006</v>
      </c>
      <c r="G5066" t="s">
        <v>22</v>
      </c>
      <c r="H5066" t="s">
        <v>11</v>
      </c>
    </row>
    <row r="5067" spans="1:8" x14ac:dyDescent="0.25">
      <c r="A5067" s="1">
        <v>45659.041666666664</v>
      </c>
      <c r="B5067" t="s">
        <v>31</v>
      </c>
      <c r="C5067">
        <v>67.77</v>
      </c>
      <c r="D5067">
        <v>36.28</v>
      </c>
      <c r="E5067" t="s">
        <v>9</v>
      </c>
      <c r="F5067">
        <v>31.17</v>
      </c>
      <c r="G5067" t="s">
        <v>22</v>
      </c>
      <c r="H5067" t="s">
        <v>11</v>
      </c>
    </row>
    <row r="5068" spans="1:8" x14ac:dyDescent="0.25">
      <c r="A5068" s="1">
        <v>45659.083333333336</v>
      </c>
      <c r="B5068" t="s">
        <v>31</v>
      </c>
      <c r="C5068">
        <v>447.75</v>
      </c>
      <c r="D5068">
        <v>41.72</v>
      </c>
      <c r="E5068" t="s">
        <v>9</v>
      </c>
      <c r="F5068">
        <v>37.5</v>
      </c>
      <c r="G5068" t="s">
        <v>22</v>
      </c>
      <c r="H5068" t="s">
        <v>11</v>
      </c>
    </row>
    <row r="5069" spans="1:8" x14ac:dyDescent="0.25">
      <c r="A5069" s="1">
        <v>45659.125</v>
      </c>
      <c r="B5069" t="s">
        <v>31</v>
      </c>
      <c r="C5069">
        <v>376.4</v>
      </c>
      <c r="D5069">
        <v>52.95</v>
      </c>
      <c r="E5069" t="s">
        <v>9</v>
      </c>
      <c r="F5069">
        <v>63.39</v>
      </c>
      <c r="G5069" t="s">
        <v>22</v>
      </c>
      <c r="H5069" t="s">
        <v>13</v>
      </c>
    </row>
    <row r="5070" spans="1:8" x14ac:dyDescent="0.25">
      <c r="A5070" s="1">
        <v>45659.166666666664</v>
      </c>
      <c r="B5070" t="s">
        <v>31</v>
      </c>
      <c r="C5070">
        <v>350.85</v>
      </c>
      <c r="D5070">
        <v>38.97</v>
      </c>
      <c r="E5070" t="s">
        <v>9</v>
      </c>
      <c r="F5070">
        <v>42.57</v>
      </c>
      <c r="G5070" t="s">
        <v>22</v>
      </c>
      <c r="H5070" t="s">
        <v>12</v>
      </c>
    </row>
    <row r="5071" spans="1:8" x14ac:dyDescent="0.25">
      <c r="A5071" s="1">
        <v>45659.208333333336</v>
      </c>
      <c r="B5071" t="s">
        <v>31</v>
      </c>
      <c r="C5071">
        <v>178.95</v>
      </c>
      <c r="D5071">
        <v>86.32</v>
      </c>
      <c r="E5071" t="s">
        <v>14</v>
      </c>
      <c r="F5071">
        <v>75.239999999999995</v>
      </c>
      <c r="G5071" t="s">
        <v>22</v>
      </c>
      <c r="H5071" t="s">
        <v>13</v>
      </c>
    </row>
    <row r="5072" spans="1:8" x14ac:dyDescent="0.25">
      <c r="A5072" s="1">
        <v>45659.25</v>
      </c>
      <c r="B5072" t="s">
        <v>31</v>
      </c>
      <c r="C5072">
        <v>494.63</v>
      </c>
      <c r="D5072">
        <v>69.98</v>
      </c>
      <c r="E5072" t="s">
        <v>9</v>
      </c>
      <c r="F5072">
        <v>85.89</v>
      </c>
      <c r="G5072" t="s">
        <v>22</v>
      </c>
      <c r="H5072" t="s">
        <v>11</v>
      </c>
    </row>
    <row r="5073" spans="1:8" x14ac:dyDescent="0.25">
      <c r="A5073" s="1">
        <v>45659.291666666664</v>
      </c>
      <c r="B5073" t="s">
        <v>31</v>
      </c>
      <c r="C5073">
        <v>263.58</v>
      </c>
      <c r="D5073">
        <v>30.22</v>
      </c>
      <c r="E5073" t="s">
        <v>9</v>
      </c>
      <c r="F5073">
        <v>49.44</v>
      </c>
      <c r="G5073" t="s">
        <v>22</v>
      </c>
      <c r="H5073" t="s">
        <v>13</v>
      </c>
    </row>
    <row r="5074" spans="1:8" x14ac:dyDescent="0.25">
      <c r="A5074" s="1">
        <v>45659.333333333336</v>
      </c>
      <c r="B5074" t="s">
        <v>31</v>
      </c>
      <c r="C5074">
        <v>286.64</v>
      </c>
      <c r="D5074">
        <v>56.03</v>
      </c>
      <c r="E5074" t="s">
        <v>9</v>
      </c>
      <c r="F5074">
        <v>64.5</v>
      </c>
      <c r="G5074" t="s">
        <v>22</v>
      </c>
      <c r="H5074" t="s">
        <v>13</v>
      </c>
    </row>
    <row r="5075" spans="1:8" x14ac:dyDescent="0.25">
      <c r="A5075" s="1">
        <v>45659.375</v>
      </c>
      <c r="B5075" t="s">
        <v>31</v>
      </c>
      <c r="C5075">
        <v>487.1</v>
      </c>
      <c r="D5075">
        <v>85.14</v>
      </c>
      <c r="E5075" t="s">
        <v>14</v>
      </c>
      <c r="F5075">
        <v>37.1</v>
      </c>
      <c r="G5075" t="s">
        <v>22</v>
      </c>
      <c r="H5075" t="s">
        <v>13</v>
      </c>
    </row>
    <row r="5076" spans="1:8" x14ac:dyDescent="0.25">
      <c r="A5076" s="1">
        <v>45659.416666666664</v>
      </c>
      <c r="B5076" t="s">
        <v>31</v>
      </c>
      <c r="C5076">
        <v>141.66</v>
      </c>
      <c r="D5076">
        <v>29.55</v>
      </c>
      <c r="E5076" t="s">
        <v>9</v>
      </c>
      <c r="F5076">
        <v>31.93</v>
      </c>
      <c r="G5076" t="s">
        <v>22</v>
      </c>
      <c r="H5076" t="s">
        <v>11</v>
      </c>
    </row>
    <row r="5077" spans="1:8" x14ac:dyDescent="0.25">
      <c r="A5077" s="1">
        <v>45659.458333333336</v>
      </c>
      <c r="B5077" t="s">
        <v>31</v>
      </c>
      <c r="C5077">
        <v>298.97000000000003</v>
      </c>
      <c r="D5077">
        <v>32.409999999999997</v>
      </c>
      <c r="E5077" t="s">
        <v>9</v>
      </c>
      <c r="F5077">
        <v>72.709999999999994</v>
      </c>
      <c r="G5077" t="s">
        <v>22</v>
      </c>
      <c r="H5077" t="s">
        <v>11</v>
      </c>
    </row>
    <row r="5078" spans="1:8" x14ac:dyDescent="0.25">
      <c r="A5078" s="1">
        <v>45659.5</v>
      </c>
      <c r="B5078" t="s">
        <v>31</v>
      </c>
      <c r="C5078">
        <v>73.959999999999994</v>
      </c>
      <c r="D5078">
        <v>33.44</v>
      </c>
      <c r="E5078" t="s">
        <v>9</v>
      </c>
      <c r="F5078">
        <v>79.930000000000007</v>
      </c>
      <c r="G5078" t="s">
        <v>22</v>
      </c>
      <c r="H5078" t="s">
        <v>12</v>
      </c>
    </row>
    <row r="5079" spans="1:8" x14ac:dyDescent="0.25">
      <c r="A5079" s="1">
        <v>45659.541666666664</v>
      </c>
      <c r="B5079" t="s">
        <v>31</v>
      </c>
      <c r="C5079">
        <v>284.14</v>
      </c>
      <c r="D5079">
        <v>42.15</v>
      </c>
      <c r="E5079" t="s">
        <v>9</v>
      </c>
      <c r="F5079">
        <v>45.22</v>
      </c>
      <c r="G5079" t="s">
        <v>22</v>
      </c>
      <c r="H5079" t="s">
        <v>12</v>
      </c>
    </row>
    <row r="5080" spans="1:8" x14ac:dyDescent="0.25">
      <c r="A5080" s="1">
        <v>45659.583333333336</v>
      </c>
      <c r="B5080" t="s">
        <v>31</v>
      </c>
      <c r="C5080">
        <v>392.88</v>
      </c>
      <c r="D5080">
        <v>81.27</v>
      </c>
      <c r="E5080" t="s">
        <v>9</v>
      </c>
      <c r="F5080">
        <v>43.94</v>
      </c>
      <c r="G5080" t="s">
        <v>22</v>
      </c>
      <c r="H5080" t="s">
        <v>13</v>
      </c>
    </row>
    <row r="5081" spans="1:8" x14ac:dyDescent="0.25">
      <c r="A5081" s="1">
        <v>45659.625</v>
      </c>
      <c r="B5081" t="s">
        <v>31</v>
      </c>
      <c r="C5081">
        <v>181.53</v>
      </c>
      <c r="D5081">
        <v>17.71</v>
      </c>
      <c r="E5081" t="s">
        <v>9</v>
      </c>
      <c r="F5081">
        <v>76.88</v>
      </c>
      <c r="G5081" t="s">
        <v>22</v>
      </c>
      <c r="H5081" t="s">
        <v>12</v>
      </c>
    </row>
    <row r="5082" spans="1:8" x14ac:dyDescent="0.25">
      <c r="A5082" s="1">
        <v>45659.666666666664</v>
      </c>
      <c r="B5082" t="s">
        <v>31</v>
      </c>
      <c r="C5082">
        <v>309.18</v>
      </c>
      <c r="D5082">
        <v>70.790000000000006</v>
      </c>
      <c r="E5082" t="s">
        <v>9</v>
      </c>
      <c r="F5082">
        <v>58.88</v>
      </c>
      <c r="G5082" t="s">
        <v>22</v>
      </c>
      <c r="H5082" t="s">
        <v>12</v>
      </c>
    </row>
    <row r="5083" spans="1:8" x14ac:dyDescent="0.25">
      <c r="A5083" s="1">
        <v>45659.708333333336</v>
      </c>
      <c r="B5083" t="s">
        <v>31</v>
      </c>
      <c r="C5083">
        <v>177.02</v>
      </c>
      <c r="D5083">
        <v>36.28</v>
      </c>
      <c r="E5083" t="s">
        <v>9</v>
      </c>
      <c r="F5083">
        <v>77.87</v>
      </c>
      <c r="G5083" t="s">
        <v>22</v>
      </c>
      <c r="H5083" t="s">
        <v>11</v>
      </c>
    </row>
    <row r="5084" spans="1:8" x14ac:dyDescent="0.25">
      <c r="A5084" s="1">
        <v>45659.75</v>
      </c>
      <c r="B5084" t="s">
        <v>31</v>
      </c>
      <c r="C5084">
        <v>69.97</v>
      </c>
      <c r="D5084">
        <v>72.819999999999993</v>
      </c>
      <c r="E5084" t="s">
        <v>9</v>
      </c>
      <c r="F5084">
        <v>83.88</v>
      </c>
      <c r="G5084" t="s">
        <v>22</v>
      </c>
      <c r="H5084" t="s">
        <v>12</v>
      </c>
    </row>
    <row r="5085" spans="1:8" x14ac:dyDescent="0.25">
      <c r="A5085" s="1">
        <v>45659.791666666664</v>
      </c>
      <c r="B5085" t="s">
        <v>31</v>
      </c>
      <c r="C5085">
        <v>391.65</v>
      </c>
      <c r="D5085">
        <v>58.75</v>
      </c>
      <c r="E5085" t="s">
        <v>9</v>
      </c>
      <c r="F5085">
        <v>77.02</v>
      </c>
      <c r="G5085" t="s">
        <v>22</v>
      </c>
      <c r="H5085" t="s">
        <v>11</v>
      </c>
    </row>
    <row r="5086" spans="1:8" x14ac:dyDescent="0.25">
      <c r="A5086" s="1">
        <v>45659.833333333336</v>
      </c>
      <c r="B5086" t="s">
        <v>31</v>
      </c>
      <c r="C5086">
        <v>53.48</v>
      </c>
      <c r="D5086">
        <v>41.86</v>
      </c>
      <c r="E5086" t="s">
        <v>9</v>
      </c>
      <c r="F5086">
        <v>75.09</v>
      </c>
      <c r="G5086" t="s">
        <v>22</v>
      </c>
      <c r="H5086" t="s">
        <v>12</v>
      </c>
    </row>
    <row r="5087" spans="1:8" x14ac:dyDescent="0.25">
      <c r="A5087" s="1">
        <v>45659.875</v>
      </c>
      <c r="B5087" t="s">
        <v>31</v>
      </c>
      <c r="C5087">
        <v>263.83999999999997</v>
      </c>
      <c r="D5087">
        <v>38.97</v>
      </c>
      <c r="E5087" t="s">
        <v>9</v>
      </c>
      <c r="F5087">
        <v>60.42</v>
      </c>
      <c r="G5087" t="s">
        <v>22</v>
      </c>
      <c r="H5087" t="s">
        <v>11</v>
      </c>
    </row>
    <row r="5088" spans="1:8" x14ac:dyDescent="0.25">
      <c r="A5088" s="1">
        <v>45659.916666666664</v>
      </c>
      <c r="B5088" t="s">
        <v>31</v>
      </c>
      <c r="C5088">
        <v>324.62</v>
      </c>
      <c r="D5088">
        <v>29.07</v>
      </c>
      <c r="E5088" t="s">
        <v>9</v>
      </c>
      <c r="F5088">
        <v>69.34</v>
      </c>
      <c r="G5088" t="s">
        <v>22</v>
      </c>
      <c r="H5088" t="s">
        <v>11</v>
      </c>
    </row>
    <row r="5089" spans="1:8" x14ac:dyDescent="0.25">
      <c r="A5089" s="1">
        <v>45659.958333333336</v>
      </c>
      <c r="B5089" t="s">
        <v>31</v>
      </c>
      <c r="C5089">
        <v>342.32</v>
      </c>
      <c r="D5089">
        <v>49.46</v>
      </c>
      <c r="E5089" t="s">
        <v>9</v>
      </c>
      <c r="F5089">
        <v>87.01</v>
      </c>
      <c r="G5089" t="s">
        <v>22</v>
      </c>
      <c r="H5089" t="s">
        <v>12</v>
      </c>
    </row>
    <row r="5090" spans="1:8" x14ac:dyDescent="0.25">
      <c r="A5090" s="1">
        <v>45660</v>
      </c>
      <c r="B5090" t="s">
        <v>31</v>
      </c>
      <c r="C5090">
        <v>144.59</v>
      </c>
      <c r="D5090">
        <v>84.9</v>
      </c>
      <c r="E5090" t="s">
        <v>9</v>
      </c>
      <c r="F5090">
        <v>59.28</v>
      </c>
      <c r="G5090" t="s">
        <v>22</v>
      </c>
      <c r="H5090" t="s">
        <v>11</v>
      </c>
    </row>
    <row r="5091" spans="1:8" x14ac:dyDescent="0.25">
      <c r="A5091" s="1">
        <v>45660.041666666664</v>
      </c>
      <c r="B5091" t="s">
        <v>31</v>
      </c>
      <c r="C5091">
        <v>248.24</v>
      </c>
      <c r="D5091">
        <v>55.81</v>
      </c>
      <c r="E5091" t="s">
        <v>9</v>
      </c>
      <c r="F5091">
        <v>47.49</v>
      </c>
      <c r="G5091" t="s">
        <v>22</v>
      </c>
      <c r="H5091" t="s">
        <v>11</v>
      </c>
    </row>
    <row r="5092" spans="1:8" x14ac:dyDescent="0.25">
      <c r="A5092" s="1">
        <v>45660.083333333336</v>
      </c>
      <c r="B5092" t="s">
        <v>31</v>
      </c>
      <c r="C5092">
        <v>495.31</v>
      </c>
      <c r="D5092">
        <v>57.24</v>
      </c>
      <c r="E5092" t="s">
        <v>9</v>
      </c>
      <c r="F5092">
        <v>47.34</v>
      </c>
      <c r="G5092" t="s">
        <v>22</v>
      </c>
      <c r="H5092" t="s">
        <v>13</v>
      </c>
    </row>
    <row r="5093" spans="1:8" x14ac:dyDescent="0.25">
      <c r="A5093" s="1">
        <v>45660.125</v>
      </c>
      <c r="B5093" t="s">
        <v>31</v>
      </c>
      <c r="C5093">
        <v>464.23</v>
      </c>
      <c r="D5093">
        <v>80.760000000000005</v>
      </c>
      <c r="E5093" t="s">
        <v>9</v>
      </c>
      <c r="F5093">
        <v>33.92</v>
      </c>
      <c r="G5093" t="s">
        <v>22</v>
      </c>
      <c r="H5093" t="s">
        <v>13</v>
      </c>
    </row>
    <row r="5094" spans="1:8" x14ac:dyDescent="0.25">
      <c r="A5094" s="1">
        <v>45660.166666666664</v>
      </c>
      <c r="B5094" t="s">
        <v>31</v>
      </c>
      <c r="C5094">
        <v>204.5</v>
      </c>
      <c r="D5094">
        <v>31.3</v>
      </c>
      <c r="E5094" t="s">
        <v>9</v>
      </c>
      <c r="F5094">
        <v>84.54</v>
      </c>
      <c r="G5094" t="s">
        <v>22</v>
      </c>
      <c r="H5094" t="s">
        <v>12</v>
      </c>
    </row>
    <row r="5095" spans="1:8" x14ac:dyDescent="0.25">
      <c r="A5095" s="1">
        <v>45660.208333333336</v>
      </c>
      <c r="B5095" t="s">
        <v>31</v>
      </c>
      <c r="C5095">
        <v>259.38</v>
      </c>
      <c r="D5095">
        <v>24.91</v>
      </c>
      <c r="E5095" t="s">
        <v>9</v>
      </c>
      <c r="F5095">
        <v>30.8</v>
      </c>
      <c r="G5095" t="s">
        <v>22</v>
      </c>
      <c r="H5095" t="s">
        <v>11</v>
      </c>
    </row>
    <row r="5096" spans="1:8" x14ac:dyDescent="0.25">
      <c r="A5096" s="1">
        <v>45660.25</v>
      </c>
      <c r="B5096" t="s">
        <v>31</v>
      </c>
      <c r="C5096">
        <v>210.29</v>
      </c>
      <c r="D5096">
        <v>35.33</v>
      </c>
      <c r="E5096" t="s">
        <v>9</v>
      </c>
      <c r="F5096">
        <v>66.8</v>
      </c>
      <c r="G5096" t="s">
        <v>22</v>
      </c>
      <c r="H5096" t="s">
        <v>13</v>
      </c>
    </row>
    <row r="5097" spans="1:8" x14ac:dyDescent="0.25">
      <c r="A5097" s="1">
        <v>45660.291666666664</v>
      </c>
      <c r="B5097" t="s">
        <v>31</v>
      </c>
      <c r="C5097">
        <v>454.52</v>
      </c>
      <c r="D5097">
        <v>29.39</v>
      </c>
      <c r="E5097" t="s">
        <v>9</v>
      </c>
      <c r="F5097">
        <v>52.28</v>
      </c>
      <c r="G5097" t="s">
        <v>22</v>
      </c>
      <c r="H5097" t="s">
        <v>12</v>
      </c>
    </row>
    <row r="5098" spans="1:8" x14ac:dyDescent="0.25">
      <c r="A5098" s="1">
        <v>45660.333333333336</v>
      </c>
      <c r="B5098" t="s">
        <v>31</v>
      </c>
      <c r="C5098">
        <v>137.97999999999999</v>
      </c>
      <c r="D5098">
        <v>91.98</v>
      </c>
      <c r="E5098" t="s">
        <v>14</v>
      </c>
      <c r="F5098">
        <v>39.270000000000003</v>
      </c>
      <c r="G5098" t="s">
        <v>22</v>
      </c>
      <c r="H5098" t="s">
        <v>12</v>
      </c>
    </row>
    <row r="5099" spans="1:8" x14ac:dyDescent="0.25">
      <c r="A5099" s="1">
        <v>45660.375</v>
      </c>
      <c r="B5099" t="s">
        <v>31</v>
      </c>
      <c r="C5099">
        <v>416.05</v>
      </c>
      <c r="D5099">
        <v>74.25</v>
      </c>
      <c r="E5099" t="s">
        <v>9</v>
      </c>
      <c r="F5099">
        <v>82.55</v>
      </c>
      <c r="G5099" t="s">
        <v>22</v>
      </c>
      <c r="H5099" t="s">
        <v>11</v>
      </c>
    </row>
    <row r="5100" spans="1:8" x14ac:dyDescent="0.25">
      <c r="A5100" s="1">
        <v>45660.416666666664</v>
      </c>
      <c r="B5100" t="s">
        <v>31</v>
      </c>
      <c r="C5100">
        <v>336.09</v>
      </c>
      <c r="D5100">
        <v>69.53</v>
      </c>
      <c r="E5100" t="s">
        <v>9</v>
      </c>
      <c r="F5100">
        <v>58.05</v>
      </c>
      <c r="G5100" t="s">
        <v>22</v>
      </c>
      <c r="H5100" t="s">
        <v>13</v>
      </c>
    </row>
    <row r="5101" spans="1:8" x14ac:dyDescent="0.25">
      <c r="A5101" s="1">
        <v>45660.458333333336</v>
      </c>
      <c r="B5101" t="s">
        <v>31</v>
      </c>
      <c r="C5101">
        <v>488.26</v>
      </c>
      <c r="D5101">
        <v>60.21</v>
      </c>
      <c r="E5101" t="s">
        <v>9</v>
      </c>
      <c r="F5101">
        <v>84.41</v>
      </c>
      <c r="G5101" t="s">
        <v>22</v>
      </c>
      <c r="H5101" t="s">
        <v>12</v>
      </c>
    </row>
    <row r="5102" spans="1:8" x14ac:dyDescent="0.25">
      <c r="A5102" s="1">
        <v>45660.5</v>
      </c>
      <c r="B5102" t="s">
        <v>31</v>
      </c>
      <c r="C5102">
        <v>326.14999999999998</v>
      </c>
      <c r="D5102">
        <v>50.47</v>
      </c>
      <c r="E5102" t="s">
        <v>9</v>
      </c>
      <c r="F5102">
        <v>49.31</v>
      </c>
      <c r="G5102" t="s">
        <v>22</v>
      </c>
      <c r="H5102" t="s">
        <v>11</v>
      </c>
    </row>
    <row r="5103" spans="1:8" x14ac:dyDescent="0.25">
      <c r="A5103" s="1">
        <v>45660.541666666664</v>
      </c>
      <c r="B5103" t="s">
        <v>31</v>
      </c>
      <c r="C5103">
        <v>369.08</v>
      </c>
      <c r="D5103">
        <v>61.63</v>
      </c>
      <c r="E5103" t="s">
        <v>9</v>
      </c>
      <c r="F5103">
        <v>77.09</v>
      </c>
      <c r="G5103" t="s">
        <v>22</v>
      </c>
      <c r="H5103" t="s">
        <v>13</v>
      </c>
    </row>
    <row r="5104" spans="1:8" x14ac:dyDescent="0.25">
      <c r="A5104" s="1">
        <v>45660.583333333336</v>
      </c>
      <c r="B5104" t="s">
        <v>31</v>
      </c>
      <c r="C5104">
        <v>311.95</v>
      </c>
      <c r="D5104">
        <v>85.33</v>
      </c>
      <c r="E5104" t="s">
        <v>14</v>
      </c>
      <c r="F5104">
        <v>43.05</v>
      </c>
      <c r="G5104" t="s">
        <v>22</v>
      </c>
      <c r="H5104" t="s">
        <v>11</v>
      </c>
    </row>
    <row r="5105" spans="1:8" x14ac:dyDescent="0.25">
      <c r="A5105" s="1">
        <v>45660.625</v>
      </c>
      <c r="B5105" t="s">
        <v>31</v>
      </c>
      <c r="C5105">
        <v>410.56</v>
      </c>
      <c r="D5105">
        <v>21.22</v>
      </c>
      <c r="E5105" t="s">
        <v>9</v>
      </c>
      <c r="F5105">
        <v>43.71</v>
      </c>
      <c r="G5105" t="s">
        <v>22</v>
      </c>
      <c r="H5105" t="s">
        <v>13</v>
      </c>
    </row>
    <row r="5106" spans="1:8" x14ac:dyDescent="0.25">
      <c r="A5106" s="1">
        <v>45660.666666666664</v>
      </c>
      <c r="B5106" t="s">
        <v>31</v>
      </c>
      <c r="C5106">
        <v>220.1</v>
      </c>
      <c r="D5106">
        <v>45.79</v>
      </c>
      <c r="E5106" t="s">
        <v>9</v>
      </c>
      <c r="F5106">
        <v>82.45</v>
      </c>
      <c r="G5106" t="s">
        <v>22</v>
      </c>
      <c r="H5106" t="s">
        <v>11</v>
      </c>
    </row>
    <row r="5107" spans="1:8" x14ac:dyDescent="0.25">
      <c r="A5107" s="1">
        <v>45660.708333333336</v>
      </c>
      <c r="B5107" t="s">
        <v>31</v>
      </c>
      <c r="C5107">
        <v>364.72</v>
      </c>
      <c r="D5107">
        <v>40.369999999999997</v>
      </c>
      <c r="E5107" t="s">
        <v>9</v>
      </c>
      <c r="F5107">
        <v>56.22</v>
      </c>
      <c r="G5107" t="s">
        <v>22</v>
      </c>
      <c r="H5107" t="s">
        <v>11</v>
      </c>
    </row>
    <row r="5108" spans="1:8" x14ac:dyDescent="0.25">
      <c r="A5108" s="1">
        <v>45660.75</v>
      </c>
      <c r="B5108" t="s">
        <v>31</v>
      </c>
      <c r="C5108">
        <v>351.88</v>
      </c>
      <c r="D5108">
        <v>46.09</v>
      </c>
      <c r="E5108" t="s">
        <v>9</v>
      </c>
      <c r="F5108">
        <v>37.97</v>
      </c>
      <c r="G5108" t="s">
        <v>22</v>
      </c>
      <c r="H5108" t="s">
        <v>12</v>
      </c>
    </row>
    <row r="5109" spans="1:8" x14ac:dyDescent="0.25">
      <c r="A5109" s="1">
        <v>45660.791666666664</v>
      </c>
      <c r="B5109" t="s">
        <v>31</v>
      </c>
      <c r="C5109">
        <v>129.72</v>
      </c>
      <c r="D5109">
        <v>25.75</v>
      </c>
      <c r="E5109" t="s">
        <v>9</v>
      </c>
      <c r="F5109">
        <v>55.27</v>
      </c>
      <c r="G5109" t="s">
        <v>22</v>
      </c>
      <c r="H5109" t="s">
        <v>13</v>
      </c>
    </row>
    <row r="5110" spans="1:8" x14ac:dyDescent="0.25">
      <c r="A5110" s="1">
        <v>45660.833333333336</v>
      </c>
      <c r="B5110" t="s">
        <v>31</v>
      </c>
      <c r="C5110">
        <v>166</v>
      </c>
      <c r="D5110">
        <v>27.16</v>
      </c>
      <c r="E5110" t="s">
        <v>9</v>
      </c>
      <c r="F5110">
        <v>87.39</v>
      </c>
      <c r="G5110" t="s">
        <v>22</v>
      </c>
      <c r="H5110" t="s">
        <v>12</v>
      </c>
    </row>
    <row r="5111" spans="1:8" x14ac:dyDescent="0.25">
      <c r="A5111" s="1">
        <v>45660.875</v>
      </c>
      <c r="B5111" t="s">
        <v>31</v>
      </c>
      <c r="C5111">
        <v>268.33</v>
      </c>
      <c r="D5111">
        <v>91.58</v>
      </c>
      <c r="E5111" t="s">
        <v>14</v>
      </c>
      <c r="F5111">
        <v>55.61</v>
      </c>
      <c r="G5111" t="s">
        <v>22</v>
      </c>
      <c r="H5111" t="s">
        <v>13</v>
      </c>
    </row>
    <row r="5112" spans="1:8" x14ac:dyDescent="0.25">
      <c r="A5112" s="1">
        <v>45660.916666666664</v>
      </c>
      <c r="B5112" t="s">
        <v>31</v>
      </c>
      <c r="C5112">
        <v>135.6</v>
      </c>
      <c r="D5112">
        <v>94.77</v>
      </c>
      <c r="E5112" t="s">
        <v>14</v>
      </c>
      <c r="F5112">
        <v>46.94</v>
      </c>
      <c r="G5112" t="s">
        <v>22</v>
      </c>
      <c r="H5112" t="s">
        <v>13</v>
      </c>
    </row>
    <row r="5113" spans="1:8" x14ac:dyDescent="0.25">
      <c r="A5113" s="1">
        <v>45660.958333333336</v>
      </c>
      <c r="B5113" t="s">
        <v>31</v>
      </c>
      <c r="C5113">
        <v>223.64</v>
      </c>
      <c r="D5113">
        <v>29.79</v>
      </c>
      <c r="E5113" t="s">
        <v>9</v>
      </c>
      <c r="F5113">
        <v>60.73</v>
      </c>
      <c r="G5113" t="s">
        <v>22</v>
      </c>
      <c r="H5113" t="s">
        <v>13</v>
      </c>
    </row>
    <row r="5114" spans="1:8" x14ac:dyDescent="0.25">
      <c r="A5114" s="1">
        <v>45661</v>
      </c>
      <c r="B5114" t="s">
        <v>31</v>
      </c>
      <c r="C5114">
        <v>410.94</v>
      </c>
      <c r="D5114">
        <v>48.74</v>
      </c>
      <c r="E5114" t="s">
        <v>9</v>
      </c>
      <c r="F5114">
        <v>70.599999999999994</v>
      </c>
      <c r="G5114" t="s">
        <v>22</v>
      </c>
      <c r="H5114" t="s">
        <v>12</v>
      </c>
    </row>
    <row r="5115" spans="1:8" x14ac:dyDescent="0.25">
      <c r="A5115" s="1">
        <v>45661.041666666664</v>
      </c>
      <c r="B5115" t="s">
        <v>31</v>
      </c>
      <c r="C5115">
        <v>278.91000000000003</v>
      </c>
      <c r="D5115">
        <v>18.72</v>
      </c>
      <c r="E5115" t="s">
        <v>9</v>
      </c>
      <c r="F5115">
        <v>39.22</v>
      </c>
      <c r="G5115" t="s">
        <v>22</v>
      </c>
      <c r="H5115" t="s">
        <v>12</v>
      </c>
    </row>
    <row r="5116" spans="1:8" x14ac:dyDescent="0.25">
      <c r="A5116" s="1">
        <v>45661.083333333336</v>
      </c>
      <c r="B5116" t="s">
        <v>31</v>
      </c>
      <c r="C5116">
        <v>182.88</v>
      </c>
      <c r="D5116">
        <v>82.69</v>
      </c>
      <c r="E5116" t="s">
        <v>9</v>
      </c>
      <c r="F5116">
        <v>52.83</v>
      </c>
      <c r="G5116" t="s">
        <v>22</v>
      </c>
      <c r="H5116" t="s">
        <v>12</v>
      </c>
    </row>
    <row r="5117" spans="1:8" x14ac:dyDescent="0.25">
      <c r="A5117" s="1">
        <v>45661.125</v>
      </c>
      <c r="B5117" t="s">
        <v>31</v>
      </c>
      <c r="C5117">
        <v>77.81</v>
      </c>
      <c r="D5117">
        <v>73.849999999999994</v>
      </c>
      <c r="E5117" t="s">
        <v>9</v>
      </c>
      <c r="F5117">
        <v>75</v>
      </c>
      <c r="G5117" t="s">
        <v>22</v>
      </c>
      <c r="H5117" t="s">
        <v>12</v>
      </c>
    </row>
    <row r="5118" spans="1:8" x14ac:dyDescent="0.25">
      <c r="A5118" s="1">
        <v>45661.166666666664</v>
      </c>
      <c r="B5118" t="s">
        <v>31</v>
      </c>
      <c r="C5118">
        <v>443.13</v>
      </c>
      <c r="D5118">
        <v>47.21</v>
      </c>
      <c r="E5118" t="s">
        <v>9</v>
      </c>
      <c r="F5118">
        <v>46.16</v>
      </c>
      <c r="G5118" t="s">
        <v>22</v>
      </c>
      <c r="H5118" t="s">
        <v>13</v>
      </c>
    </row>
    <row r="5119" spans="1:8" x14ac:dyDescent="0.25">
      <c r="A5119" s="1">
        <v>45661.208333333336</v>
      </c>
      <c r="B5119" t="s">
        <v>31</v>
      </c>
      <c r="C5119">
        <v>372.86</v>
      </c>
      <c r="D5119">
        <v>55.85</v>
      </c>
      <c r="E5119" t="s">
        <v>9</v>
      </c>
      <c r="F5119">
        <v>30.46</v>
      </c>
      <c r="G5119" t="s">
        <v>22</v>
      </c>
      <c r="H5119" t="s">
        <v>11</v>
      </c>
    </row>
    <row r="5120" spans="1:8" x14ac:dyDescent="0.25">
      <c r="A5120" s="1">
        <v>45661.25</v>
      </c>
      <c r="B5120" t="s">
        <v>31</v>
      </c>
      <c r="C5120">
        <v>485.34</v>
      </c>
      <c r="D5120">
        <v>21.2</v>
      </c>
      <c r="E5120" t="s">
        <v>9</v>
      </c>
      <c r="F5120">
        <v>58.65</v>
      </c>
      <c r="G5120" t="s">
        <v>22</v>
      </c>
      <c r="H5120" t="s">
        <v>11</v>
      </c>
    </row>
    <row r="5121" spans="1:8" x14ac:dyDescent="0.25">
      <c r="A5121" s="1">
        <v>45661.291666666664</v>
      </c>
      <c r="B5121" t="s">
        <v>31</v>
      </c>
      <c r="C5121">
        <v>333.59</v>
      </c>
      <c r="D5121">
        <v>20.37</v>
      </c>
      <c r="E5121" t="s">
        <v>9</v>
      </c>
      <c r="F5121">
        <v>40.520000000000003</v>
      </c>
      <c r="G5121" t="s">
        <v>22</v>
      </c>
      <c r="H5121" t="s">
        <v>11</v>
      </c>
    </row>
    <row r="5122" spans="1:8" x14ac:dyDescent="0.25">
      <c r="A5122" s="1">
        <v>45661.333333333336</v>
      </c>
      <c r="B5122" t="s">
        <v>31</v>
      </c>
      <c r="C5122">
        <v>119.77</v>
      </c>
      <c r="D5122">
        <v>64.58</v>
      </c>
      <c r="E5122" t="s">
        <v>9</v>
      </c>
      <c r="F5122">
        <v>33.950000000000003</v>
      </c>
      <c r="G5122" t="s">
        <v>22</v>
      </c>
      <c r="H5122" t="s">
        <v>11</v>
      </c>
    </row>
    <row r="5123" spans="1:8" x14ac:dyDescent="0.25">
      <c r="A5123" s="1">
        <v>45661.375</v>
      </c>
      <c r="B5123" t="s">
        <v>31</v>
      </c>
      <c r="C5123">
        <v>109.36</v>
      </c>
      <c r="D5123">
        <v>16.86</v>
      </c>
      <c r="E5123" t="s">
        <v>9</v>
      </c>
      <c r="F5123">
        <v>53.7</v>
      </c>
      <c r="G5123" t="s">
        <v>22</v>
      </c>
      <c r="H5123" t="s">
        <v>11</v>
      </c>
    </row>
    <row r="5124" spans="1:8" x14ac:dyDescent="0.25">
      <c r="A5124" s="1">
        <v>45661.416666666664</v>
      </c>
      <c r="B5124" t="s">
        <v>31</v>
      </c>
      <c r="C5124">
        <v>452.29</v>
      </c>
      <c r="D5124">
        <v>23.41</v>
      </c>
      <c r="E5124" t="s">
        <v>9</v>
      </c>
      <c r="F5124">
        <v>57.28</v>
      </c>
      <c r="G5124" t="s">
        <v>22</v>
      </c>
      <c r="H5124" t="s">
        <v>13</v>
      </c>
    </row>
    <row r="5125" spans="1:8" x14ac:dyDescent="0.25">
      <c r="A5125" s="1">
        <v>45661.458333333336</v>
      </c>
      <c r="B5125" t="s">
        <v>31</v>
      </c>
      <c r="C5125">
        <v>201.4</v>
      </c>
      <c r="D5125">
        <v>14.02</v>
      </c>
      <c r="E5125" t="s">
        <v>9</v>
      </c>
      <c r="F5125">
        <v>83.46</v>
      </c>
      <c r="G5125" t="s">
        <v>22</v>
      </c>
      <c r="H5125" t="s">
        <v>12</v>
      </c>
    </row>
    <row r="5126" spans="1:8" x14ac:dyDescent="0.25">
      <c r="A5126" s="1">
        <v>45661.5</v>
      </c>
      <c r="B5126" t="s">
        <v>31</v>
      </c>
      <c r="C5126">
        <v>253.19</v>
      </c>
      <c r="D5126">
        <v>76.3</v>
      </c>
      <c r="E5126" t="s">
        <v>9</v>
      </c>
      <c r="F5126">
        <v>75.72</v>
      </c>
      <c r="G5126" t="s">
        <v>22</v>
      </c>
      <c r="H5126" t="s">
        <v>11</v>
      </c>
    </row>
    <row r="5127" spans="1:8" x14ac:dyDescent="0.25">
      <c r="A5127" s="1">
        <v>45661.541666666664</v>
      </c>
      <c r="B5127" t="s">
        <v>31</v>
      </c>
      <c r="C5127">
        <v>327.62</v>
      </c>
      <c r="D5127">
        <v>62.87</v>
      </c>
      <c r="E5127" t="s">
        <v>9</v>
      </c>
      <c r="F5127">
        <v>84.79</v>
      </c>
      <c r="G5127" t="s">
        <v>22</v>
      </c>
      <c r="H5127" t="s">
        <v>12</v>
      </c>
    </row>
    <row r="5128" spans="1:8" x14ac:dyDescent="0.25">
      <c r="A5128" s="1">
        <v>45661.583333333336</v>
      </c>
      <c r="B5128" t="s">
        <v>31</v>
      </c>
      <c r="C5128">
        <v>326.20999999999998</v>
      </c>
      <c r="D5128">
        <v>64.33</v>
      </c>
      <c r="E5128" t="s">
        <v>9</v>
      </c>
      <c r="F5128">
        <v>32.79</v>
      </c>
      <c r="G5128" t="s">
        <v>22</v>
      </c>
      <c r="H5128" t="s">
        <v>13</v>
      </c>
    </row>
    <row r="5129" spans="1:8" x14ac:dyDescent="0.25">
      <c r="A5129" s="1">
        <v>45661.625</v>
      </c>
      <c r="B5129" t="s">
        <v>31</v>
      </c>
      <c r="C5129">
        <v>358.52</v>
      </c>
      <c r="D5129">
        <v>39.96</v>
      </c>
      <c r="E5129" t="s">
        <v>9</v>
      </c>
      <c r="F5129">
        <v>63.55</v>
      </c>
      <c r="G5129" t="s">
        <v>22</v>
      </c>
      <c r="H5129" t="s">
        <v>12</v>
      </c>
    </row>
    <row r="5130" spans="1:8" x14ac:dyDescent="0.25">
      <c r="A5130" s="1">
        <v>45661.666666666664</v>
      </c>
      <c r="B5130" t="s">
        <v>31</v>
      </c>
      <c r="C5130">
        <v>298.47000000000003</v>
      </c>
      <c r="D5130">
        <v>14.14</v>
      </c>
      <c r="E5130" t="s">
        <v>9</v>
      </c>
      <c r="F5130">
        <v>68.180000000000007</v>
      </c>
      <c r="G5130" t="s">
        <v>22</v>
      </c>
      <c r="H5130" t="s">
        <v>12</v>
      </c>
    </row>
    <row r="5131" spans="1:8" x14ac:dyDescent="0.25">
      <c r="A5131" s="1">
        <v>45661.708333333336</v>
      </c>
      <c r="B5131" t="s">
        <v>31</v>
      </c>
      <c r="C5131">
        <v>454.32</v>
      </c>
      <c r="D5131">
        <v>38.590000000000003</v>
      </c>
      <c r="E5131" t="s">
        <v>9</v>
      </c>
      <c r="F5131">
        <v>65.84</v>
      </c>
      <c r="G5131" t="s">
        <v>22</v>
      </c>
      <c r="H5131" t="s">
        <v>12</v>
      </c>
    </row>
    <row r="5132" spans="1:8" x14ac:dyDescent="0.25">
      <c r="A5132" s="1">
        <v>45661.75</v>
      </c>
      <c r="B5132" t="s">
        <v>31</v>
      </c>
      <c r="C5132">
        <v>184.15</v>
      </c>
      <c r="D5132">
        <v>32.07</v>
      </c>
      <c r="E5132" t="s">
        <v>9</v>
      </c>
      <c r="F5132">
        <v>42.65</v>
      </c>
      <c r="G5132" t="s">
        <v>22</v>
      </c>
      <c r="H5132" t="s">
        <v>11</v>
      </c>
    </row>
    <row r="5133" spans="1:8" x14ac:dyDescent="0.25">
      <c r="A5133" s="1">
        <v>45661.791666666664</v>
      </c>
      <c r="B5133" t="s">
        <v>31</v>
      </c>
      <c r="C5133">
        <v>477.4</v>
      </c>
      <c r="D5133">
        <v>63.3</v>
      </c>
      <c r="E5133" t="s">
        <v>9</v>
      </c>
      <c r="F5133">
        <v>48.2</v>
      </c>
      <c r="G5133" t="s">
        <v>22</v>
      </c>
      <c r="H5133" t="s">
        <v>13</v>
      </c>
    </row>
    <row r="5134" spans="1:8" x14ac:dyDescent="0.25">
      <c r="A5134" s="1">
        <v>45661.833333333336</v>
      </c>
      <c r="B5134" t="s">
        <v>31</v>
      </c>
      <c r="C5134">
        <v>401.76</v>
      </c>
      <c r="D5134">
        <v>57.88</v>
      </c>
      <c r="E5134" t="s">
        <v>9</v>
      </c>
      <c r="F5134">
        <v>60.22</v>
      </c>
      <c r="G5134" t="s">
        <v>22</v>
      </c>
      <c r="H5134" t="s">
        <v>12</v>
      </c>
    </row>
    <row r="5135" spans="1:8" x14ac:dyDescent="0.25">
      <c r="A5135" s="1">
        <v>45661.875</v>
      </c>
      <c r="B5135" t="s">
        <v>31</v>
      </c>
      <c r="C5135">
        <v>82.54</v>
      </c>
      <c r="D5135">
        <v>53.11</v>
      </c>
      <c r="E5135" t="s">
        <v>9</v>
      </c>
      <c r="F5135">
        <v>82.03</v>
      </c>
      <c r="G5135" t="s">
        <v>22</v>
      </c>
      <c r="H5135" t="s">
        <v>11</v>
      </c>
    </row>
    <row r="5136" spans="1:8" x14ac:dyDescent="0.25">
      <c r="A5136" s="1">
        <v>45661.916666666664</v>
      </c>
      <c r="B5136" t="s">
        <v>31</v>
      </c>
      <c r="C5136">
        <v>495.17</v>
      </c>
      <c r="D5136">
        <v>42.33</v>
      </c>
      <c r="E5136" t="s">
        <v>9</v>
      </c>
      <c r="F5136">
        <v>87.93</v>
      </c>
      <c r="G5136" t="s">
        <v>22</v>
      </c>
      <c r="H5136" t="s">
        <v>12</v>
      </c>
    </row>
    <row r="5137" spans="1:8" x14ac:dyDescent="0.25">
      <c r="A5137" s="1">
        <v>45661.958333333336</v>
      </c>
      <c r="B5137" t="s">
        <v>31</v>
      </c>
      <c r="C5137">
        <v>79.930000000000007</v>
      </c>
      <c r="D5137">
        <v>48.43</v>
      </c>
      <c r="E5137" t="s">
        <v>9</v>
      </c>
      <c r="F5137">
        <v>37.549999999999997</v>
      </c>
      <c r="G5137" t="s">
        <v>22</v>
      </c>
      <c r="H5137" t="s">
        <v>12</v>
      </c>
    </row>
    <row r="5138" spans="1:8" x14ac:dyDescent="0.25">
      <c r="A5138" s="1">
        <v>45662</v>
      </c>
      <c r="B5138" t="s">
        <v>31</v>
      </c>
      <c r="C5138">
        <v>306.88</v>
      </c>
      <c r="D5138">
        <v>62.02</v>
      </c>
      <c r="E5138" t="s">
        <v>9</v>
      </c>
      <c r="F5138">
        <v>76.510000000000005</v>
      </c>
      <c r="G5138" t="s">
        <v>22</v>
      </c>
      <c r="H5138" t="s">
        <v>12</v>
      </c>
    </row>
    <row r="5139" spans="1:8" x14ac:dyDescent="0.25">
      <c r="A5139" s="1">
        <v>45662.041666666664</v>
      </c>
      <c r="B5139" t="s">
        <v>31</v>
      </c>
      <c r="C5139">
        <v>90.75</v>
      </c>
      <c r="D5139">
        <v>89.28</v>
      </c>
      <c r="E5139" t="s">
        <v>14</v>
      </c>
      <c r="F5139">
        <v>58.17</v>
      </c>
      <c r="G5139" t="s">
        <v>22</v>
      </c>
      <c r="H5139" t="s">
        <v>13</v>
      </c>
    </row>
    <row r="5140" spans="1:8" x14ac:dyDescent="0.25">
      <c r="A5140" s="1">
        <v>45662.083333333336</v>
      </c>
      <c r="B5140" t="s">
        <v>31</v>
      </c>
      <c r="C5140">
        <v>151.37</v>
      </c>
      <c r="D5140">
        <v>27.1</v>
      </c>
      <c r="E5140" t="s">
        <v>9</v>
      </c>
      <c r="F5140">
        <v>54</v>
      </c>
      <c r="G5140" t="s">
        <v>22</v>
      </c>
      <c r="H5140" t="s">
        <v>11</v>
      </c>
    </row>
    <row r="5141" spans="1:8" x14ac:dyDescent="0.25">
      <c r="A5141" s="1">
        <v>45662.125</v>
      </c>
      <c r="B5141" t="s">
        <v>31</v>
      </c>
      <c r="C5141">
        <v>242.53</v>
      </c>
      <c r="D5141">
        <v>85.96</v>
      </c>
      <c r="E5141" t="s">
        <v>14</v>
      </c>
      <c r="F5141">
        <v>49.68</v>
      </c>
      <c r="G5141" t="s">
        <v>22</v>
      </c>
      <c r="H5141" t="s">
        <v>12</v>
      </c>
    </row>
    <row r="5142" spans="1:8" x14ac:dyDescent="0.25">
      <c r="A5142" s="1">
        <v>45662.166666666664</v>
      </c>
      <c r="B5142" t="s">
        <v>31</v>
      </c>
      <c r="C5142">
        <v>434.4</v>
      </c>
      <c r="D5142">
        <v>63.07</v>
      </c>
      <c r="E5142" t="s">
        <v>9</v>
      </c>
      <c r="F5142">
        <v>73.510000000000005</v>
      </c>
      <c r="G5142" t="s">
        <v>22</v>
      </c>
      <c r="H5142" t="s">
        <v>13</v>
      </c>
    </row>
    <row r="5143" spans="1:8" x14ac:dyDescent="0.25">
      <c r="A5143" s="1">
        <v>45662.208333333336</v>
      </c>
      <c r="B5143" t="s">
        <v>31</v>
      </c>
      <c r="C5143">
        <v>392.59</v>
      </c>
      <c r="D5143">
        <v>40.909999999999997</v>
      </c>
      <c r="E5143" t="s">
        <v>9</v>
      </c>
      <c r="F5143">
        <v>64.69</v>
      </c>
      <c r="G5143" t="s">
        <v>22</v>
      </c>
      <c r="H5143" t="s">
        <v>13</v>
      </c>
    </row>
    <row r="5144" spans="1:8" x14ac:dyDescent="0.25">
      <c r="A5144" s="1">
        <v>45662.25</v>
      </c>
      <c r="B5144" t="s">
        <v>31</v>
      </c>
      <c r="C5144">
        <v>410.43</v>
      </c>
      <c r="D5144">
        <v>42.67</v>
      </c>
      <c r="E5144" t="s">
        <v>9</v>
      </c>
      <c r="F5144">
        <v>63.89</v>
      </c>
      <c r="G5144" t="s">
        <v>22</v>
      </c>
      <c r="H5144" t="s">
        <v>13</v>
      </c>
    </row>
    <row r="5145" spans="1:8" x14ac:dyDescent="0.25">
      <c r="A5145" s="1">
        <v>45662.291666666664</v>
      </c>
      <c r="B5145" t="s">
        <v>31</v>
      </c>
      <c r="C5145">
        <v>490.36</v>
      </c>
      <c r="D5145">
        <v>77.09</v>
      </c>
      <c r="E5145" t="s">
        <v>9</v>
      </c>
      <c r="F5145">
        <v>31.2</v>
      </c>
      <c r="G5145" t="s">
        <v>22</v>
      </c>
      <c r="H5145" t="s">
        <v>11</v>
      </c>
    </row>
    <row r="5146" spans="1:8" x14ac:dyDescent="0.25">
      <c r="A5146" s="1">
        <v>45662.333333333336</v>
      </c>
      <c r="B5146" t="s">
        <v>31</v>
      </c>
      <c r="C5146">
        <v>67.540000000000006</v>
      </c>
      <c r="D5146">
        <v>18.79</v>
      </c>
      <c r="E5146" t="s">
        <v>9</v>
      </c>
      <c r="F5146">
        <v>35.46</v>
      </c>
      <c r="G5146" t="s">
        <v>22</v>
      </c>
      <c r="H5146" t="s">
        <v>12</v>
      </c>
    </row>
    <row r="5147" spans="1:8" x14ac:dyDescent="0.25">
      <c r="A5147" s="1">
        <v>45662.375</v>
      </c>
      <c r="B5147" t="s">
        <v>31</v>
      </c>
      <c r="C5147">
        <v>323.77</v>
      </c>
      <c r="D5147">
        <v>56.3</v>
      </c>
      <c r="E5147" t="s">
        <v>9</v>
      </c>
      <c r="F5147">
        <v>61.14</v>
      </c>
      <c r="G5147" t="s">
        <v>22</v>
      </c>
      <c r="H5147" t="s">
        <v>11</v>
      </c>
    </row>
    <row r="5148" spans="1:8" x14ac:dyDescent="0.25">
      <c r="A5148" s="1">
        <v>45662.416666666664</v>
      </c>
      <c r="B5148" t="s">
        <v>31</v>
      </c>
      <c r="C5148">
        <v>413.85</v>
      </c>
      <c r="D5148">
        <v>91.72</v>
      </c>
      <c r="E5148" t="s">
        <v>14</v>
      </c>
      <c r="F5148">
        <v>45.06</v>
      </c>
      <c r="G5148" t="s">
        <v>22</v>
      </c>
      <c r="H5148" t="s">
        <v>12</v>
      </c>
    </row>
    <row r="5149" spans="1:8" x14ac:dyDescent="0.25">
      <c r="A5149" s="1">
        <v>45662.458333333336</v>
      </c>
      <c r="B5149" t="s">
        <v>31</v>
      </c>
      <c r="C5149">
        <v>435.7</v>
      </c>
      <c r="D5149">
        <v>83.89</v>
      </c>
      <c r="E5149" t="s">
        <v>9</v>
      </c>
      <c r="F5149">
        <v>61.13</v>
      </c>
      <c r="G5149" t="s">
        <v>22</v>
      </c>
      <c r="H5149" t="s">
        <v>12</v>
      </c>
    </row>
    <row r="5150" spans="1:8" x14ac:dyDescent="0.25">
      <c r="A5150" s="1">
        <v>45662.5</v>
      </c>
      <c r="B5150" t="s">
        <v>31</v>
      </c>
      <c r="C5150">
        <v>337.81</v>
      </c>
      <c r="D5150">
        <v>50.11</v>
      </c>
      <c r="E5150" t="s">
        <v>9</v>
      </c>
      <c r="F5150">
        <v>34.89</v>
      </c>
      <c r="G5150" t="s">
        <v>22</v>
      </c>
      <c r="H5150" t="s">
        <v>12</v>
      </c>
    </row>
    <row r="5151" spans="1:8" x14ac:dyDescent="0.25">
      <c r="A5151" s="1">
        <v>45662.541666666664</v>
      </c>
      <c r="B5151" t="s">
        <v>31</v>
      </c>
      <c r="C5151">
        <v>84.99</v>
      </c>
      <c r="D5151">
        <v>81.81</v>
      </c>
      <c r="E5151" t="s">
        <v>9</v>
      </c>
      <c r="F5151">
        <v>88.56</v>
      </c>
      <c r="G5151" t="s">
        <v>22</v>
      </c>
      <c r="H5151" t="s">
        <v>11</v>
      </c>
    </row>
    <row r="5152" spans="1:8" x14ac:dyDescent="0.25">
      <c r="A5152" s="1">
        <v>45662.583333333336</v>
      </c>
      <c r="B5152" t="s">
        <v>31</v>
      </c>
      <c r="C5152">
        <v>341.93</v>
      </c>
      <c r="D5152">
        <v>60.15</v>
      </c>
      <c r="E5152" t="s">
        <v>9</v>
      </c>
      <c r="F5152">
        <v>72.45</v>
      </c>
      <c r="G5152" t="s">
        <v>22</v>
      </c>
      <c r="H5152" t="s">
        <v>12</v>
      </c>
    </row>
    <row r="5153" spans="1:8" x14ac:dyDescent="0.25">
      <c r="A5153" s="1">
        <v>45662.625</v>
      </c>
      <c r="B5153" t="s">
        <v>31</v>
      </c>
      <c r="C5153">
        <v>413.48</v>
      </c>
      <c r="D5153">
        <v>42.67</v>
      </c>
      <c r="E5153" t="s">
        <v>9</v>
      </c>
      <c r="F5153">
        <v>39.6</v>
      </c>
      <c r="G5153" t="s">
        <v>22</v>
      </c>
      <c r="H5153" t="s">
        <v>13</v>
      </c>
    </row>
    <row r="5154" spans="1:8" x14ac:dyDescent="0.25">
      <c r="A5154" s="1">
        <v>45662.666666666664</v>
      </c>
      <c r="B5154" t="s">
        <v>31</v>
      </c>
      <c r="C5154">
        <v>289.08999999999997</v>
      </c>
      <c r="D5154">
        <v>18.43</v>
      </c>
      <c r="E5154" t="s">
        <v>9</v>
      </c>
      <c r="F5154">
        <v>87.16</v>
      </c>
      <c r="G5154" t="s">
        <v>22</v>
      </c>
      <c r="H5154" t="s">
        <v>12</v>
      </c>
    </row>
    <row r="5155" spans="1:8" x14ac:dyDescent="0.25">
      <c r="A5155" s="1">
        <v>45662.708333333336</v>
      </c>
      <c r="B5155" t="s">
        <v>31</v>
      </c>
      <c r="C5155">
        <v>430.02</v>
      </c>
      <c r="D5155">
        <v>66.27</v>
      </c>
      <c r="E5155" t="s">
        <v>9</v>
      </c>
      <c r="F5155">
        <v>82.15</v>
      </c>
      <c r="G5155" t="s">
        <v>22</v>
      </c>
      <c r="H5155" t="s">
        <v>12</v>
      </c>
    </row>
    <row r="5156" spans="1:8" x14ac:dyDescent="0.25">
      <c r="A5156" s="1">
        <v>45662.75</v>
      </c>
      <c r="B5156" t="s">
        <v>31</v>
      </c>
      <c r="C5156">
        <v>325.12</v>
      </c>
      <c r="D5156">
        <v>22.64</v>
      </c>
      <c r="E5156" t="s">
        <v>9</v>
      </c>
      <c r="F5156">
        <v>63.62</v>
      </c>
      <c r="G5156" t="s">
        <v>22</v>
      </c>
      <c r="H5156" t="s">
        <v>12</v>
      </c>
    </row>
    <row r="5157" spans="1:8" x14ac:dyDescent="0.25">
      <c r="A5157" s="1">
        <v>45662.791666666664</v>
      </c>
      <c r="B5157" t="s">
        <v>31</v>
      </c>
      <c r="C5157">
        <v>377.68</v>
      </c>
      <c r="D5157">
        <v>70.650000000000006</v>
      </c>
      <c r="E5157" t="s">
        <v>9</v>
      </c>
      <c r="F5157">
        <v>67.27</v>
      </c>
      <c r="G5157" t="s">
        <v>22</v>
      </c>
      <c r="H5157" t="s">
        <v>13</v>
      </c>
    </row>
    <row r="5158" spans="1:8" x14ac:dyDescent="0.25">
      <c r="A5158" s="1">
        <v>45662.833333333336</v>
      </c>
      <c r="B5158" t="s">
        <v>31</v>
      </c>
      <c r="C5158">
        <v>376.28</v>
      </c>
      <c r="D5158">
        <v>34.21</v>
      </c>
      <c r="E5158" t="s">
        <v>9</v>
      </c>
      <c r="F5158">
        <v>83.31</v>
      </c>
      <c r="G5158" t="s">
        <v>22</v>
      </c>
      <c r="H5158" t="s">
        <v>12</v>
      </c>
    </row>
    <row r="5159" spans="1:8" x14ac:dyDescent="0.25">
      <c r="A5159" s="1">
        <v>45662.875</v>
      </c>
      <c r="B5159" t="s">
        <v>31</v>
      </c>
      <c r="C5159">
        <v>80.849999999999994</v>
      </c>
      <c r="D5159">
        <v>88.52</v>
      </c>
      <c r="E5159" t="s">
        <v>14</v>
      </c>
      <c r="F5159">
        <v>57.08</v>
      </c>
      <c r="G5159" t="s">
        <v>22</v>
      </c>
      <c r="H5159" t="s">
        <v>13</v>
      </c>
    </row>
    <row r="5160" spans="1:8" x14ac:dyDescent="0.25">
      <c r="A5160" s="1">
        <v>45662.916666666664</v>
      </c>
      <c r="B5160" t="s">
        <v>31</v>
      </c>
      <c r="C5160">
        <v>468.93</v>
      </c>
      <c r="D5160">
        <v>76.77</v>
      </c>
      <c r="E5160" t="s">
        <v>9</v>
      </c>
      <c r="F5160">
        <v>86.45</v>
      </c>
      <c r="G5160" t="s">
        <v>22</v>
      </c>
      <c r="H5160" t="s">
        <v>12</v>
      </c>
    </row>
    <row r="5161" spans="1:8" x14ac:dyDescent="0.25">
      <c r="A5161" s="1">
        <v>45662.958333333336</v>
      </c>
      <c r="B5161" t="s">
        <v>31</v>
      </c>
      <c r="C5161">
        <v>187.66</v>
      </c>
      <c r="D5161">
        <v>39.51</v>
      </c>
      <c r="E5161" t="s">
        <v>9</v>
      </c>
      <c r="F5161">
        <v>82.2</v>
      </c>
      <c r="G5161" t="s">
        <v>22</v>
      </c>
      <c r="H5161" t="s">
        <v>13</v>
      </c>
    </row>
    <row r="5162" spans="1:8" x14ac:dyDescent="0.25">
      <c r="A5162" s="1">
        <v>45663</v>
      </c>
      <c r="B5162" t="s">
        <v>31</v>
      </c>
      <c r="C5162">
        <v>350.96</v>
      </c>
      <c r="D5162">
        <v>69.42</v>
      </c>
      <c r="E5162" t="s">
        <v>9</v>
      </c>
      <c r="F5162">
        <v>47.22</v>
      </c>
      <c r="G5162" t="s">
        <v>22</v>
      </c>
      <c r="H5162" t="s">
        <v>12</v>
      </c>
    </row>
    <row r="5163" spans="1:8" x14ac:dyDescent="0.25">
      <c r="A5163" s="1">
        <v>45663.041666666664</v>
      </c>
      <c r="B5163" t="s">
        <v>31</v>
      </c>
      <c r="C5163">
        <v>277.79000000000002</v>
      </c>
      <c r="D5163">
        <v>18.989999999999998</v>
      </c>
      <c r="E5163" t="s">
        <v>9</v>
      </c>
      <c r="F5163">
        <v>39.25</v>
      </c>
      <c r="G5163" t="s">
        <v>22</v>
      </c>
      <c r="H5163" t="s">
        <v>13</v>
      </c>
    </row>
    <row r="5164" spans="1:8" x14ac:dyDescent="0.25">
      <c r="A5164" s="1">
        <v>45663.083333333336</v>
      </c>
      <c r="B5164" t="s">
        <v>31</v>
      </c>
      <c r="C5164">
        <v>380.21</v>
      </c>
      <c r="D5164">
        <v>29.66</v>
      </c>
      <c r="E5164" t="s">
        <v>9</v>
      </c>
      <c r="F5164">
        <v>46.6</v>
      </c>
      <c r="G5164" t="s">
        <v>22</v>
      </c>
      <c r="H5164" t="s">
        <v>12</v>
      </c>
    </row>
    <row r="5165" spans="1:8" x14ac:dyDescent="0.25">
      <c r="A5165" s="1">
        <v>45663.125</v>
      </c>
      <c r="B5165" t="s">
        <v>31</v>
      </c>
      <c r="C5165">
        <v>478.22</v>
      </c>
      <c r="D5165">
        <v>66.290000000000006</v>
      </c>
      <c r="E5165" t="s">
        <v>9</v>
      </c>
      <c r="F5165">
        <v>57.33</v>
      </c>
      <c r="G5165" t="s">
        <v>22</v>
      </c>
      <c r="H5165" t="s">
        <v>11</v>
      </c>
    </row>
    <row r="5166" spans="1:8" x14ac:dyDescent="0.25">
      <c r="A5166" s="1">
        <v>45663.166666666664</v>
      </c>
      <c r="B5166" t="s">
        <v>31</v>
      </c>
      <c r="C5166">
        <v>376.57</v>
      </c>
      <c r="D5166">
        <v>35.17</v>
      </c>
      <c r="E5166" t="s">
        <v>9</v>
      </c>
      <c r="F5166">
        <v>86.09</v>
      </c>
      <c r="G5166" t="s">
        <v>22</v>
      </c>
      <c r="H5166" t="s">
        <v>12</v>
      </c>
    </row>
    <row r="5167" spans="1:8" x14ac:dyDescent="0.25">
      <c r="A5167" s="1">
        <v>45663.208333333336</v>
      </c>
      <c r="B5167" t="s">
        <v>31</v>
      </c>
      <c r="C5167">
        <v>287.55</v>
      </c>
      <c r="D5167">
        <v>56.77</v>
      </c>
      <c r="E5167" t="s">
        <v>9</v>
      </c>
      <c r="F5167">
        <v>75.7</v>
      </c>
      <c r="G5167" t="s">
        <v>22</v>
      </c>
      <c r="H5167" t="s">
        <v>11</v>
      </c>
    </row>
    <row r="5168" spans="1:8" x14ac:dyDescent="0.25">
      <c r="A5168" s="1">
        <v>45663.25</v>
      </c>
      <c r="B5168" t="s">
        <v>31</v>
      </c>
      <c r="C5168">
        <v>372.56</v>
      </c>
      <c r="D5168">
        <v>60.82</v>
      </c>
      <c r="E5168" t="s">
        <v>9</v>
      </c>
      <c r="F5168">
        <v>87.71</v>
      </c>
      <c r="G5168" t="s">
        <v>22</v>
      </c>
      <c r="H5168" t="s">
        <v>13</v>
      </c>
    </row>
    <row r="5169" spans="1:8" x14ac:dyDescent="0.25">
      <c r="A5169" s="1">
        <v>45663.291666666664</v>
      </c>
      <c r="B5169" t="s">
        <v>31</v>
      </c>
      <c r="C5169">
        <v>232.22</v>
      </c>
      <c r="D5169">
        <v>35.82</v>
      </c>
      <c r="E5169" t="s">
        <v>9</v>
      </c>
      <c r="F5169">
        <v>41.91</v>
      </c>
      <c r="G5169" t="s">
        <v>22</v>
      </c>
      <c r="H5169" t="s">
        <v>13</v>
      </c>
    </row>
    <row r="5170" spans="1:8" x14ac:dyDescent="0.25">
      <c r="A5170" s="1">
        <v>45663.333333333336</v>
      </c>
      <c r="B5170" t="s">
        <v>31</v>
      </c>
      <c r="C5170">
        <v>344.53</v>
      </c>
      <c r="D5170">
        <v>20.86</v>
      </c>
      <c r="E5170" t="s">
        <v>9</v>
      </c>
      <c r="F5170">
        <v>87.01</v>
      </c>
      <c r="G5170" t="s">
        <v>22</v>
      </c>
      <c r="H5170" t="s">
        <v>11</v>
      </c>
    </row>
    <row r="5171" spans="1:8" x14ac:dyDescent="0.25">
      <c r="A5171" s="1">
        <v>45663.375</v>
      </c>
      <c r="B5171" t="s">
        <v>31</v>
      </c>
      <c r="C5171">
        <v>303.45</v>
      </c>
      <c r="D5171">
        <v>40.729999999999997</v>
      </c>
      <c r="E5171" t="s">
        <v>9</v>
      </c>
      <c r="F5171">
        <v>55.79</v>
      </c>
      <c r="G5171" t="s">
        <v>22</v>
      </c>
      <c r="H5171" t="s">
        <v>11</v>
      </c>
    </row>
    <row r="5172" spans="1:8" x14ac:dyDescent="0.25">
      <c r="A5172" s="1">
        <v>45663.416666666664</v>
      </c>
      <c r="B5172" t="s">
        <v>31</v>
      </c>
      <c r="C5172">
        <v>220.42</v>
      </c>
      <c r="D5172">
        <v>16.36</v>
      </c>
      <c r="E5172" t="s">
        <v>9</v>
      </c>
      <c r="F5172">
        <v>74</v>
      </c>
      <c r="G5172" t="s">
        <v>22</v>
      </c>
      <c r="H5172" t="s">
        <v>13</v>
      </c>
    </row>
    <row r="5173" spans="1:8" x14ac:dyDescent="0.25">
      <c r="A5173" s="1">
        <v>45663.458333333336</v>
      </c>
      <c r="B5173" t="s">
        <v>31</v>
      </c>
      <c r="C5173">
        <v>316.77</v>
      </c>
      <c r="D5173">
        <v>27</v>
      </c>
      <c r="E5173" t="s">
        <v>9</v>
      </c>
      <c r="F5173">
        <v>41.4</v>
      </c>
      <c r="G5173" t="s">
        <v>22</v>
      </c>
      <c r="H5173" t="s">
        <v>11</v>
      </c>
    </row>
    <row r="5174" spans="1:8" x14ac:dyDescent="0.25">
      <c r="A5174" s="1">
        <v>45663.5</v>
      </c>
      <c r="B5174" t="s">
        <v>31</v>
      </c>
      <c r="C5174">
        <v>136.63</v>
      </c>
      <c r="D5174">
        <v>49.6</v>
      </c>
      <c r="E5174" t="s">
        <v>9</v>
      </c>
      <c r="F5174">
        <v>31.47</v>
      </c>
      <c r="G5174" t="s">
        <v>22</v>
      </c>
      <c r="H5174" t="s">
        <v>11</v>
      </c>
    </row>
    <row r="5175" spans="1:8" x14ac:dyDescent="0.25">
      <c r="A5175" s="1">
        <v>45663.541666666664</v>
      </c>
      <c r="B5175" t="s">
        <v>31</v>
      </c>
      <c r="C5175">
        <v>244.95</v>
      </c>
      <c r="D5175">
        <v>74.75</v>
      </c>
      <c r="E5175" t="s">
        <v>9</v>
      </c>
      <c r="F5175">
        <v>57.53</v>
      </c>
      <c r="G5175" t="s">
        <v>22</v>
      </c>
      <c r="H5175" t="s">
        <v>11</v>
      </c>
    </row>
    <row r="5176" spans="1:8" x14ac:dyDescent="0.25">
      <c r="A5176" s="1">
        <v>45663.583333333336</v>
      </c>
      <c r="B5176" t="s">
        <v>31</v>
      </c>
      <c r="C5176">
        <v>268.93</v>
      </c>
      <c r="D5176">
        <v>81.63</v>
      </c>
      <c r="E5176" t="s">
        <v>9</v>
      </c>
      <c r="F5176">
        <v>62.34</v>
      </c>
      <c r="G5176" t="s">
        <v>22</v>
      </c>
      <c r="H5176" t="s">
        <v>12</v>
      </c>
    </row>
    <row r="5177" spans="1:8" x14ac:dyDescent="0.25">
      <c r="A5177" s="1">
        <v>45663.625</v>
      </c>
      <c r="B5177" t="s">
        <v>31</v>
      </c>
      <c r="C5177">
        <v>252.75</v>
      </c>
      <c r="D5177">
        <v>52.61</v>
      </c>
      <c r="E5177" t="s">
        <v>9</v>
      </c>
      <c r="F5177">
        <v>32.83</v>
      </c>
      <c r="G5177" t="s">
        <v>22</v>
      </c>
      <c r="H5177" t="s">
        <v>11</v>
      </c>
    </row>
    <row r="5178" spans="1:8" x14ac:dyDescent="0.25">
      <c r="A5178" s="1">
        <v>45663.666666666664</v>
      </c>
      <c r="B5178" t="s">
        <v>31</v>
      </c>
      <c r="C5178">
        <v>300.98</v>
      </c>
      <c r="D5178">
        <v>42.03</v>
      </c>
      <c r="E5178" t="s">
        <v>9</v>
      </c>
      <c r="F5178">
        <v>54.98</v>
      </c>
      <c r="G5178" t="s">
        <v>22</v>
      </c>
      <c r="H5178" t="s">
        <v>13</v>
      </c>
    </row>
    <row r="5179" spans="1:8" x14ac:dyDescent="0.25">
      <c r="A5179" s="1">
        <v>45663.708333333336</v>
      </c>
      <c r="B5179" t="s">
        <v>31</v>
      </c>
      <c r="C5179">
        <v>303.85000000000002</v>
      </c>
      <c r="D5179">
        <v>44.24</v>
      </c>
      <c r="E5179" t="s">
        <v>9</v>
      </c>
      <c r="F5179">
        <v>76.5</v>
      </c>
      <c r="G5179" t="s">
        <v>22</v>
      </c>
      <c r="H5179" t="s">
        <v>13</v>
      </c>
    </row>
    <row r="5180" spans="1:8" x14ac:dyDescent="0.25">
      <c r="A5180" s="1">
        <v>45663.75</v>
      </c>
      <c r="B5180" t="s">
        <v>31</v>
      </c>
      <c r="C5180">
        <v>187.28</v>
      </c>
      <c r="D5180">
        <v>72.930000000000007</v>
      </c>
      <c r="E5180" t="s">
        <v>9</v>
      </c>
      <c r="F5180">
        <v>63.07</v>
      </c>
      <c r="G5180" t="s">
        <v>22</v>
      </c>
      <c r="H5180" t="s">
        <v>12</v>
      </c>
    </row>
    <row r="5181" spans="1:8" x14ac:dyDescent="0.25">
      <c r="A5181" s="1">
        <v>45663.791666666664</v>
      </c>
      <c r="B5181" t="s">
        <v>31</v>
      </c>
      <c r="C5181">
        <v>267.76</v>
      </c>
      <c r="D5181">
        <v>41.04</v>
      </c>
      <c r="E5181" t="s">
        <v>9</v>
      </c>
      <c r="F5181">
        <v>35.69</v>
      </c>
      <c r="G5181" t="s">
        <v>22</v>
      </c>
      <c r="H5181" t="s">
        <v>13</v>
      </c>
    </row>
    <row r="5182" spans="1:8" x14ac:dyDescent="0.25">
      <c r="A5182" s="1">
        <v>45663.833333333336</v>
      </c>
      <c r="B5182" t="s">
        <v>31</v>
      </c>
      <c r="C5182">
        <v>443.5</v>
      </c>
      <c r="D5182">
        <v>14.09</v>
      </c>
      <c r="E5182" t="s">
        <v>9</v>
      </c>
      <c r="F5182">
        <v>61.81</v>
      </c>
      <c r="G5182" t="s">
        <v>22</v>
      </c>
      <c r="H5182" t="s">
        <v>12</v>
      </c>
    </row>
    <row r="5183" spans="1:8" x14ac:dyDescent="0.25">
      <c r="A5183" s="1">
        <v>45663.875</v>
      </c>
      <c r="B5183" t="s">
        <v>31</v>
      </c>
      <c r="C5183">
        <v>192.52</v>
      </c>
      <c r="D5183">
        <v>61.34</v>
      </c>
      <c r="E5183" t="s">
        <v>9</v>
      </c>
      <c r="F5183">
        <v>46.33</v>
      </c>
      <c r="G5183" t="s">
        <v>22</v>
      </c>
      <c r="H5183" t="s">
        <v>13</v>
      </c>
    </row>
    <row r="5184" spans="1:8" x14ac:dyDescent="0.25">
      <c r="A5184" s="1">
        <v>45663.916666666664</v>
      </c>
      <c r="B5184" t="s">
        <v>31</v>
      </c>
      <c r="C5184">
        <v>235.52</v>
      </c>
      <c r="D5184">
        <v>68.27</v>
      </c>
      <c r="E5184" t="s">
        <v>9</v>
      </c>
      <c r="F5184">
        <v>59.38</v>
      </c>
      <c r="G5184" t="s">
        <v>22</v>
      </c>
      <c r="H5184" t="s">
        <v>12</v>
      </c>
    </row>
    <row r="5185" spans="1:8" x14ac:dyDescent="0.25">
      <c r="A5185" s="1">
        <v>45663.958333333336</v>
      </c>
      <c r="B5185" t="s">
        <v>31</v>
      </c>
      <c r="C5185">
        <v>441.49</v>
      </c>
      <c r="D5185">
        <v>80.11</v>
      </c>
      <c r="E5185" t="s">
        <v>9</v>
      </c>
      <c r="F5185">
        <v>45.83</v>
      </c>
      <c r="G5185" t="s">
        <v>22</v>
      </c>
      <c r="H5185" t="s">
        <v>13</v>
      </c>
    </row>
    <row r="5186" spans="1:8" x14ac:dyDescent="0.25">
      <c r="A5186" s="1">
        <v>45664</v>
      </c>
      <c r="B5186" t="s">
        <v>31</v>
      </c>
      <c r="C5186">
        <v>340.78</v>
      </c>
      <c r="D5186">
        <v>23.4</v>
      </c>
      <c r="E5186" t="s">
        <v>9</v>
      </c>
      <c r="F5186">
        <v>35.56</v>
      </c>
      <c r="G5186" t="s">
        <v>22</v>
      </c>
      <c r="H5186" t="s">
        <v>11</v>
      </c>
    </row>
    <row r="5187" spans="1:8" x14ac:dyDescent="0.25">
      <c r="A5187" s="1">
        <v>45664.041666666664</v>
      </c>
      <c r="B5187" t="s">
        <v>31</v>
      </c>
      <c r="C5187">
        <v>289.91000000000003</v>
      </c>
      <c r="D5187">
        <v>74.75</v>
      </c>
      <c r="E5187" t="s">
        <v>9</v>
      </c>
      <c r="F5187">
        <v>64.209999999999994</v>
      </c>
      <c r="G5187" t="s">
        <v>22</v>
      </c>
      <c r="H5187" t="s">
        <v>13</v>
      </c>
    </row>
    <row r="5188" spans="1:8" x14ac:dyDescent="0.25">
      <c r="A5188" s="1">
        <v>45664.083333333336</v>
      </c>
      <c r="B5188" t="s">
        <v>31</v>
      </c>
      <c r="C5188">
        <v>95.68</v>
      </c>
      <c r="D5188">
        <v>14.18</v>
      </c>
      <c r="E5188" t="s">
        <v>9</v>
      </c>
      <c r="F5188">
        <v>32.89</v>
      </c>
      <c r="G5188" t="s">
        <v>22</v>
      </c>
      <c r="H5188" t="s">
        <v>13</v>
      </c>
    </row>
    <row r="5189" spans="1:8" x14ac:dyDescent="0.25">
      <c r="A5189" s="1">
        <v>45664.125</v>
      </c>
      <c r="B5189" t="s">
        <v>31</v>
      </c>
      <c r="C5189">
        <v>76.959999999999994</v>
      </c>
      <c r="D5189">
        <v>68.31</v>
      </c>
      <c r="E5189" t="s">
        <v>9</v>
      </c>
      <c r="F5189">
        <v>44.46</v>
      </c>
      <c r="G5189" t="s">
        <v>22</v>
      </c>
      <c r="H5189" t="s">
        <v>11</v>
      </c>
    </row>
    <row r="5190" spans="1:8" x14ac:dyDescent="0.25">
      <c r="A5190" s="1">
        <v>45664.166666666664</v>
      </c>
      <c r="B5190" t="s">
        <v>31</v>
      </c>
      <c r="C5190">
        <v>476.81</v>
      </c>
      <c r="D5190">
        <v>70.680000000000007</v>
      </c>
      <c r="E5190" t="s">
        <v>9</v>
      </c>
      <c r="F5190">
        <v>46.58</v>
      </c>
      <c r="G5190" t="s">
        <v>22</v>
      </c>
      <c r="H5190" t="s">
        <v>11</v>
      </c>
    </row>
    <row r="5191" spans="1:8" x14ac:dyDescent="0.25">
      <c r="A5191" s="1">
        <v>45664.208333333336</v>
      </c>
      <c r="B5191" t="s">
        <v>31</v>
      </c>
      <c r="C5191">
        <v>350.59</v>
      </c>
      <c r="D5191">
        <v>33.17</v>
      </c>
      <c r="E5191" t="s">
        <v>9</v>
      </c>
      <c r="F5191">
        <v>56.68</v>
      </c>
      <c r="G5191" t="s">
        <v>22</v>
      </c>
      <c r="H5191" t="s">
        <v>11</v>
      </c>
    </row>
    <row r="5192" spans="1:8" x14ac:dyDescent="0.25">
      <c r="A5192" s="1">
        <v>45664.25</v>
      </c>
      <c r="B5192" t="s">
        <v>31</v>
      </c>
      <c r="C5192">
        <v>336.47</v>
      </c>
      <c r="D5192">
        <v>78.13</v>
      </c>
      <c r="E5192" t="s">
        <v>9</v>
      </c>
      <c r="F5192">
        <v>47.23</v>
      </c>
      <c r="G5192" t="s">
        <v>22</v>
      </c>
      <c r="H5192" t="s">
        <v>13</v>
      </c>
    </row>
    <row r="5193" spans="1:8" x14ac:dyDescent="0.25">
      <c r="A5193" s="1">
        <v>45664.291666666664</v>
      </c>
      <c r="B5193" t="s">
        <v>31</v>
      </c>
      <c r="C5193">
        <v>248.08</v>
      </c>
      <c r="D5193">
        <v>68.290000000000006</v>
      </c>
      <c r="E5193" t="s">
        <v>9</v>
      </c>
      <c r="F5193">
        <v>57.34</v>
      </c>
      <c r="G5193" t="s">
        <v>22</v>
      </c>
      <c r="H5193" t="s">
        <v>13</v>
      </c>
    </row>
    <row r="5194" spans="1:8" x14ac:dyDescent="0.25">
      <c r="A5194" s="1">
        <v>45664.333333333336</v>
      </c>
      <c r="B5194" t="s">
        <v>31</v>
      </c>
      <c r="C5194">
        <v>386.17</v>
      </c>
      <c r="D5194">
        <v>62.51</v>
      </c>
      <c r="E5194" t="s">
        <v>9</v>
      </c>
      <c r="F5194">
        <v>52.68</v>
      </c>
      <c r="G5194" t="s">
        <v>22</v>
      </c>
      <c r="H5194" t="s">
        <v>12</v>
      </c>
    </row>
    <row r="5195" spans="1:8" x14ac:dyDescent="0.25">
      <c r="A5195" s="1">
        <v>45664.375</v>
      </c>
      <c r="B5195" t="s">
        <v>31</v>
      </c>
      <c r="C5195">
        <v>127.73</v>
      </c>
      <c r="D5195">
        <v>19.350000000000001</v>
      </c>
      <c r="E5195" t="s">
        <v>9</v>
      </c>
      <c r="F5195">
        <v>77.95</v>
      </c>
      <c r="G5195" t="s">
        <v>22</v>
      </c>
      <c r="H5195" t="s">
        <v>12</v>
      </c>
    </row>
    <row r="5196" spans="1:8" x14ac:dyDescent="0.25">
      <c r="A5196" s="1">
        <v>45664.416666666664</v>
      </c>
      <c r="B5196" t="s">
        <v>31</v>
      </c>
      <c r="C5196">
        <v>172.66</v>
      </c>
      <c r="D5196">
        <v>31.84</v>
      </c>
      <c r="E5196" t="s">
        <v>9</v>
      </c>
      <c r="F5196">
        <v>62.48</v>
      </c>
      <c r="G5196" t="s">
        <v>22</v>
      </c>
      <c r="H5196" t="s">
        <v>11</v>
      </c>
    </row>
    <row r="5197" spans="1:8" x14ac:dyDescent="0.25">
      <c r="A5197" s="1">
        <v>45664.458333333336</v>
      </c>
      <c r="B5197" t="s">
        <v>31</v>
      </c>
      <c r="C5197">
        <v>162.72</v>
      </c>
      <c r="D5197">
        <v>61.86</v>
      </c>
      <c r="E5197" t="s">
        <v>9</v>
      </c>
      <c r="F5197">
        <v>62.05</v>
      </c>
      <c r="G5197" t="s">
        <v>22</v>
      </c>
      <c r="H5197" t="s">
        <v>11</v>
      </c>
    </row>
    <row r="5198" spans="1:8" x14ac:dyDescent="0.25">
      <c r="A5198" s="1">
        <v>45664.5</v>
      </c>
      <c r="B5198" t="s">
        <v>31</v>
      </c>
      <c r="C5198">
        <v>195.1</v>
      </c>
      <c r="D5198">
        <v>75.34</v>
      </c>
      <c r="E5198" t="s">
        <v>9</v>
      </c>
      <c r="F5198">
        <v>77.599999999999994</v>
      </c>
      <c r="G5198" t="s">
        <v>22</v>
      </c>
      <c r="H5198" t="s">
        <v>11</v>
      </c>
    </row>
    <row r="5199" spans="1:8" x14ac:dyDescent="0.25">
      <c r="A5199" s="1">
        <v>45664.541666666664</v>
      </c>
      <c r="B5199" t="s">
        <v>31</v>
      </c>
      <c r="C5199">
        <v>338.1</v>
      </c>
      <c r="D5199">
        <v>17.260000000000002</v>
      </c>
      <c r="E5199" t="s">
        <v>9</v>
      </c>
      <c r="F5199">
        <v>34.14</v>
      </c>
      <c r="G5199" t="s">
        <v>22</v>
      </c>
      <c r="H5199" t="s">
        <v>12</v>
      </c>
    </row>
    <row r="5200" spans="1:8" x14ac:dyDescent="0.25">
      <c r="A5200" s="1">
        <v>45664.583333333336</v>
      </c>
      <c r="B5200" t="s">
        <v>31</v>
      </c>
      <c r="C5200">
        <v>138.29</v>
      </c>
      <c r="D5200">
        <v>70.25</v>
      </c>
      <c r="E5200" t="s">
        <v>9</v>
      </c>
      <c r="F5200">
        <v>46.11</v>
      </c>
      <c r="G5200" t="s">
        <v>22</v>
      </c>
      <c r="H5200" t="s">
        <v>13</v>
      </c>
    </row>
    <row r="5201" spans="1:8" x14ac:dyDescent="0.25">
      <c r="A5201" s="1">
        <v>45664.625</v>
      </c>
      <c r="B5201" t="s">
        <v>31</v>
      </c>
      <c r="C5201">
        <v>220.97</v>
      </c>
      <c r="D5201">
        <v>17.64</v>
      </c>
      <c r="E5201" t="s">
        <v>9</v>
      </c>
      <c r="F5201">
        <v>72.83</v>
      </c>
      <c r="G5201" t="s">
        <v>22</v>
      </c>
      <c r="H5201" t="s">
        <v>11</v>
      </c>
    </row>
    <row r="5202" spans="1:8" x14ac:dyDescent="0.25">
      <c r="A5202" s="1">
        <v>45664.666666666664</v>
      </c>
      <c r="B5202" t="s">
        <v>31</v>
      </c>
      <c r="C5202">
        <v>372.73</v>
      </c>
      <c r="D5202">
        <v>60.85</v>
      </c>
      <c r="E5202" t="s">
        <v>9</v>
      </c>
      <c r="F5202">
        <v>43.8</v>
      </c>
      <c r="G5202" t="s">
        <v>22</v>
      </c>
      <c r="H5202" t="s">
        <v>12</v>
      </c>
    </row>
    <row r="5203" spans="1:8" x14ac:dyDescent="0.25">
      <c r="A5203" s="1">
        <v>45664.708333333336</v>
      </c>
      <c r="B5203" t="s">
        <v>31</v>
      </c>
      <c r="C5203">
        <v>362.6</v>
      </c>
      <c r="D5203">
        <v>32.72</v>
      </c>
      <c r="E5203" t="s">
        <v>9</v>
      </c>
      <c r="F5203">
        <v>81.489999999999995</v>
      </c>
      <c r="G5203" t="s">
        <v>22</v>
      </c>
      <c r="H5203" t="s">
        <v>12</v>
      </c>
    </row>
    <row r="5204" spans="1:8" x14ac:dyDescent="0.25">
      <c r="A5204" s="1">
        <v>45664.75</v>
      </c>
      <c r="B5204" t="s">
        <v>31</v>
      </c>
      <c r="C5204">
        <v>252.7</v>
      </c>
      <c r="D5204">
        <v>35.22</v>
      </c>
      <c r="E5204" t="s">
        <v>9</v>
      </c>
      <c r="F5204">
        <v>31.66</v>
      </c>
      <c r="G5204" t="s">
        <v>22</v>
      </c>
      <c r="H5204" t="s">
        <v>11</v>
      </c>
    </row>
    <row r="5205" spans="1:8" x14ac:dyDescent="0.25">
      <c r="A5205" s="1">
        <v>45664.791666666664</v>
      </c>
      <c r="B5205" t="s">
        <v>31</v>
      </c>
      <c r="C5205">
        <v>339.19</v>
      </c>
      <c r="D5205">
        <v>90.01</v>
      </c>
      <c r="E5205" t="s">
        <v>14</v>
      </c>
      <c r="F5205">
        <v>88.94</v>
      </c>
      <c r="G5205" t="s">
        <v>22</v>
      </c>
      <c r="H5205" t="s">
        <v>11</v>
      </c>
    </row>
    <row r="5206" spans="1:8" x14ac:dyDescent="0.25">
      <c r="A5206" s="1">
        <v>45664.833333333336</v>
      </c>
      <c r="B5206" t="s">
        <v>31</v>
      </c>
      <c r="C5206">
        <v>59.1</v>
      </c>
      <c r="D5206">
        <v>72.459999999999994</v>
      </c>
      <c r="E5206" t="s">
        <v>9</v>
      </c>
      <c r="F5206">
        <v>82.84</v>
      </c>
      <c r="G5206" t="s">
        <v>22</v>
      </c>
      <c r="H5206" t="s">
        <v>13</v>
      </c>
    </row>
    <row r="5207" spans="1:8" x14ac:dyDescent="0.25">
      <c r="A5207" s="1">
        <v>45664.875</v>
      </c>
      <c r="B5207" t="s">
        <v>31</v>
      </c>
      <c r="C5207">
        <v>96.69</v>
      </c>
      <c r="D5207">
        <v>36</v>
      </c>
      <c r="E5207" t="s">
        <v>9</v>
      </c>
      <c r="F5207">
        <v>30.34</v>
      </c>
      <c r="G5207" t="s">
        <v>22</v>
      </c>
      <c r="H5207" t="s">
        <v>11</v>
      </c>
    </row>
    <row r="5208" spans="1:8" x14ac:dyDescent="0.25">
      <c r="A5208" s="1">
        <v>45664.916666666664</v>
      </c>
      <c r="B5208" t="s">
        <v>31</v>
      </c>
      <c r="C5208">
        <v>314.41000000000003</v>
      </c>
      <c r="D5208">
        <v>54.19</v>
      </c>
      <c r="E5208" t="s">
        <v>9</v>
      </c>
      <c r="F5208">
        <v>84.95</v>
      </c>
      <c r="G5208" t="s">
        <v>22</v>
      </c>
      <c r="H5208" t="s">
        <v>12</v>
      </c>
    </row>
    <row r="5209" spans="1:8" x14ac:dyDescent="0.25">
      <c r="A5209" s="1">
        <v>45664.958333333336</v>
      </c>
      <c r="B5209" t="s">
        <v>31</v>
      </c>
      <c r="C5209">
        <v>412.56</v>
      </c>
      <c r="D5209">
        <v>19.8</v>
      </c>
      <c r="E5209" t="s">
        <v>9</v>
      </c>
      <c r="F5209">
        <v>44.93</v>
      </c>
      <c r="G5209" t="s">
        <v>22</v>
      </c>
      <c r="H5209" t="s">
        <v>12</v>
      </c>
    </row>
    <row r="5210" spans="1:8" x14ac:dyDescent="0.25">
      <c r="A5210" s="1">
        <v>45665</v>
      </c>
      <c r="B5210" t="s">
        <v>31</v>
      </c>
      <c r="C5210">
        <v>239.56</v>
      </c>
      <c r="D5210">
        <v>61.47</v>
      </c>
      <c r="E5210" t="s">
        <v>9</v>
      </c>
      <c r="F5210">
        <v>76.39</v>
      </c>
      <c r="G5210" t="s">
        <v>22</v>
      </c>
      <c r="H5210" t="s">
        <v>12</v>
      </c>
    </row>
    <row r="5211" spans="1:8" x14ac:dyDescent="0.25">
      <c r="A5211" s="1">
        <v>45665.041666666664</v>
      </c>
      <c r="B5211" t="s">
        <v>31</v>
      </c>
      <c r="C5211">
        <v>489.32</v>
      </c>
      <c r="D5211">
        <v>47.23</v>
      </c>
      <c r="E5211" t="s">
        <v>9</v>
      </c>
      <c r="F5211">
        <v>45.02</v>
      </c>
      <c r="G5211" t="s">
        <v>22</v>
      </c>
      <c r="H5211" t="s">
        <v>13</v>
      </c>
    </row>
    <row r="5212" spans="1:8" x14ac:dyDescent="0.25">
      <c r="A5212" s="1">
        <v>45665.083333333336</v>
      </c>
      <c r="B5212" t="s">
        <v>31</v>
      </c>
      <c r="C5212">
        <v>343.03</v>
      </c>
      <c r="D5212">
        <v>72</v>
      </c>
      <c r="E5212" t="s">
        <v>9</v>
      </c>
      <c r="F5212">
        <v>41.71</v>
      </c>
      <c r="G5212" t="s">
        <v>22</v>
      </c>
      <c r="H5212" t="s">
        <v>12</v>
      </c>
    </row>
    <row r="5213" spans="1:8" x14ac:dyDescent="0.25">
      <c r="A5213" s="1">
        <v>45665.125</v>
      </c>
      <c r="B5213" t="s">
        <v>31</v>
      </c>
      <c r="C5213">
        <v>407.27</v>
      </c>
      <c r="D5213">
        <v>36.340000000000003</v>
      </c>
      <c r="E5213" t="s">
        <v>9</v>
      </c>
      <c r="F5213">
        <v>60.48</v>
      </c>
      <c r="G5213" t="s">
        <v>22</v>
      </c>
      <c r="H5213" t="s">
        <v>12</v>
      </c>
    </row>
    <row r="5214" spans="1:8" x14ac:dyDescent="0.25">
      <c r="A5214" s="1">
        <v>45665.166666666664</v>
      </c>
      <c r="B5214" t="s">
        <v>31</v>
      </c>
      <c r="C5214">
        <v>101.85</v>
      </c>
      <c r="D5214">
        <v>22.73</v>
      </c>
      <c r="E5214" t="s">
        <v>9</v>
      </c>
      <c r="F5214">
        <v>33.15</v>
      </c>
      <c r="G5214" t="s">
        <v>22</v>
      </c>
      <c r="H5214" t="s">
        <v>13</v>
      </c>
    </row>
    <row r="5215" spans="1:8" x14ac:dyDescent="0.25">
      <c r="A5215" s="1">
        <v>45665.208333333336</v>
      </c>
      <c r="B5215" t="s">
        <v>31</v>
      </c>
      <c r="C5215">
        <v>412.19</v>
      </c>
      <c r="D5215">
        <v>73.2</v>
      </c>
      <c r="E5215" t="s">
        <v>9</v>
      </c>
      <c r="F5215">
        <v>77.209999999999994</v>
      </c>
      <c r="G5215" t="s">
        <v>22</v>
      </c>
      <c r="H5215" t="s">
        <v>12</v>
      </c>
    </row>
    <row r="5216" spans="1:8" x14ac:dyDescent="0.25">
      <c r="A5216" s="1">
        <v>45665.25</v>
      </c>
      <c r="B5216" t="s">
        <v>31</v>
      </c>
      <c r="C5216">
        <v>109.54</v>
      </c>
      <c r="D5216">
        <v>50.81</v>
      </c>
      <c r="E5216" t="s">
        <v>9</v>
      </c>
      <c r="F5216">
        <v>41.11</v>
      </c>
      <c r="G5216" t="s">
        <v>22</v>
      </c>
      <c r="H5216" t="s">
        <v>13</v>
      </c>
    </row>
    <row r="5217" spans="1:8" x14ac:dyDescent="0.25">
      <c r="A5217" s="1">
        <v>45665.291666666664</v>
      </c>
      <c r="B5217" t="s">
        <v>31</v>
      </c>
      <c r="C5217">
        <v>376.31</v>
      </c>
      <c r="D5217">
        <v>31.26</v>
      </c>
      <c r="E5217" t="s">
        <v>9</v>
      </c>
      <c r="F5217">
        <v>66.91</v>
      </c>
      <c r="G5217" t="s">
        <v>22</v>
      </c>
      <c r="H5217" t="s">
        <v>11</v>
      </c>
    </row>
    <row r="5218" spans="1:8" x14ac:dyDescent="0.25">
      <c r="A5218" s="1">
        <v>45665.333333333336</v>
      </c>
      <c r="B5218" t="s">
        <v>31</v>
      </c>
      <c r="C5218">
        <v>121.39</v>
      </c>
      <c r="D5218">
        <v>57.07</v>
      </c>
      <c r="E5218" t="s">
        <v>9</v>
      </c>
      <c r="F5218">
        <v>46.89</v>
      </c>
      <c r="G5218" t="s">
        <v>22</v>
      </c>
      <c r="H5218" t="s">
        <v>13</v>
      </c>
    </row>
    <row r="5219" spans="1:8" x14ac:dyDescent="0.25">
      <c r="A5219" s="1">
        <v>45665.375</v>
      </c>
      <c r="B5219" t="s">
        <v>31</v>
      </c>
      <c r="C5219">
        <v>355</v>
      </c>
      <c r="D5219">
        <v>87.03</v>
      </c>
      <c r="E5219" t="s">
        <v>14</v>
      </c>
      <c r="F5219">
        <v>38.119999999999997</v>
      </c>
      <c r="G5219" t="s">
        <v>22</v>
      </c>
      <c r="H5219" t="s">
        <v>11</v>
      </c>
    </row>
    <row r="5220" spans="1:8" x14ac:dyDescent="0.25">
      <c r="A5220" s="1">
        <v>45665.416666666664</v>
      </c>
      <c r="B5220" t="s">
        <v>31</v>
      </c>
      <c r="C5220">
        <v>230.94</v>
      </c>
      <c r="D5220">
        <v>34.86</v>
      </c>
      <c r="E5220" t="s">
        <v>9</v>
      </c>
      <c r="F5220">
        <v>31.84</v>
      </c>
      <c r="G5220" t="s">
        <v>22</v>
      </c>
      <c r="H5220" t="s">
        <v>11</v>
      </c>
    </row>
    <row r="5221" spans="1:8" x14ac:dyDescent="0.25">
      <c r="A5221" s="1">
        <v>45665.458333333336</v>
      </c>
      <c r="B5221" t="s">
        <v>31</v>
      </c>
      <c r="C5221">
        <v>112.57</v>
      </c>
      <c r="D5221">
        <v>28.81</v>
      </c>
      <c r="E5221" t="s">
        <v>9</v>
      </c>
      <c r="F5221">
        <v>78.2</v>
      </c>
      <c r="G5221" t="s">
        <v>22</v>
      </c>
      <c r="H5221" t="s">
        <v>13</v>
      </c>
    </row>
    <row r="5222" spans="1:8" x14ac:dyDescent="0.25">
      <c r="A5222" s="1">
        <v>45665.5</v>
      </c>
      <c r="B5222" t="s">
        <v>31</v>
      </c>
      <c r="C5222">
        <v>406.93</v>
      </c>
      <c r="D5222">
        <v>70.95</v>
      </c>
      <c r="E5222" t="s">
        <v>9</v>
      </c>
      <c r="F5222">
        <v>31.58</v>
      </c>
      <c r="G5222" t="s">
        <v>22</v>
      </c>
      <c r="H5222" t="s">
        <v>12</v>
      </c>
    </row>
    <row r="5223" spans="1:8" x14ac:dyDescent="0.25">
      <c r="A5223" s="1">
        <v>45665.541666666664</v>
      </c>
      <c r="B5223" t="s">
        <v>31</v>
      </c>
      <c r="C5223">
        <v>409.11</v>
      </c>
      <c r="D5223">
        <v>43.52</v>
      </c>
      <c r="E5223" t="s">
        <v>9</v>
      </c>
      <c r="F5223">
        <v>39.590000000000003</v>
      </c>
      <c r="G5223" t="s">
        <v>22</v>
      </c>
      <c r="H5223" t="s">
        <v>12</v>
      </c>
    </row>
    <row r="5224" spans="1:8" x14ac:dyDescent="0.25">
      <c r="A5224" s="1">
        <v>45665.583333333336</v>
      </c>
      <c r="B5224" t="s">
        <v>31</v>
      </c>
      <c r="C5224">
        <v>380.82</v>
      </c>
      <c r="D5224">
        <v>58.64</v>
      </c>
      <c r="E5224" t="s">
        <v>9</v>
      </c>
      <c r="F5224">
        <v>84.76</v>
      </c>
      <c r="G5224" t="s">
        <v>22</v>
      </c>
      <c r="H5224" t="s">
        <v>12</v>
      </c>
    </row>
    <row r="5225" spans="1:8" x14ac:dyDescent="0.25">
      <c r="A5225" s="1">
        <v>45665.625</v>
      </c>
      <c r="B5225" t="s">
        <v>31</v>
      </c>
      <c r="C5225">
        <v>227.8</v>
      </c>
      <c r="D5225">
        <v>14.79</v>
      </c>
      <c r="E5225" t="s">
        <v>9</v>
      </c>
      <c r="F5225">
        <v>70.430000000000007</v>
      </c>
      <c r="G5225" t="s">
        <v>22</v>
      </c>
      <c r="H5225" t="s">
        <v>11</v>
      </c>
    </row>
    <row r="5226" spans="1:8" x14ac:dyDescent="0.25">
      <c r="A5226" s="1">
        <v>45665.666666666664</v>
      </c>
      <c r="B5226" t="s">
        <v>31</v>
      </c>
      <c r="C5226">
        <v>455.23</v>
      </c>
      <c r="D5226">
        <v>70.41</v>
      </c>
      <c r="E5226" t="s">
        <v>9</v>
      </c>
      <c r="F5226">
        <v>86.44</v>
      </c>
      <c r="G5226" t="s">
        <v>22</v>
      </c>
      <c r="H5226" t="s">
        <v>13</v>
      </c>
    </row>
    <row r="5227" spans="1:8" x14ac:dyDescent="0.25">
      <c r="A5227" s="1">
        <v>45665.708333333336</v>
      </c>
      <c r="B5227" t="s">
        <v>31</v>
      </c>
      <c r="C5227">
        <v>224.22</v>
      </c>
      <c r="D5227">
        <v>70.75</v>
      </c>
      <c r="E5227" t="s">
        <v>9</v>
      </c>
      <c r="F5227">
        <v>65.010000000000005</v>
      </c>
      <c r="G5227" t="s">
        <v>22</v>
      </c>
      <c r="H5227" t="s">
        <v>11</v>
      </c>
    </row>
    <row r="5228" spans="1:8" x14ac:dyDescent="0.25">
      <c r="A5228" s="1">
        <v>45665.75</v>
      </c>
      <c r="B5228" t="s">
        <v>31</v>
      </c>
      <c r="C5228">
        <v>144.65</v>
      </c>
      <c r="D5228">
        <v>36.32</v>
      </c>
      <c r="E5228" t="s">
        <v>9</v>
      </c>
      <c r="F5228">
        <v>64</v>
      </c>
      <c r="G5228" t="s">
        <v>22</v>
      </c>
      <c r="H5228" t="s">
        <v>11</v>
      </c>
    </row>
    <row r="5229" spans="1:8" x14ac:dyDescent="0.25">
      <c r="A5229" s="1">
        <v>45665.791666666664</v>
      </c>
      <c r="B5229" t="s">
        <v>31</v>
      </c>
      <c r="C5229">
        <v>444.1</v>
      </c>
      <c r="D5229">
        <v>82.29</v>
      </c>
      <c r="E5229" t="s">
        <v>9</v>
      </c>
      <c r="F5229">
        <v>40.51</v>
      </c>
      <c r="G5229" t="s">
        <v>22</v>
      </c>
      <c r="H5229" t="s">
        <v>11</v>
      </c>
    </row>
    <row r="5230" spans="1:8" x14ac:dyDescent="0.25">
      <c r="A5230" s="1">
        <v>45665.833333333336</v>
      </c>
      <c r="B5230" t="s">
        <v>31</v>
      </c>
      <c r="C5230">
        <v>244.36</v>
      </c>
      <c r="D5230">
        <v>17.239999999999998</v>
      </c>
      <c r="E5230" t="s">
        <v>9</v>
      </c>
      <c r="F5230">
        <v>31.04</v>
      </c>
      <c r="G5230" t="s">
        <v>22</v>
      </c>
      <c r="H5230" t="s">
        <v>12</v>
      </c>
    </row>
    <row r="5231" spans="1:8" x14ac:dyDescent="0.25">
      <c r="A5231" s="1">
        <v>45665.875</v>
      </c>
      <c r="B5231" t="s">
        <v>31</v>
      </c>
      <c r="C5231">
        <v>293.25</v>
      </c>
      <c r="D5231">
        <v>57.96</v>
      </c>
      <c r="E5231" t="s">
        <v>9</v>
      </c>
      <c r="F5231">
        <v>77.400000000000006</v>
      </c>
      <c r="G5231" t="s">
        <v>22</v>
      </c>
      <c r="H5231" t="s">
        <v>12</v>
      </c>
    </row>
    <row r="5232" spans="1:8" x14ac:dyDescent="0.25">
      <c r="A5232" s="1">
        <v>45665.916666666664</v>
      </c>
      <c r="B5232" t="s">
        <v>31</v>
      </c>
      <c r="C5232">
        <v>165.64</v>
      </c>
      <c r="D5232">
        <v>43.29</v>
      </c>
      <c r="E5232" t="s">
        <v>9</v>
      </c>
      <c r="F5232">
        <v>81.569999999999993</v>
      </c>
      <c r="G5232" t="s">
        <v>22</v>
      </c>
      <c r="H5232" t="s">
        <v>11</v>
      </c>
    </row>
    <row r="5233" spans="1:8" x14ac:dyDescent="0.25">
      <c r="A5233" s="1">
        <v>45665.958333333336</v>
      </c>
      <c r="B5233" t="s">
        <v>31</v>
      </c>
      <c r="C5233">
        <v>453.08</v>
      </c>
      <c r="D5233">
        <v>69.12</v>
      </c>
      <c r="E5233" t="s">
        <v>9</v>
      </c>
      <c r="F5233">
        <v>60.13</v>
      </c>
      <c r="G5233" t="s">
        <v>22</v>
      </c>
      <c r="H5233" t="s">
        <v>13</v>
      </c>
    </row>
    <row r="5234" spans="1:8" x14ac:dyDescent="0.25">
      <c r="A5234" s="1">
        <v>45666</v>
      </c>
      <c r="B5234" t="s">
        <v>31</v>
      </c>
      <c r="C5234">
        <v>318.83</v>
      </c>
      <c r="D5234">
        <v>14.58</v>
      </c>
      <c r="E5234" t="s">
        <v>9</v>
      </c>
      <c r="F5234">
        <v>32.049999999999997</v>
      </c>
      <c r="G5234" t="s">
        <v>22</v>
      </c>
      <c r="H5234" t="s">
        <v>13</v>
      </c>
    </row>
    <row r="5235" spans="1:8" x14ac:dyDescent="0.25">
      <c r="A5235" s="1">
        <v>45666.041666666664</v>
      </c>
      <c r="B5235" t="s">
        <v>31</v>
      </c>
      <c r="C5235">
        <v>337.89</v>
      </c>
      <c r="D5235">
        <v>20.170000000000002</v>
      </c>
      <c r="E5235" t="s">
        <v>9</v>
      </c>
      <c r="F5235">
        <v>68.11</v>
      </c>
      <c r="G5235" t="s">
        <v>22</v>
      </c>
      <c r="H5235" t="s">
        <v>11</v>
      </c>
    </row>
    <row r="5236" spans="1:8" x14ac:dyDescent="0.25">
      <c r="A5236" s="1">
        <v>45666.083333333336</v>
      </c>
      <c r="B5236" t="s">
        <v>31</v>
      </c>
      <c r="C5236">
        <v>486.11</v>
      </c>
      <c r="D5236">
        <v>65.53</v>
      </c>
      <c r="E5236" t="s">
        <v>9</v>
      </c>
      <c r="F5236">
        <v>71.55</v>
      </c>
      <c r="G5236" t="s">
        <v>22</v>
      </c>
      <c r="H5236" t="s">
        <v>12</v>
      </c>
    </row>
    <row r="5237" spans="1:8" x14ac:dyDescent="0.25">
      <c r="A5237" s="1">
        <v>45666.125</v>
      </c>
      <c r="B5237" t="s">
        <v>31</v>
      </c>
      <c r="C5237">
        <v>202.7</v>
      </c>
      <c r="D5237">
        <v>34.18</v>
      </c>
      <c r="E5237" t="s">
        <v>9</v>
      </c>
      <c r="F5237">
        <v>71.349999999999994</v>
      </c>
      <c r="G5237" t="s">
        <v>22</v>
      </c>
      <c r="H5237" t="s">
        <v>12</v>
      </c>
    </row>
    <row r="5238" spans="1:8" x14ac:dyDescent="0.25">
      <c r="A5238" s="1">
        <v>45666.166666666664</v>
      </c>
      <c r="B5238" t="s">
        <v>31</v>
      </c>
      <c r="C5238">
        <v>480.42</v>
      </c>
      <c r="D5238">
        <v>24.17</v>
      </c>
      <c r="E5238" t="s">
        <v>9</v>
      </c>
      <c r="F5238">
        <v>35.799999999999997</v>
      </c>
      <c r="G5238" t="s">
        <v>22</v>
      </c>
      <c r="H5238" t="s">
        <v>13</v>
      </c>
    </row>
    <row r="5239" spans="1:8" x14ac:dyDescent="0.25">
      <c r="A5239" s="1">
        <v>45666.208333333336</v>
      </c>
      <c r="B5239" t="s">
        <v>31</v>
      </c>
      <c r="C5239">
        <v>439.76</v>
      </c>
      <c r="D5239">
        <v>61.29</v>
      </c>
      <c r="E5239" t="s">
        <v>9</v>
      </c>
      <c r="F5239">
        <v>51.96</v>
      </c>
      <c r="G5239" t="s">
        <v>22</v>
      </c>
      <c r="H5239" t="s">
        <v>13</v>
      </c>
    </row>
    <row r="5240" spans="1:8" x14ac:dyDescent="0.25">
      <c r="A5240" s="1">
        <v>45666.25</v>
      </c>
      <c r="B5240" t="s">
        <v>31</v>
      </c>
      <c r="C5240">
        <v>187.55</v>
      </c>
      <c r="D5240">
        <v>33.31</v>
      </c>
      <c r="E5240" t="s">
        <v>9</v>
      </c>
      <c r="F5240">
        <v>59.29</v>
      </c>
      <c r="G5240" t="s">
        <v>22</v>
      </c>
      <c r="H5240" t="s">
        <v>11</v>
      </c>
    </row>
    <row r="5241" spans="1:8" x14ac:dyDescent="0.25">
      <c r="A5241" s="1">
        <v>45666.291666666664</v>
      </c>
      <c r="B5241" t="s">
        <v>31</v>
      </c>
      <c r="C5241">
        <v>337.92</v>
      </c>
      <c r="D5241">
        <v>41.02</v>
      </c>
      <c r="E5241" t="s">
        <v>9</v>
      </c>
      <c r="F5241">
        <v>75.2</v>
      </c>
      <c r="G5241" t="s">
        <v>22</v>
      </c>
      <c r="H5241" t="s">
        <v>12</v>
      </c>
    </row>
    <row r="5242" spans="1:8" x14ac:dyDescent="0.25">
      <c r="A5242" s="1">
        <v>45666.333333333336</v>
      </c>
      <c r="B5242" t="s">
        <v>31</v>
      </c>
      <c r="C5242">
        <v>332.86</v>
      </c>
      <c r="D5242">
        <v>91.08</v>
      </c>
      <c r="E5242" t="s">
        <v>14</v>
      </c>
      <c r="F5242">
        <v>44.11</v>
      </c>
      <c r="G5242" t="s">
        <v>22</v>
      </c>
      <c r="H5242" t="s">
        <v>13</v>
      </c>
    </row>
    <row r="5243" spans="1:8" x14ac:dyDescent="0.25">
      <c r="A5243" s="1">
        <v>45666.375</v>
      </c>
      <c r="B5243" t="s">
        <v>31</v>
      </c>
      <c r="C5243">
        <v>357.44</v>
      </c>
      <c r="D5243">
        <v>31.12</v>
      </c>
      <c r="E5243" t="s">
        <v>9</v>
      </c>
      <c r="F5243">
        <v>32.380000000000003</v>
      </c>
      <c r="G5243" t="s">
        <v>22</v>
      </c>
      <c r="H5243" t="s">
        <v>11</v>
      </c>
    </row>
    <row r="5244" spans="1:8" x14ac:dyDescent="0.25">
      <c r="A5244" s="1">
        <v>45666.416666666664</v>
      </c>
      <c r="B5244" t="s">
        <v>31</v>
      </c>
      <c r="C5244">
        <v>484.5</v>
      </c>
      <c r="D5244">
        <v>51.42</v>
      </c>
      <c r="E5244" t="s">
        <v>9</v>
      </c>
      <c r="F5244">
        <v>81.3</v>
      </c>
      <c r="G5244" t="s">
        <v>22</v>
      </c>
      <c r="H5244" t="s">
        <v>13</v>
      </c>
    </row>
    <row r="5245" spans="1:8" x14ac:dyDescent="0.25">
      <c r="A5245" s="1">
        <v>45666.458333333336</v>
      </c>
      <c r="B5245" t="s">
        <v>31</v>
      </c>
      <c r="C5245">
        <v>369.62</v>
      </c>
      <c r="D5245">
        <v>68.63</v>
      </c>
      <c r="E5245" t="s">
        <v>9</v>
      </c>
      <c r="F5245">
        <v>45.45</v>
      </c>
      <c r="G5245" t="s">
        <v>22</v>
      </c>
      <c r="H5245" t="s">
        <v>12</v>
      </c>
    </row>
    <row r="5246" spans="1:8" x14ac:dyDescent="0.25">
      <c r="A5246" s="1">
        <v>45666.5</v>
      </c>
      <c r="B5246" t="s">
        <v>31</v>
      </c>
      <c r="C5246">
        <v>333.78</v>
      </c>
      <c r="D5246">
        <v>27.9</v>
      </c>
      <c r="E5246" t="s">
        <v>9</v>
      </c>
      <c r="F5246">
        <v>75.87</v>
      </c>
      <c r="G5246" t="s">
        <v>22</v>
      </c>
      <c r="H5246" t="s">
        <v>11</v>
      </c>
    </row>
    <row r="5247" spans="1:8" x14ac:dyDescent="0.25">
      <c r="A5247" s="1">
        <v>45666.541666666664</v>
      </c>
      <c r="B5247" t="s">
        <v>31</v>
      </c>
      <c r="C5247">
        <v>378.55</v>
      </c>
      <c r="D5247">
        <v>64.510000000000005</v>
      </c>
      <c r="E5247" t="s">
        <v>9</v>
      </c>
      <c r="F5247">
        <v>73.62</v>
      </c>
      <c r="G5247" t="s">
        <v>22</v>
      </c>
      <c r="H5247" t="s">
        <v>11</v>
      </c>
    </row>
    <row r="5248" spans="1:8" x14ac:dyDescent="0.25">
      <c r="A5248" s="1">
        <v>45666.583333333336</v>
      </c>
      <c r="B5248" t="s">
        <v>31</v>
      </c>
      <c r="C5248">
        <v>182</v>
      </c>
      <c r="D5248">
        <v>78.42</v>
      </c>
      <c r="E5248" t="s">
        <v>9</v>
      </c>
      <c r="F5248">
        <v>54.13</v>
      </c>
      <c r="G5248" t="s">
        <v>22</v>
      </c>
      <c r="H5248" t="s">
        <v>12</v>
      </c>
    </row>
    <row r="5249" spans="1:8" x14ac:dyDescent="0.25">
      <c r="A5249" s="1">
        <v>45666.625</v>
      </c>
      <c r="B5249" t="s">
        <v>31</v>
      </c>
      <c r="C5249">
        <v>485.62</v>
      </c>
      <c r="D5249">
        <v>47.61</v>
      </c>
      <c r="E5249" t="s">
        <v>9</v>
      </c>
      <c r="F5249">
        <v>71.11</v>
      </c>
      <c r="G5249" t="s">
        <v>22</v>
      </c>
      <c r="H5249" t="s">
        <v>12</v>
      </c>
    </row>
    <row r="5250" spans="1:8" x14ac:dyDescent="0.25">
      <c r="A5250" s="1">
        <v>45666.666666666664</v>
      </c>
      <c r="B5250" t="s">
        <v>31</v>
      </c>
      <c r="C5250">
        <v>396.63</v>
      </c>
      <c r="D5250">
        <v>66.36</v>
      </c>
      <c r="E5250" t="s">
        <v>9</v>
      </c>
      <c r="F5250">
        <v>47.58</v>
      </c>
      <c r="G5250" t="s">
        <v>22</v>
      </c>
      <c r="H5250" t="s">
        <v>12</v>
      </c>
    </row>
    <row r="5251" spans="1:8" x14ac:dyDescent="0.25">
      <c r="A5251" s="1">
        <v>45666.708333333336</v>
      </c>
      <c r="B5251" t="s">
        <v>31</v>
      </c>
      <c r="C5251">
        <v>129.66999999999999</v>
      </c>
      <c r="D5251">
        <v>75.47</v>
      </c>
      <c r="E5251" t="s">
        <v>9</v>
      </c>
      <c r="F5251">
        <v>84.91</v>
      </c>
      <c r="G5251" t="s">
        <v>22</v>
      </c>
      <c r="H5251" t="s">
        <v>12</v>
      </c>
    </row>
    <row r="5252" spans="1:8" x14ac:dyDescent="0.25">
      <c r="A5252" s="1">
        <v>45666.75</v>
      </c>
      <c r="B5252" t="s">
        <v>31</v>
      </c>
      <c r="C5252">
        <v>318.35000000000002</v>
      </c>
      <c r="D5252">
        <v>52.84</v>
      </c>
      <c r="E5252" t="s">
        <v>9</v>
      </c>
      <c r="F5252">
        <v>38.51</v>
      </c>
      <c r="G5252" t="s">
        <v>22</v>
      </c>
      <c r="H5252" t="s">
        <v>12</v>
      </c>
    </row>
    <row r="5253" spans="1:8" x14ac:dyDescent="0.25">
      <c r="A5253" s="1">
        <v>45666.791666666664</v>
      </c>
      <c r="B5253" t="s">
        <v>31</v>
      </c>
      <c r="C5253">
        <v>188.97</v>
      </c>
      <c r="D5253">
        <v>70.75</v>
      </c>
      <c r="E5253" t="s">
        <v>9</v>
      </c>
      <c r="F5253">
        <v>81.7</v>
      </c>
      <c r="G5253" t="s">
        <v>22</v>
      </c>
      <c r="H5253" t="s">
        <v>12</v>
      </c>
    </row>
    <row r="5254" spans="1:8" x14ac:dyDescent="0.25">
      <c r="A5254" s="1">
        <v>45666.833333333336</v>
      </c>
      <c r="B5254" t="s">
        <v>31</v>
      </c>
      <c r="C5254">
        <v>52.06</v>
      </c>
      <c r="D5254">
        <v>47.03</v>
      </c>
      <c r="E5254" t="s">
        <v>9</v>
      </c>
      <c r="F5254">
        <v>54.64</v>
      </c>
      <c r="G5254" t="s">
        <v>22</v>
      </c>
      <c r="H5254" t="s">
        <v>13</v>
      </c>
    </row>
    <row r="5255" spans="1:8" x14ac:dyDescent="0.25">
      <c r="A5255" s="1">
        <v>45666.875</v>
      </c>
      <c r="B5255" t="s">
        <v>31</v>
      </c>
      <c r="C5255">
        <v>150.44999999999999</v>
      </c>
      <c r="D5255">
        <v>19.38</v>
      </c>
      <c r="E5255" t="s">
        <v>9</v>
      </c>
      <c r="F5255">
        <v>46.26</v>
      </c>
      <c r="G5255" t="s">
        <v>22</v>
      </c>
      <c r="H5255" t="s">
        <v>12</v>
      </c>
    </row>
    <row r="5256" spans="1:8" x14ac:dyDescent="0.25">
      <c r="A5256" s="1">
        <v>45666.916666666664</v>
      </c>
      <c r="B5256" t="s">
        <v>31</v>
      </c>
      <c r="C5256">
        <v>248.45</v>
      </c>
      <c r="D5256">
        <v>64.13</v>
      </c>
      <c r="E5256" t="s">
        <v>9</v>
      </c>
      <c r="F5256">
        <v>83.97</v>
      </c>
      <c r="G5256" t="s">
        <v>22</v>
      </c>
      <c r="H5256" t="s">
        <v>11</v>
      </c>
    </row>
    <row r="5257" spans="1:8" x14ac:dyDescent="0.25">
      <c r="A5257" s="1">
        <v>45666.958333333336</v>
      </c>
      <c r="B5257" t="s">
        <v>31</v>
      </c>
      <c r="C5257">
        <v>323.37</v>
      </c>
      <c r="D5257">
        <v>29.37</v>
      </c>
      <c r="E5257" t="s">
        <v>9</v>
      </c>
      <c r="F5257">
        <v>52.96</v>
      </c>
      <c r="G5257" t="s">
        <v>22</v>
      </c>
      <c r="H5257" t="s">
        <v>11</v>
      </c>
    </row>
    <row r="5258" spans="1:8" x14ac:dyDescent="0.25">
      <c r="A5258" s="1">
        <v>45667</v>
      </c>
      <c r="B5258" t="s">
        <v>31</v>
      </c>
      <c r="C5258">
        <v>276.82</v>
      </c>
      <c r="D5258">
        <v>18.82</v>
      </c>
      <c r="E5258" t="s">
        <v>9</v>
      </c>
      <c r="F5258">
        <v>53.55</v>
      </c>
      <c r="G5258" t="s">
        <v>22</v>
      </c>
      <c r="H5258" t="s">
        <v>13</v>
      </c>
    </row>
    <row r="5259" spans="1:8" x14ac:dyDescent="0.25">
      <c r="A5259" s="1">
        <v>45667.041666666664</v>
      </c>
      <c r="B5259" t="s">
        <v>31</v>
      </c>
      <c r="C5259">
        <v>214.84</v>
      </c>
      <c r="D5259">
        <v>52.09</v>
      </c>
      <c r="E5259" t="s">
        <v>9</v>
      </c>
      <c r="F5259">
        <v>63.62</v>
      </c>
      <c r="G5259" t="s">
        <v>22</v>
      </c>
      <c r="H5259" t="s">
        <v>13</v>
      </c>
    </row>
    <row r="5260" spans="1:8" x14ac:dyDescent="0.25">
      <c r="A5260" s="1">
        <v>45667.083333333336</v>
      </c>
      <c r="B5260" t="s">
        <v>31</v>
      </c>
      <c r="C5260">
        <v>70.209999999999994</v>
      </c>
      <c r="D5260">
        <v>59.09</v>
      </c>
      <c r="E5260" t="s">
        <v>9</v>
      </c>
      <c r="F5260">
        <v>80.09</v>
      </c>
      <c r="G5260" t="s">
        <v>22</v>
      </c>
      <c r="H5260" t="s">
        <v>12</v>
      </c>
    </row>
    <row r="5261" spans="1:8" x14ac:dyDescent="0.25">
      <c r="A5261" s="1">
        <v>45667.125</v>
      </c>
      <c r="B5261" t="s">
        <v>31</v>
      </c>
      <c r="C5261">
        <v>420.9</v>
      </c>
      <c r="D5261">
        <v>86.54</v>
      </c>
      <c r="E5261" t="s">
        <v>14</v>
      </c>
      <c r="F5261">
        <v>55.44</v>
      </c>
      <c r="G5261" t="s">
        <v>22</v>
      </c>
      <c r="H5261" t="s">
        <v>12</v>
      </c>
    </row>
    <row r="5262" spans="1:8" x14ac:dyDescent="0.25">
      <c r="A5262" s="1">
        <v>45667.166666666664</v>
      </c>
      <c r="B5262" t="s">
        <v>31</v>
      </c>
      <c r="C5262">
        <v>137.24</v>
      </c>
      <c r="D5262">
        <v>73.400000000000006</v>
      </c>
      <c r="E5262" t="s">
        <v>9</v>
      </c>
      <c r="F5262">
        <v>60.11</v>
      </c>
      <c r="G5262" t="s">
        <v>22</v>
      </c>
      <c r="H5262" t="s">
        <v>12</v>
      </c>
    </row>
    <row r="5263" spans="1:8" x14ac:dyDescent="0.25">
      <c r="A5263" s="1">
        <v>45667.208333333336</v>
      </c>
      <c r="B5263" t="s">
        <v>31</v>
      </c>
      <c r="C5263">
        <v>103.05</v>
      </c>
      <c r="D5263">
        <v>66.790000000000006</v>
      </c>
      <c r="E5263" t="s">
        <v>9</v>
      </c>
      <c r="F5263">
        <v>33.94</v>
      </c>
      <c r="G5263" t="s">
        <v>22</v>
      </c>
      <c r="H5263" t="s">
        <v>11</v>
      </c>
    </row>
    <row r="5264" spans="1:8" x14ac:dyDescent="0.25">
      <c r="A5264" s="1">
        <v>45667.25</v>
      </c>
      <c r="B5264" t="s">
        <v>31</v>
      </c>
      <c r="C5264">
        <v>271.45999999999998</v>
      </c>
      <c r="D5264">
        <v>55.96</v>
      </c>
      <c r="E5264" t="s">
        <v>9</v>
      </c>
      <c r="F5264">
        <v>82.73</v>
      </c>
      <c r="G5264" t="s">
        <v>22</v>
      </c>
      <c r="H5264" t="s">
        <v>13</v>
      </c>
    </row>
    <row r="5265" spans="1:8" x14ac:dyDescent="0.25">
      <c r="A5265" s="1">
        <v>45667.291666666664</v>
      </c>
      <c r="B5265" t="s">
        <v>31</v>
      </c>
      <c r="C5265">
        <v>202.61</v>
      </c>
      <c r="D5265">
        <v>16.739999999999998</v>
      </c>
      <c r="E5265" t="s">
        <v>9</v>
      </c>
      <c r="F5265">
        <v>39.44</v>
      </c>
      <c r="G5265" t="s">
        <v>22</v>
      </c>
      <c r="H5265" t="s">
        <v>13</v>
      </c>
    </row>
    <row r="5266" spans="1:8" x14ac:dyDescent="0.25">
      <c r="A5266" s="1">
        <v>45667.333333333336</v>
      </c>
      <c r="B5266" t="s">
        <v>31</v>
      </c>
      <c r="C5266">
        <v>283.82</v>
      </c>
      <c r="D5266">
        <v>90.99</v>
      </c>
      <c r="E5266" t="s">
        <v>14</v>
      </c>
      <c r="F5266">
        <v>68.959999999999994</v>
      </c>
      <c r="G5266" t="s">
        <v>22</v>
      </c>
      <c r="H5266" t="s">
        <v>12</v>
      </c>
    </row>
    <row r="5267" spans="1:8" x14ac:dyDescent="0.25">
      <c r="A5267" s="1">
        <v>45667.375</v>
      </c>
      <c r="B5267" t="s">
        <v>31</v>
      </c>
      <c r="C5267">
        <v>262.20999999999998</v>
      </c>
      <c r="D5267">
        <v>33.08</v>
      </c>
      <c r="E5267" t="s">
        <v>9</v>
      </c>
      <c r="F5267">
        <v>44.76</v>
      </c>
      <c r="G5267" t="s">
        <v>22</v>
      </c>
      <c r="H5267" t="s">
        <v>12</v>
      </c>
    </row>
    <row r="5268" spans="1:8" x14ac:dyDescent="0.25">
      <c r="A5268" s="1">
        <v>45667.416666666664</v>
      </c>
      <c r="B5268" t="s">
        <v>31</v>
      </c>
      <c r="C5268">
        <v>313.36</v>
      </c>
      <c r="D5268">
        <v>28.4</v>
      </c>
      <c r="E5268" t="s">
        <v>9</v>
      </c>
      <c r="F5268">
        <v>32.020000000000003</v>
      </c>
      <c r="G5268" t="s">
        <v>22</v>
      </c>
      <c r="H5268" t="s">
        <v>12</v>
      </c>
    </row>
    <row r="5269" spans="1:8" x14ac:dyDescent="0.25">
      <c r="A5269" s="1">
        <v>45667.458333333336</v>
      </c>
      <c r="B5269" t="s">
        <v>31</v>
      </c>
      <c r="C5269">
        <v>459.17</v>
      </c>
      <c r="D5269">
        <v>34.630000000000003</v>
      </c>
      <c r="E5269" t="s">
        <v>9</v>
      </c>
      <c r="F5269">
        <v>67</v>
      </c>
      <c r="G5269" t="s">
        <v>22</v>
      </c>
      <c r="H5269" t="s">
        <v>11</v>
      </c>
    </row>
    <row r="5270" spans="1:8" x14ac:dyDescent="0.25">
      <c r="A5270" s="1">
        <v>45667.5</v>
      </c>
      <c r="B5270" t="s">
        <v>31</v>
      </c>
      <c r="C5270">
        <v>204.83</v>
      </c>
      <c r="D5270">
        <v>88</v>
      </c>
      <c r="E5270" t="s">
        <v>14</v>
      </c>
      <c r="F5270">
        <v>39.26</v>
      </c>
      <c r="G5270" t="s">
        <v>22</v>
      </c>
      <c r="H5270" t="s">
        <v>12</v>
      </c>
    </row>
    <row r="5271" spans="1:8" x14ac:dyDescent="0.25">
      <c r="A5271" s="1">
        <v>45667.541666666664</v>
      </c>
      <c r="B5271" t="s">
        <v>31</v>
      </c>
      <c r="C5271">
        <v>303.76</v>
      </c>
      <c r="D5271">
        <v>71.38</v>
      </c>
      <c r="E5271" t="s">
        <v>9</v>
      </c>
      <c r="F5271">
        <v>83.21</v>
      </c>
      <c r="G5271" t="s">
        <v>22</v>
      </c>
      <c r="H5271" t="s">
        <v>12</v>
      </c>
    </row>
    <row r="5272" spans="1:8" x14ac:dyDescent="0.25">
      <c r="A5272" s="1">
        <v>45667.583333333336</v>
      </c>
      <c r="B5272" t="s">
        <v>31</v>
      </c>
      <c r="C5272">
        <v>54.64</v>
      </c>
      <c r="D5272">
        <v>47.43</v>
      </c>
      <c r="E5272" t="s">
        <v>9</v>
      </c>
      <c r="F5272">
        <v>85.6</v>
      </c>
      <c r="G5272" t="s">
        <v>22</v>
      </c>
      <c r="H5272" t="s">
        <v>13</v>
      </c>
    </row>
    <row r="5273" spans="1:8" x14ac:dyDescent="0.25">
      <c r="A5273" s="1">
        <v>45667.625</v>
      </c>
      <c r="B5273" t="s">
        <v>31</v>
      </c>
      <c r="C5273">
        <v>189.1</v>
      </c>
      <c r="D5273">
        <v>21.94</v>
      </c>
      <c r="E5273" t="s">
        <v>9</v>
      </c>
      <c r="F5273">
        <v>33.22</v>
      </c>
      <c r="G5273" t="s">
        <v>22</v>
      </c>
      <c r="H5273" t="s">
        <v>11</v>
      </c>
    </row>
    <row r="5274" spans="1:8" x14ac:dyDescent="0.25">
      <c r="A5274" s="1">
        <v>45667.666666666664</v>
      </c>
      <c r="B5274" t="s">
        <v>31</v>
      </c>
      <c r="C5274">
        <v>133.32</v>
      </c>
      <c r="D5274">
        <v>51.8</v>
      </c>
      <c r="E5274" t="s">
        <v>9</v>
      </c>
      <c r="F5274">
        <v>80.180000000000007</v>
      </c>
      <c r="G5274" t="s">
        <v>22</v>
      </c>
      <c r="H5274" t="s">
        <v>11</v>
      </c>
    </row>
    <row r="5275" spans="1:8" x14ac:dyDescent="0.25">
      <c r="A5275" s="1">
        <v>45667.708333333336</v>
      </c>
      <c r="B5275" t="s">
        <v>31</v>
      </c>
      <c r="C5275">
        <v>72.17</v>
      </c>
      <c r="D5275">
        <v>27.03</v>
      </c>
      <c r="E5275" t="s">
        <v>9</v>
      </c>
      <c r="F5275">
        <v>46.52</v>
      </c>
      <c r="G5275" t="s">
        <v>22</v>
      </c>
      <c r="H5275" t="s">
        <v>13</v>
      </c>
    </row>
    <row r="5276" spans="1:8" x14ac:dyDescent="0.25">
      <c r="A5276" s="1">
        <v>45667.75</v>
      </c>
      <c r="B5276" t="s">
        <v>31</v>
      </c>
      <c r="C5276">
        <v>486.91</v>
      </c>
      <c r="D5276">
        <v>41.95</v>
      </c>
      <c r="E5276" t="s">
        <v>9</v>
      </c>
      <c r="F5276">
        <v>74.510000000000005</v>
      </c>
      <c r="G5276" t="s">
        <v>22</v>
      </c>
      <c r="H5276" t="s">
        <v>12</v>
      </c>
    </row>
    <row r="5277" spans="1:8" x14ac:dyDescent="0.25">
      <c r="A5277" s="1">
        <v>45667.791666666664</v>
      </c>
      <c r="B5277" t="s">
        <v>31</v>
      </c>
      <c r="C5277">
        <v>95.21</v>
      </c>
      <c r="D5277">
        <v>64.599999999999994</v>
      </c>
      <c r="E5277" t="s">
        <v>9</v>
      </c>
      <c r="F5277">
        <v>36.78</v>
      </c>
      <c r="G5277" t="s">
        <v>22</v>
      </c>
      <c r="H5277" t="s">
        <v>13</v>
      </c>
    </row>
    <row r="5278" spans="1:8" x14ac:dyDescent="0.25">
      <c r="A5278" s="1">
        <v>45667.833333333336</v>
      </c>
      <c r="B5278" t="s">
        <v>31</v>
      </c>
      <c r="C5278">
        <v>111.9</v>
      </c>
      <c r="D5278">
        <v>39.18</v>
      </c>
      <c r="E5278" t="s">
        <v>9</v>
      </c>
      <c r="F5278">
        <v>67.5</v>
      </c>
      <c r="G5278" t="s">
        <v>22</v>
      </c>
      <c r="H5278" t="s">
        <v>13</v>
      </c>
    </row>
    <row r="5279" spans="1:8" x14ac:dyDescent="0.25">
      <c r="A5279" s="1">
        <v>45667.875</v>
      </c>
      <c r="B5279" t="s">
        <v>31</v>
      </c>
      <c r="C5279">
        <v>303.62</v>
      </c>
      <c r="D5279">
        <v>28.26</v>
      </c>
      <c r="E5279" t="s">
        <v>9</v>
      </c>
      <c r="F5279">
        <v>89.41</v>
      </c>
      <c r="G5279" t="s">
        <v>22</v>
      </c>
      <c r="H5279" t="s">
        <v>11</v>
      </c>
    </row>
    <row r="5280" spans="1:8" x14ac:dyDescent="0.25">
      <c r="A5280" s="1">
        <v>45667.916666666664</v>
      </c>
      <c r="B5280" t="s">
        <v>31</v>
      </c>
      <c r="C5280">
        <v>412.44</v>
      </c>
      <c r="D5280">
        <v>69.349999999999994</v>
      </c>
      <c r="E5280" t="s">
        <v>9</v>
      </c>
      <c r="F5280">
        <v>61.37</v>
      </c>
      <c r="G5280" t="s">
        <v>22</v>
      </c>
      <c r="H5280" t="s">
        <v>13</v>
      </c>
    </row>
    <row r="5281" spans="1:8" x14ac:dyDescent="0.25">
      <c r="A5281" s="1">
        <v>45667.958333333336</v>
      </c>
      <c r="B5281" t="s">
        <v>31</v>
      </c>
      <c r="C5281">
        <v>490.58</v>
      </c>
      <c r="D5281">
        <v>60.33</v>
      </c>
      <c r="E5281" t="s">
        <v>9</v>
      </c>
      <c r="F5281">
        <v>86.94</v>
      </c>
      <c r="G5281" t="s">
        <v>22</v>
      </c>
      <c r="H5281" t="s">
        <v>11</v>
      </c>
    </row>
    <row r="5282" spans="1:8" x14ac:dyDescent="0.25">
      <c r="A5282" s="1">
        <v>45668</v>
      </c>
      <c r="B5282" t="s">
        <v>31</v>
      </c>
      <c r="C5282">
        <v>121.51</v>
      </c>
      <c r="D5282">
        <v>70.790000000000006</v>
      </c>
      <c r="E5282" t="s">
        <v>9</v>
      </c>
      <c r="F5282">
        <v>75.040000000000006</v>
      </c>
      <c r="G5282" t="s">
        <v>22</v>
      </c>
      <c r="H5282" t="s">
        <v>13</v>
      </c>
    </row>
    <row r="5283" spans="1:8" x14ac:dyDescent="0.25">
      <c r="A5283" s="1">
        <v>45668.041666666664</v>
      </c>
      <c r="B5283" t="s">
        <v>31</v>
      </c>
      <c r="C5283">
        <v>215.43</v>
      </c>
      <c r="D5283">
        <v>83.97</v>
      </c>
      <c r="E5283" t="s">
        <v>9</v>
      </c>
      <c r="F5283">
        <v>31.76</v>
      </c>
      <c r="G5283" t="s">
        <v>22</v>
      </c>
      <c r="H5283" t="s">
        <v>12</v>
      </c>
    </row>
    <row r="5284" spans="1:8" x14ac:dyDescent="0.25">
      <c r="A5284" s="1">
        <v>45668.083333333336</v>
      </c>
      <c r="B5284" t="s">
        <v>31</v>
      </c>
      <c r="C5284">
        <v>279.95</v>
      </c>
      <c r="D5284">
        <v>63.18</v>
      </c>
      <c r="E5284" t="s">
        <v>9</v>
      </c>
      <c r="F5284">
        <v>46.56</v>
      </c>
      <c r="G5284" t="s">
        <v>22</v>
      </c>
      <c r="H5284" t="s">
        <v>11</v>
      </c>
    </row>
    <row r="5285" spans="1:8" x14ac:dyDescent="0.25">
      <c r="A5285" s="1">
        <v>45668.125</v>
      </c>
      <c r="B5285" t="s">
        <v>31</v>
      </c>
      <c r="C5285">
        <v>262.05</v>
      </c>
      <c r="D5285">
        <v>92.08</v>
      </c>
      <c r="E5285" t="s">
        <v>14</v>
      </c>
      <c r="F5285">
        <v>70.760000000000005</v>
      </c>
      <c r="G5285" t="s">
        <v>22</v>
      </c>
      <c r="H5285" t="s">
        <v>12</v>
      </c>
    </row>
    <row r="5286" spans="1:8" x14ac:dyDescent="0.25">
      <c r="A5286" s="1">
        <v>45668.166666666664</v>
      </c>
      <c r="B5286" t="s">
        <v>31</v>
      </c>
      <c r="C5286">
        <v>382.02</v>
      </c>
      <c r="D5286">
        <v>41.67</v>
      </c>
      <c r="E5286" t="s">
        <v>9</v>
      </c>
      <c r="F5286">
        <v>89.97</v>
      </c>
      <c r="G5286" t="s">
        <v>22</v>
      </c>
      <c r="H5286" t="s">
        <v>12</v>
      </c>
    </row>
    <row r="5287" spans="1:8" x14ac:dyDescent="0.25">
      <c r="A5287" s="1">
        <v>45668.208333333336</v>
      </c>
      <c r="B5287" t="s">
        <v>31</v>
      </c>
      <c r="C5287">
        <v>491.22</v>
      </c>
      <c r="D5287">
        <v>44.01</v>
      </c>
      <c r="E5287" t="s">
        <v>9</v>
      </c>
      <c r="F5287">
        <v>87.42</v>
      </c>
      <c r="G5287" t="s">
        <v>22</v>
      </c>
      <c r="H5287" t="s">
        <v>11</v>
      </c>
    </row>
    <row r="5288" spans="1:8" x14ac:dyDescent="0.25">
      <c r="A5288" s="1">
        <v>45668.25</v>
      </c>
      <c r="B5288" t="s">
        <v>31</v>
      </c>
      <c r="C5288">
        <v>253.56</v>
      </c>
      <c r="D5288">
        <v>82.92</v>
      </c>
      <c r="E5288" t="s">
        <v>9</v>
      </c>
      <c r="F5288">
        <v>76.7</v>
      </c>
      <c r="G5288" t="s">
        <v>22</v>
      </c>
      <c r="H5288" t="s">
        <v>12</v>
      </c>
    </row>
    <row r="5289" spans="1:8" x14ac:dyDescent="0.25">
      <c r="A5289" s="1">
        <v>45668.291666666664</v>
      </c>
      <c r="B5289" t="s">
        <v>31</v>
      </c>
      <c r="C5289">
        <v>172.38</v>
      </c>
      <c r="D5289">
        <v>62.08</v>
      </c>
      <c r="E5289" t="s">
        <v>9</v>
      </c>
      <c r="F5289">
        <v>46.99</v>
      </c>
      <c r="G5289" t="s">
        <v>22</v>
      </c>
      <c r="H5289" t="s">
        <v>12</v>
      </c>
    </row>
    <row r="5290" spans="1:8" x14ac:dyDescent="0.25">
      <c r="A5290" s="1">
        <v>45668.333333333336</v>
      </c>
      <c r="B5290" t="s">
        <v>31</v>
      </c>
      <c r="C5290">
        <v>334.35</v>
      </c>
      <c r="D5290">
        <v>48.92</v>
      </c>
      <c r="E5290" t="s">
        <v>9</v>
      </c>
      <c r="F5290">
        <v>64.02</v>
      </c>
      <c r="G5290" t="s">
        <v>22</v>
      </c>
      <c r="H5290" t="s">
        <v>11</v>
      </c>
    </row>
    <row r="5291" spans="1:8" x14ac:dyDescent="0.25">
      <c r="A5291" s="1">
        <v>45668.375</v>
      </c>
      <c r="B5291" t="s">
        <v>31</v>
      </c>
      <c r="C5291">
        <v>414.61</v>
      </c>
      <c r="D5291">
        <v>25.3</v>
      </c>
      <c r="E5291" t="s">
        <v>9</v>
      </c>
      <c r="F5291">
        <v>77.010000000000005</v>
      </c>
      <c r="G5291" t="s">
        <v>22</v>
      </c>
      <c r="H5291" t="s">
        <v>12</v>
      </c>
    </row>
    <row r="5292" spans="1:8" x14ac:dyDescent="0.25">
      <c r="A5292" s="1">
        <v>45668.416666666664</v>
      </c>
      <c r="B5292" t="s">
        <v>31</v>
      </c>
      <c r="C5292">
        <v>480.31</v>
      </c>
      <c r="D5292">
        <v>85.33</v>
      </c>
      <c r="E5292" t="s">
        <v>14</v>
      </c>
      <c r="F5292">
        <v>76.06</v>
      </c>
      <c r="G5292" t="s">
        <v>22</v>
      </c>
      <c r="H5292" t="s">
        <v>12</v>
      </c>
    </row>
    <row r="5293" spans="1:8" x14ac:dyDescent="0.25">
      <c r="A5293" s="1">
        <v>45668.458333333336</v>
      </c>
      <c r="B5293" t="s">
        <v>31</v>
      </c>
      <c r="C5293">
        <v>378.73</v>
      </c>
      <c r="D5293">
        <v>72.66</v>
      </c>
      <c r="E5293" t="s">
        <v>9</v>
      </c>
      <c r="F5293">
        <v>67.89</v>
      </c>
      <c r="G5293" t="s">
        <v>22</v>
      </c>
      <c r="H5293" t="s">
        <v>13</v>
      </c>
    </row>
    <row r="5294" spans="1:8" x14ac:dyDescent="0.25">
      <c r="A5294" s="1">
        <v>45668.5</v>
      </c>
      <c r="B5294" t="s">
        <v>31</v>
      </c>
      <c r="C5294">
        <v>405.8</v>
      </c>
      <c r="D5294">
        <v>55.56</v>
      </c>
      <c r="E5294" t="s">
        <v>9</v>
      </c>
      <c r="F5294">
        <v>62.17</v>
      </c>
      <c r="G5294" t="s">
        <v>22</v>
      </c>
      <c r="H5294" t="s">
        <v>11</v>
      </c>
    </row>
    <row r="5295" spans="1:8" x14ac:dyDescent="0.25">
      <c r="A5295" s="1">
        <v>45668.541666666664</v>
      </c>
      <c r="B5295" t="s">
        <v>31</v>
      </c>
      <c r="C5295">
        <v>169.27</v>
      </c>
      <c r="D5295">
        <v>45.14</v>
      </c>
      <c r="E5295" t="s">
        <v>9</v>
      </c>
      <c r="F5295">
        <v>31.04</v>
      </c>
      <c r="G5295" t="s">
        <v>22</v>
      </c>
      <c r="H5295" t="s">
        <v>13</v>
      </c>
    </row>
    <row r="5296" spans="1:8" x14ac:dyDescent="0.25">
      <c r="A5296" s="1">
        <v>45668.583333333336</v>
      </c>
      <c r="B5296" t="s">
        <v>31</v>
      </c>
      <c r="C5296">
        <v>54.56</v>
      </c>
      <c r="D5296">
        <v>84.42</v>
      </c>
      <c r="E5296" t="s">
        <v>9</v>
      </c>
      <c r="F5296">
        <v>31.51</v>
      </c>
      <c r="G5296" t="s">
        <v>22</v>
      </c>
      <c r="H5296" t="s">
        <v>12</v>
      </c>
    </row>
    <row r="5297" spans="1:8" x14ac:dyDescent="0.25">
      <c r="A5297" s="1">
        <v>45668.625</v>
      </c>
      <c r="B5297" t="s">
        <v>31</v>
      </c>
      <c r="C5297">
        <v>261.43</v>
      </c>
      <c r="D5297">
        <v>37.619999999999997</v>
      </c>
      <c r="E5297" t="s">
        <v>9</v>
      </c>
      <c r="F5297">
        <v>58.65</v>
      </c>
      <c r="G5297" t="s">
        <v>22</v>
      </c>
      <c r="H5297" t="s">
        <v>12</v>
      </c>
    </row>
    <row r="5298" spans="1:8" x14ac:dyDescent="0.25">
      <c r="A5298" s="1">
        <v>45668.666666666664</v>
      </c>
      <c r="B5298" t="s">
        <v>31</v>
      </c>
      <c r="C5298">
        <v>324.89</v>
      </c>
      <c r="D5298">
        <v>45.77</v>
      </c>
      <c r="E5298" t="s">
        <v>9</v>
      </c>
      <c r="F5298">
        <v>60.72</v>
      </c>
      <c r="G5298" t="s">
        <v>22</v>
      </c>
      <c r="H5298" t="s">
        <v>13</v>
      </c>
    </row>
    <row r="5299" spans="1:8" x14ac:dyDescent="0.25">
      <c r="A5299" s="1">
        <v>45668.708333333336</v>
      </c>
      <c r="B5299" t="s">
        <v>31</v>
      </c>
      <c r="C5299">
        <v>432.96</v>
      </c>
      <c r="D5299">
        <v>91.71</v>
      </c>
      <c r="E5299" t="s">
        <v>14</v>
      </c>
      <c r="F5299">
        <v>40.659999999999997</v>
      </c>
      <c r="G5299" t="s">
        <v>22</v>
      </c>
      <c r="H5299" t="s">
        <v>11</v>
      </c>
    </row>
    <row r="5300" spans="1:8" x14ac:dyDescent="0.25">
      <c r="A5300" s="1">
        <v>45668.75</v>
      </c>
      <c r="B5300" t="s">
        <v>31</v>
      </c>
      <c r="C5300">
        <v>227.93</v>
      </c>
      <c r="D5300">
        <v>16.59</v>
      </c>
      <c r="E5300" t="s">
        <v>9</v>
      </c>
      <c r="F5300">
        <v>60.44</v>
      </c>
      <c r="G5300" t="s">
        <v>22</v>
      </c>
      <c r="H5300" t="s">
        <v>13</v>
      </c>
    </row>
    <row r="5301" spans="1:8" x14ac:dyDescent="0.25">
      <c r="A5301" s="1">
        <v>45668.791666666664</v>
      </c>
      <c r="B5301" t="s">
        <v>31</v>
      </c>
      <c r="C5301">
        <v>427.05</v>
      </c>
      <c r="D5301">
        <v>23.22</v>
      </c>
      <c r="E5301" t="s">
        <v>9</v>
      </c>
      <c r="F5301">
        <v>60.8</v>
      </c>
      <c r="G5301" t="s">
        <v>22</v>
      </c>
      <c r="H5301" t="s">
        <v>12</v>
      </c>
    </row>
    <row r="5302" spans="1:8" x14ac:dyDescent="0.25">
      <c r="A5302" s="1">
        <v>45668.833333333336</v>
      </c>
      <c r="B5302" t="s">
        <v>31</v>
      </c>
      <c r="C5302">
        <v>252.47</v>
      </c>
      <c r="D5302">
        <v>33.64</v>
      </c>
      <c r="E5302" t="s">
        <v>9</v>
      </c>
      <c r="F5302">
        <v>68.27</v>
      </c>
      <c r="G5302" t="s">
        <v>22</v>
      </c>
      <c r="H5302" t="s">
        <v>11</v>
      </c>
    </row>
    <row r="5303" spans="1:8" x14ac:dyDescent="0.25">
      <c r="A5303" s="1">
        <v>45668.875</v>
      </c>
      <c r="B5303" t="s">
        <v>31</v>
      </c>
      <c r="C5303">
        <v>158.36000000000001</v>
      </c>
      <c r="D5303">
        <v>24.39</v>
      </c>
      <c r="E5303" t="s">
        <v>9</v>
      </c>
      <c r="F5303">
        <v>75.39</v>
      </c>
      <c r="G5303" t="s">
        <v>22</v>
      </c>
      <c r="H5303" t="s">
        <v>12</v>
      </c>
    </row>
    <row r="5304" spans="1:8" x14ac:dyDescent="0.25">
      <c r="A5304" s="1">
        <v>45668.916666666664</v>
      </c>
      <c r="B5304" t="s">
        <v>31</v>
      </c>
      <c r="C5304">
        <v>497.15</v>
      </c>
      <c r="D5304">
        <v>45.3</v>
      </c>
      <c r="E5304" t="s">
        <v>9</v>
      </c>
      <c r="F5304">
        <v>57.8</v>
      </c>
      <c r="G5304" t="s">
        <v>22</v>
      </c>
      <c r="H5304" t="s">
        <v>11</v>
      </c>
    </row>
    <row r="5305" spans="1:8" x14ac:dyDescent="0.25">
      <c r="A5305" s="1">
        <v>45668.958333333336</v>
      </c>
      <c r="B5305" t="s">
        <v>31</v>
      </c>
      <c r="C5305">
        <v>338.85</v>
      </c>
      <c r="D5305">
        <v>92.07</v>
      </c>
      <c r="E5305" t="s">
        <v>14</v>
      </c>
      <c r="F5305">
        <v>65.23</v>
      </c>
      <c r="G5305" t="s">
        <v>22</v>
      </c>
      <c r="H5305" t="s">
        <v>11</v>
      </c>
    </row>
    <row r="5306" spans="1:8" x14ac:dyDescent="0.25">
      <c r="A5306" s="1">
        <v>45669</v>
      </c>
      <c r="B5306" t="s">
        <v>31</v>
      </c>
      <c r="C5306">
        <v>200.03</v>
      </c>
      <c r="D5306">
        <v>70.72</v>
      </c>
      <c r="E5306" t="s">
        <v>9</v>
      </c>
      <c r="F5306">
        <v>87.95</v>
      </c>
      <c r="G5306" t="s">
        <v>22</v>
      </c>
      <c r="H5306" t="s">
        <v>11</v>
      </c>
    </row>
    <row r="5307" spans="1:8" x14ac:dyDescent="0.25">
      <c r="A5307" s="1">
        <v>45669.041666666664</v>
      </c>
      <c r="B5307" t="s">
        <v>31</v>
      </c>
      <c r="C5307">
        <v>368.47</v>
      </c>
      <c r="D5307">
        <v>30.25</v>
      </c>
      <c r="E5307" t="s">
        <v>9</v>
      </c>
      <c r="F5307">
        <v>39.51</v>
      </c>
      <c r="G5307" t="s">
        <v>22</v>
      </c>
      <c r="H5307" t="s">
        <v>11</v>
      </c>
    </row>
    <row r="5308" spans="1:8" x14ac:dyDescent="0.25">
      <c r="A5308" s="1">
        <v>45669.083333333336</v>
      </c>
      <c r="B5308" t="s">
        <v>31</v>
      </c>
      <c r="C5308">
        <v>130.63999999999999</v>
      </c>
      <c r="D5308">
        <v>38.950000000000003</v>
      </c>
      <c r="E5308" t="s">
        <v>9</v>
      </c>
      <c r="F5308">
        <v>62.63</v>
      </c>
      <c r="G5308" t="s">
        <v>22</v>
      </c>
      <c r="H5308" t="s">
        <v>12</v>
      </c>
    </row>
    <row r="5309" spans="1:8" x14ac:dyDescent="0.25">
      <c r="A5309" s="1">
        <v>45669.125</v>
      </c>
      <c r="B5309" t="s">
        <v>31</v>
      </c>
      <c r="C5309">
        <v>413.68</v>
      </c>
      <c r="D5309">
        <v>46.99</v>
      </c>
      <c r="E5309" t="s">
        <v>9</v>
      </c>
      <c r="F5309">
        <v>62.05</v>
      </c>
      <c r="G5309" t="s">
        <v>22</v>
      </c>
      <c r="H5309" t="s">
        <v>12</v>
      </c>
    </row>
    <row r="5310" spans="1:8" x14ac:dyDescent="0.25">
      <c r="A5310" s="1">
        <v>45669.166666666664</v>
      </c>
      <c r="B5310" t="s">
        <v>31</v>
      </c>
      <c r="C5310">
        <v>132.16999999999999</v>
      </c>
      <c r="D5310">
        <v>69.599999999999994</v>
      </c>
      <c r="E5310" t="s">
        <v>9</v>
      </c>
      <c r="F5310">
        <v>51.15</v>
      </c>
      <c r="G5310" t="s">
        <v>22</v>
      </c>
      <c r="H5310" t="s">
        <v>12</v>
      </c>
    </row>
    <row r="5311" spans="1:8" x14ac:dyDescent="0.25">
      <c r="A5311" s="1">
        <v>45669.208333333336</v>
      </c>
      <c r="B5311" t="s">
        <v>31</v>
      </c>
      <c r="C5311">
        <v>397.01</v>
      </c>
      <c r="D5311">
        <v>47.61</v>
      </c>
      <c r="E5311" t="s">
        <v>9</v>
      </c>
      <c r="F5311">
        <v>42.78</v>
      </c>
      <c r="G5311" t="s">
        <v>22</v>
      </c>
      <c r="H5311" t="s">
        <v>11</v>
      </c>
    </row>
    <row r="5312" spans="1:8" x14ac:dyDescent="0.25">
      <c r="A5312" s="1">
        <v>45669.25</v>
      </c>
      <c r="B5312" t="s">
        <v>31</v>
      </c>
      <c r="C5312">
        <v>117.83</v>
      </c>
      <c r="D5312">
        <v>17.600000000000001</v>
      </c>
      <c r="E5312" t="s">
        <v>9</v>
      </c>
      <c r="F5312">
        <v>71.900000000000006</v>
      </c>
      <c r="G5312" t="s">
        <v>22</v>
      </c>
      <c r="H5312" t="s">
        <v>13</v>
      </c>
    </row>
    <row r="5313" spans="1:8" x14ac:dyDescent="0.25">
      <c r="A5313" s="1">
        <v>45669.291666666664</v>
      </c>
      <c r="B5313" t="s">
        <v>31</v>
      </c>
      <c r="C5313">
        <v>142.34</v>
      </c>
      <c r="D5313">
        <v>81.430000000000007</v>
      </c>
      <c r="E5313" t="s">
        <v>9</v>
      </c>
      <c r="F5313">
        <v>40.51</v>
      </c>
      <c r="G5313" t="s">
        <v>22</v>
      </c>
      <c r="H5313" t="s">
        <v>12</v>
      </c>
    </row>
    <row r="5314" spans="1:8" x14ac:dyDescent="0.25">
      <c r="A5314" s="1">
        <v>45669.333333333336</v>
      </c>
      <c r="B5314" t="s">
        <v>31</v>
      </c>
      <c r="C5314">
        <v>333.41</v>
      </c>
      <c r="D5314">
        <v>62.33</v>
      </c>
      <c r="E5314" t="s">
        <v>9</v>
      </c>
      <c r="F5314">
        <v>69.95</v>
      </c>
      <c r="G5314" t="s">
        <v>22</v>
      </c>
      <c r="H5314" t="s">
        <v>13</v>
      </c>
    </row>
    <row r="5315" spans="1:8" x14ac:dyDescent="0.25">
      <c r="A5315" s="1">
        <v>45669.375</v>
      </c>
      <c r="B5315" t="s">
        <v>31</v>
      </c>
      <c r="C5315">
        <v>96.84</v>
      </c>
      <c r="D5315">
        <v>17.22</v>
      </c>
      <c r="E5315" t="s">
        <v>9</v>
      </c>
      <c r="F5315">
        <v>49.84</v>
      </c>
      <c r="G5315" t="s">
        <v>22</v>
      </c>
      <c r="H5315" t="s">
        <v>13</v>
      </c>
    </row>
    <row r="5316" spans="1:8" x14ac:dyDescent="0.25">
      <c r="A5316" s="1">
        <v>45669.416666666664</v>
      </c>
      <c r="B5316" t="s">
        <v>31</v>
      </c>
      <c r="C5316">
        <v>398.49</v>
      </c>
      <c r="D5316">
        <v>43.75</v>
      </c>
      <c r="E5316" t="s">
        <v>9</v>
      </c>
      <c r="F5316">
        <v>39.75</v>
      </c>
      <c r="G5316" t="s">
        <v>22</v>
      </c>
      <c r="H5316" t="s">
        <v>12</v>
      </c>
    </row>
    <row r="5317" spans="1:8" x14ac:dyDescent="0.25">
      <c r="A5317" s="1">
        <v>45669.458333333336</v>
      </c>
      <c r="B5317" t="s">
        <v>31</v>
      </c>
      <c r="C5317">
        <v>146.63</v>
      </c>
      <c r="D5317">
        <v>73.260000000000005</v>
      </c>
      <c r="E5317" t="s">
        <v>9</v>
      </c>
      <c r="F5317">
        <v>58.22</v>
      </c>
      <c r="G5317" t="s">
        <v>22</v>
      </c>
      <c r="H5317" t="s">
        <v>13</v>
      </c>
    </row>
    <row r="5318" spans="1:8" x14ac:dyDescent="0.25">
      <c r="A5318" s="1">
        <v>45669.5</v>
      </c>
      <c r="B5318" t="s">
        <v>31</v>
      </c>
      <c r="C5318">
        <v>172.72</v>
      </c>
      <c r="D5318">
        <v>86.92</v>
      </c>
      <c r="E5318" t="s">
        <v>14</v>
      </c>
      <c r="F5318">
        <v>35.33</v>
      </c>
      <c r="G5318" t="s">
        <v>22</v>
      </c>
      <c r="H5318" t="s">
        <v>11</v>
      </c>
    </row>
    <row r="5319" spans="1:8" x14ac:dyDescent="0.25">
      <c r="A5319" s="1">
        <v>45669.541666666664</v>
      </c>
      <c r="B5319" t="s">
        <v>31</v>
      </c>
      <c r="C5319">
        <v>336.15</v>
      </c>
      <c r="D5319">
        <v>82.87</v>
      </c>
      <c r="E5319" t="s">
        <v>9</v>
      </c>
      <c r="F5319">
        <v>35.729999999999997</v>
      </c>
      <c r="G5319" t="s">
        <v>22</v>
      </c>
      <c r="H5319" t="s">
        <v>13</v>
      </c>
    </row>
    <row r="5320" spans="1:8" x14ac:dyDescent="0.25">
      <c r="A5320" s="1">
        <v>45669.583333333336</v>
      </c>
      <c r="B5320" t="s">
        <v>31</v>
      </c>
      <c r="C5320">
        <v>424.21</v>
      </c>
      <c r="D5320">
        <v>94.33</v>
      </c>
      <c r="E5320" t="s">
        <v>14</v>
      </c>
      <c r="F5320">
        <v>67.39</v>
      </c>
      <c r="G5320" t="s">
        <v>22</v>
      </c>
      <c r="H5320" t="s">
        <v>12</v>
      </c>
    </row>
    <row r="5321" spans="1:8" x14ac:dyDescent="0.25">
      <c r="A5321" s="1">
        <v>45669.625</v>
      </c>
      <c r="B5321" t="s">
        <v>31</v>
      </c>
      <c r="C5321">
        <v>194.49</v>
      </c>
      <c r="D5321">
        <v>42.48</v>
      </c>
      <c r="E5321" t="s">
        <v>9</v>
      </c>
      <c r="F5321">
        <v>70.47</v>
      </c>
      <c r="G5321" t="s">
        <v>22</v>
      </c>
      <c r="H5321" t="s">
        <v>11</v>
      </c>
    </row>
    <row r="5322" spans="1:8" x14ac:dyDescent="0.25">
      <c r="A5322" s="1">
        <v>45669.666666666664</v>
      </c>
      <c r="B5322" t="s">
        <v>31</v>
      </c>
      <c r="C5322">
        <v>452.3</v>
      </c>
      <c r="D5322">
        <v>18.54</v>
      </c>
      <c r="E5322" t="s">
        <v>9</v>
      </c>
      <c r="F5322">
        <v>65.489999999999995</v>
      </c>
      <c r="G5322" t="s">
        <v>22</v>
      </c>
      <c r="H5322" t="s">
        <v>12</v>
      </c>
    </row>
    <row r="5323" spans="1:8" x14ac:dyDescent="0.25">
      <c r="A5323" s="1">
        <v>45669.708333333336</v>
      </c>
      <c r="B5323" t="s">
        <v>31</v>
      </c>
      <c r="C5323">
        <v>301.54000000000002</v>
      </c>
      <c r="D5323">
        <v>85.73</v>
      </c>
      <c r="E5323" t="s">
        <v>14</v>
      </c>
      <c r="F5323">
        <v>64.739999999999995</v>
      </c>
      <c r="G5323" t="s">
        <v>22</v>
      </c>
      <c r="H5323" t="s">
        <v>13</v>
      </c>
    </row>
    <row r="5324" spans="1:8" x14ac:dyDescent="0.25">
      <c r="A5324" s="1">
        <v>45669.75</v>
      </c>
      <c r="B5324" t="s">
        <v>31</v>
      </c>
      <c r="C5324">
        <v>85.76</v>
      </c>
      <c r="D5324">
        <v>64.78</v>
      </c>
      <c r="E5324" t="s">
        <v>9</v>
      </c>
      <c r="F5324">
        <v>62.7</v>
      </c>
      <c r="G5324" t="s">
        <v>22</v>
      </c>
      <c r="H5324" t="s">
        <v>12</v>
      </c>
    </row>
    <row r="5325" spans="1:8" x14ac:dyDescent="0.25">
      <c r="A5325" s="1">
        <v>45669.791666666664</v>
      </c>
      <c r="B5325" t="s">
        <v>31</v>
      </c>
      <c r="C5325">
        <v>96.25</v>
      </c>
      <c r="D5325">
        <v>57.99</v>
      </c>
      <c r="E5325" t="s">
        <v>9</v>
      </c>
      <c r="F5325">
        <v>48.11</v>
      </c>
      <c r="G5325" t="s">
        <v>22</v>
      </c>
      <c r="H5325" t="s">
        <v>13</v>
      </c>
    </row>
    <row r="5326" spans="1:8" x14ac:dyDescent="0.25">
      <c r="A5326" s="1">
        <v>45669.833333333336</v>
      </c>
      <c r="B5326" t="s">
        <v>31</v>
      </c>
      <c r="C5326">
        <v>384.84</v>
      </c>
      <c r="D5326">
        <v>16.84</v>
      </c>
      <c r="E5326" t="s">
        <v>9</v>
      </c>
      <c r="F5326">
        <v>56.71</v>
      </c>
      <c r="G5326" t="s">
        <v>22</v>
      </c>
      <c r="H5326" t="s">
        <v>11</v>
      </c>
    </row>
    <row r="5327" spans="1:8" x14ac:dyDescent="0.25">
      <c r="A5327" s="1">
        <v>45669.875</v>
      </c>
      <c r="B5327" t="s">
        <v>31</v>
      </c>
      <c r="C5327">
        <v>496.64</v>
      </c>
      <c r="D5327">
        <v>55.11</v>
      </c>
      <c r="E5327" t="s">
        <v>9</v>
      </c>
      <c r="F5327">
        <v>31.45</v>
      </c>
      <c r="G5327" t="s">
        <v>22</v>
      </c>
      <c r="H5327" t="s">
        <v>13</v>
      </c>
    </row>
    <row r="5328" spans="1:8" x14ac:dyDescent="0.25">
      <c r="A5328" s="1">
        <v>45669.916666666664</v>
      </c>
      <c r="B5328" t="s">
        <v>31</v>
      </c>
      <c r="C5328">
        <v>204.29</v>
      </c>
      <c r="D5328">
        <v>41.74</v>
      </c>
      <c r="E5328" t="s">
        <v>9</v>
      </c>
      <c r="F5328">
        <v>43.37</v>
      </c>
      <c r="G5328" t="s">
        <v>22</v>
      </c>
      <c r="H5328" t="s">
        <v>13</v>
      </c>
    </row>
    <row r="5329" spans="1:8" x14ac:dyDescent="0.25">
      <c r="A5329" s="1">
        <v>45669.958333333336</v>
      </c>
      <c r="B5329" t="s">
        <v>31</v>
      </c>
      <c r="C5329">
        <v>112.76</v>
      </c>
      <c r="D5329">
        <v>67.28</v>
      </c>
      <c r="E5329" t="s">
        <v>9</v>
      </c>
      <c r="F5329">
        <v>75.98</v>
      </c>
      <c r="G5329" t="s">
        <v>22</v>
      </c>
      <c r="H5329" t="s">
        <v>12</v>
      </c>
    </row>
    <row r="5330" spans="1:8" x14ac:dyDescent="0.25">
      <c r="A5330" s="1">
        <v>45670</v>
      </c>
      <c r="B5330" t="s">
        <v>31</v>
      </c>
      <c r="C5330">
        <v>153.19999999999999</v>
      </c>
      <c r="D5330">
        <v>18.93</v>
      </c>
      <c r="E5330" t="s">
        <v>9</v>
      </c>
      <c r="F5330">
        <v>41.42</v>
      </c>
      <c r="G5330" t="s">
        <v>22</v>
      </c>
      <c r="H5330" t="s">
        <v>11</v>
      </c>
    </row>
    <row r="5331" spans="1:8" x14ac:dyDescent="0.25">
      <c r="A5331" s="1">
        <v>45670.041666666664</v>
      </c>
      <c r="B5331" t="s">
        <v>31</v>
      </c>
      <c r="C5331">
        <v>441.31</v>
      </c>
      <c r="D5331">
        <v>64.650000000000006</v>
      </c>
      <c r="E5331" t="s">
        <v>9</v>
      </c>
      <c r="F5331">
        <v>30.09</v>
      </c>
      <c r="G5331" t="s">
        <v>22</v>
      </c>
      <c r="H5331" t="s">
        <v>11</v>
      </c>
    </row>
    <row r="5332" spans="1:8" x14ac:dyDescent="0.25">
      <c r="A5332" s="1">
        <v>45670.083333333336</v>
      </c>
      <c r="B5332" t="s">
        <v>31</v>
      </c>
      <c r="C5332">
        <v>215.26</v>
      </c>
      <c r="D5332">
        <v>77.400000000000006</v>
      </c>
      <c r="E5332" t="s">
        <v>9</v>
      </c>
      <c r="F5332">
        <v>63.12</v>
      </c>
      <c r="G5332" t="s">
        <v>22</v>
      </c>
      <c r="H5332" t="s">
        <v>13</v>
      </c>
    </row>
    <row r="5333" spans="1:8" x14ac:dyDescent="0.25">
      <c r="A5333" s="1">
        <v>45670.125</v>
      </c>
      <c r="B5333" t="s">
        <v>31</v>
      </c>
      <c r="C5333">
        <v>461.3</v>
      </c>
      <c r="D5333">
        <v>87.03</v>
      </c>
      <c r="E5333" t="s">
        <v>14</v>
      </c>
      <c r="F5333">
        <v>61.13</v>
      </c>
      <c r="G5333" t="s">
        <v>22</v>
      </c>
      <c r="H5333" t="s">
        <v>13</v>
      </c>
    </row>
    <row r="5334" spans="1:8" x14ac:dyDescent="0.25">
      <c r="A5334" s="1">
        <v>45670.166666666664</v>
      </c>
      <c r="B5334" t="s">
        <v>31</v>
      </c>
      <c r="C5334">
        <v>199.4</v>
      </c>
      <c r="D5334">
        <v>33.75</v>
      </c>
      <c r="E5334" t="s">
        <v>9</v>
      </c>
      <c r="F5334">
        <v>78.91</v>
      </c>
      <c r="G5334" t="s">
        <v>22</v>
      </c>
      <c r="H5334" t="s">
        <v>12</v>
      </c>
    </row>
    <row r="5335" spans="1:8" x14ac:dyDescent="0.25">
      <c r="A5335" s="1">
        <v>45670.208333333336</v>
      </c>
      <c r="B5335" t="s">
        <v>31</v>
      </c>
      <c r="C5335">
        <v>353.45</v>
      </c>
      <c r="D5335">
        <v>45.61</v>
      </c>
      <c r="E5335" t="s">
        <v>9</v>
      </c>
      <c r="F5335">
        <v>79.150000000000006</v>
      </c>
      <c r="G5335" t="s">
        <v>22</v>
      </c>
      <c r="H5335" t="s">
        <v>11</v>
      </c>
    </row>
    <row r="5336" spans="1:8" x14ac:dyDescent="0.25">
      <c r="A5336" s="1">
        <v>45670.25</v>
      </c>
      <c r="B5336" t="s">
        <v>31</v>
      </c>
      <c r="C5336">
        <v>413.14</v>
      </c>
      <c r="D5336">
        <v>24.96</v>
      </c>
      <c r="E5336" t="s">
        <v>9</v>
      </c>
      <c r="F5336">
        <v>47.41</v>
      </c>
      <c r="G5336" t="s">
        <v>22</v>
      </c>
      <c r="H5336" t="s">
        <v>13</v>
      </c>
    </row>
    <row r="5337" spans="1:8" x14ac:dyDescent="0.25">
      <c r="A5337" s="1">
        <v>45670.291666666664</v>
      </c>
      <c r="B5337" t="s">
        <v>31</v>
      </c>
      <c r="C5337">
        <v>73.22</v>
      </c>
      <c r="D5337">
        <v>42.28</v>
      </c>
      <c r="E5337" t="s">
        <v>9</v>
      </c>
      <c r="F5337">
        <v>35.07</v>
      </c>
      <c r="G5337" t="s">
        <v>22</v>
      </c>
      <c r="H5337" t="s">
        <v>11</v>
      </c>
    </row>
    <row r="5338" spans="1:8" x14ac:dyDescent="0.25">
      <c r="A5338" s="1">
        <v>45670.333333333336</v>
      </c>
      <c r="B5338" t="s">
        <v>31</v>
      </c>
      <c r="C5338">
        <v>493.66</v>
      </c>
      <c r="D5338">
        <v>71.87</v>
      </c>
      <c r="E5338" t="s">
        <v>9</v>
      </c>
      <c r="F5338">
        <v>79.56</v>
      </c>
      <c r="G5338" t="s">
        <v>22</v>
      </c>
      <c r="H5338" t="s">
        <v>12</v>
      </c>
    </row>
    <row r="5339" spans="1:8" x14ac:dyDescent="0.25">
      <c r="A5339" s="1">
        <v>45670.375</v>
      </c>
      <c r="B5339" t="s">
        <v>31</v>
      </c>
      <c r="C5339">
        <v>185.19</v>
      </c>
      <c r="D5339">
        <v>18.68</v>
      </c>
      <c r="E5339" t="s">
        <v>9</v>
      </c>
      <c r="F5339">
        <v>52.29</v>
      </c>
      <c r="G5339" t="s">
        <v>22</v>
      </c>
      <c r="H5339" t="s">
        <v>12</v>
      </c>
    </row>
    <row r="5340" spans="1:8" x14ac:dyDescent="0.25">
      <c r="A5340" s="1">
        <v>45670.416666666664</v>
      </c>
      <c r="B5340" t="s">
        <v>31</v>
      </c>
      <c r="C5340">
        <v>348.96</v>
      </c>
      <c r="D5340">
        <v>32.54</v>
      </c>
      <c r="E5340" t="s">
        <v>9</v>
      </c>
      <c r="F5340">
        <v>38.33</v>
      </c>
      <c r="G5340" t="s">
        <v>22</v>
      </c>
      <c r="H5340" t="s">
        <v>12</v>
      </c>
    </row>
    <row r="5341" spans="1:8" x14ac:dyDescent="0.25">
      <c r="A5341" s="1">
        <v>45670.458333333336</v>
      </c>
      <c r="B5341" t="s">
        <v>31</v>
      </c>
      <c r="C5341">
        <v>209.33</v>
      </c>
      <c r="D5341">
        <v>26.02</v>
      </c>
      <c r="E5341" t="s">
        <v>9</v>
      </c>
      <c r="F5341">
        <v>39.409999999999997</v>
      </c>
      <c r="G5341" t="s">
        <v>22</v>
      </c>
      <c r="H5341" t="s">
        <v>12</v>
      </c>
    </row>
    <row r="5342" spans="1:8" x14ac:dyDescent="0.25">
      <c r="A5342" s="1">
        <v>45670.5</v>
      </c>
      <c r="B5342" t="s">
        <v>31</v>
      </c>
      <c r="C5342">
        <v>97.98</v>
      </c>
      <c r="D5342">
        <v>32.61</v>
      </c>
      <c r="E5342" t="s">
        <v>9</v>
      </c>
      <c r="F5342">
        <v>30.51</v>
      </c>
      <c r="G5342" t="s">
        <v>22</v>
      </c>
      <c r="H5342" t="s">
        <v>13</v>
      </c>
    </row>
    <row r="5343" spans="1:8" x14ac:dyDescent="0.25">
      <c r="A5343" s="1">
        <v>45670.541666666664</v>
      </c>
      <c r="B5343" t="s">
        <v>31</v>
      </c>
      <c r="C5343">
        <v>334.6</v>
      </c>
      <c r="D5343">
        <v>20.14</v>
      </c>
      <c r="E5343" t="s">
        <v>9</v>
      </c>
      <c r="F5343">
        <v>65.010000000000005</v>
      </c>
      <c r="G5343" t="s">
        <v>22</v>
      </c>
      <c r="H5343" t="s">
        <v>11</v>
      </c>
    </row>
    <row r="5344" spans="1:8" x14ac:dyDescent="0.25">
      <c r="A5344" s="1">
        <v>45670.583333333336</v>
      </c>
      <c r="B5344" t="s">
        <v>31</v>
      </c>
      <c r="C5344">
        <v>114.96</v>
      </c>
      <c r="D5344">
        <v>62.19</v>
      </c>
      <c r="E5344" t="s">
        <v>9</v>
      </c>
      <c r="F5344">
        <v>37.880000000000003</v>
      </c>
      <c r="G5344" t="s">
        <v>22</v>
      </c>
      <c r="H5344" t="s">
        <v>12</v>
      </c>
    </row>
    <row r="5345" spans="1:8" x14ac:dyDescent="0.25">
      <c r="A5345" s="1">
        <v>45670.625</v>
      </c>
      <c r="B5345" t="s">
        <v>31</v>
      </c>
      <c r="C5345">
        <v>306.02999999999997</v>
      </c>
      <c r="D5345">
        <v>59.27</v>
      </c>
      <c r="E5345" t="s">
        <v>9</v>
      </c>
      <c r="F5345">
        <v>37.14</v>
      </c>
      <c r="G5345" t="s">
        <v>22</v>
      </c>
      <c r="H5345" t="s">
        <v>13</v>
      </c>
    </row>
    <row r="5346" spans="1:8" x14ac:dyDescent="0.25">
      <c r="A5346" s="1">
        <v>45670.666666666664</v>
      </c>
      <c r="B5346" t="s">
        <v>31</v>
      </c>
      <c r="C5346">
        <v>323.33999999999997</v>
      </c>
      <c r="D5346">
        <v>15.6</v>
      </c>
      <c r="E5346" t="s">
        <v>9</v>
      </c>
      <c r="F5346">
        <v>41.87</v>
      </c>
      <c r="G5346" t="s">
        <v>22</v>
      </c>
      <c r="H5346" t="s">
        <v>13</v>
      </c>
    </row>
    <row r="5347" spans="1:8" x14ac:dyDescent="0.25">
      <c r="A5347" s="1">
        <v>45670.708333333336</v>
      </c>
      <c r="B5347" t="s">
        <v>31</v>
      </c>
      <c r="C5347">
        <v>107.34</v>
      </c>
      <c r="D5347">
        <v>86.31</v>
      </c>
      <c r="E5347" t="s">
        <v>14</v>
      </c>
      <c r="F5347">
        <v>76.150000000000006</v>
      </c>
      <c r="G5347" t="s">
        <v>22</v>
      </c>
      <c r="H5347" t="s">
        <v>11</v>
      </c>
    </row>
    <row r="5348" spans="1:8" x14ac:dyDescent="0.25">
      <c r="A5348" s="1">
        <v>45670.75</v>
      </c>
      <c r="B5348" t="s">
        <v>31</v>
      </c>
      <c r="C5348">
        <v>356.9</v>
      </c>
      <c r="D5348">
        <v>44.2</v>
      </c>
      <c r="E5348" t="s">
        <v>9</v>
      </c>
      <c r="F5348">
        <v>82.65</v>
      </c>
      <c r="G5348" t="s">
        <v>22</v>
      </c>
      <c r="H5348" t="s">
        <v>13</v>
      </c>
    </row>
    <row r="5349" spans="1:8" x14ac:dyDescent="0.25">
      <c r="A5349" s="1">
        <v>45670.791666666664</v>
      </c>
      <c r="B5349" t="s">
        <v>31</v>
      </c>
      <c r="C5349">
        <v>330.26</v>
      </c>
      <c r="D5349">
        <v>23.34</v>
      </c>
      <c r="E5349" t="s">
        <v>9</v>
      </c>
      <c r="F5349">
        <v>37.630000000000003</v>
      </c>
      <c r="G5349" t="s">
        <v>22</v>
      </c>
      <c r="H5349" t="s">
        <v>11</v>
      </c>
    </row>
    <row r="5350" spans="1:8" x14ac:dyDescent="0.25">
      <c r="A5350" s="1">
        <v>45670.833333333336</v>
      </c>
      <c r="B5350" t="s">
        <v>31</v>
      </c>
      <c r="C5350">
        <v>254.8</v>
      </c>
      <c r="D5350">
        <v>24.85</v>
      </c>
      <c r="E5350" t="s">
        <v>9</v>
      </c>
      <c r="F5350">
        <v>78.61</v>
      </c>
      <c r="G5350" t="s">
        <v>22</v>
      </c>
      <c r="H5350" t="s">
        <v>11</v>
      </c>
    </row>
    <row r="5351" spans="1:8" x14ac:dyDescent="0.25">
      <c r="A5351" s="1">
        <v>45670.875</v>
      </c>
      <c r="B5351" t="s">
        <v>31</v>
      </c>
      <c r="C5351">
        <v>445.69</v>
      </c>
      <c r="D5351">
        <v>73.959999999999994</v>
      </c>
      <c r="E5351" t="s">
        <v>9</v>
      </c>
      <c r="F5351">
        <v>57.7</v>
      </c>
      <c r="G5351" t="s">
        <v>22</v>
      </c>
      <c r="H5351" t="s">
        <v>13</v>
      </c>
    </row>
    <row r="5352" spans="1:8" x14ac:dyDescent="0.25">
      <c r="A5352" s="1">
        <v>45670.916666666664</v>
      </c>
      <c r="B5352" t="s">
        <v>31</v>
      </c>
      <c r="C5352">
        <v>176.64</v>
      </c>
      <c r="D5352">
        <v>84.76</v>
      </c>
      <c r="E5352" t="s">
        <v>9</v>
      </c>
      <c r="F5352">
        <v>81.88</v>
      </c>
      <c r="G5352" t="s">
        <v>22</v>
      </c>
      <c r="H5352" t="s">
        <v>13</v>
      </c>
    </row>
    <row r="5353" spans="1:8" x14ac:dyDescent="0.25">
      <c r="A5353" s="1">
        <v>45670.958333333336</v>
      </c>
      <c r="B5353" t="s">
        <v>31</v>
      </c>
      <c r="C5353">
        <v>58.55</v>
      </c>
      <c r="D5353">
        <v>32.49</v>
      </c>
      <c r="E5353" t="s">
        <v>9</v>
      </c>
      <c r="F5353">
        <v>68.34</v>
      </c>
      <c r="G5353" t="s">
        <v>22</v>
      </c>
      <c r="H5353" t="s">
        <v>12</v>
      </c>
    </row>
    <row r="5354" spans="1:8" x14ac:dyDescent="0.25">
      <c r="A5354" s="1">
        <v>45671</v>
      </c>
      <c r="B5354" t="s">
        <v>31</v>
      </c>
      <c r="C5354">
        <v>158.04</v>
      </c>
      <c r="D5354">
        <v>59.11</v>
      </c>
      <c r="E5354" t="s">
        <v>9</v>
      </c>
      <c r="F5354">
        <v>75.36</v>
      </c>
      <c r="G5354" t="s">
        <v>22</v>
      </c>
      <c r="H5354" t="s">
        <v>11</v>
      </c>
    </row>
    <row r="5355" spans="1:8" x14ac:dyDescent="0.25">
      <c r="A5355" s="1">
        <v>45671.041666666664</v>
      </c>
      <c r="B5355" t="s">
        <v>31</v>
      </c>
      <c r="C5355">
        <v>430.04</v>
      </c>
      <c r="D5355">
        <v>52</v>
      </c>
      <c r="E5355" t="s">
        <v>9</v>
      </c>
      <c r="F5355">
        <v>79.739999999999995</v>
      </c>
      <c r="G5355" t="s">
        <v>22</v>
      </c>
      <c r="H5355" t="s">
        <v>13</v>
      </c>
    </row>
    <row r="5356" spans="1:8" x14ac:dyDescent="0.25">
      <c r="A5356" s="1">
        <v>45671.083333333336</v>
      </c>
      <c r="B5356" t="s">
        <v>31</v>
      </c>
      <c r="C5356">
        <v>376.24</v>
      </c>
      <c r="D5356">
        <v>84.56</v>
      </c>
      <c r="E5356" t="s">
        <v>9</v>
      </c>
      <c r="F5356">
        <v>40.200000000000003</v>
      </c>
      <c r="G5356" t="s">
        <v>22</v>
      </c>
      <c r="H5356" t="s">
        <v>12</v>
      </c>
    </row>
    <row r="5357" spans="1:8" x14ac:dyDescent="0.25">
      <c r="A5357" s="1">
        <v>45671.125</v>
      </c>
      <c r="B5357" t="s">
        <v>31</v>
      </c>
      <c r="C5357">
        <v>437.39</v>
      </c>
      <c r="D5357">
        <v>66.540000000000006</v>
      </c>
      <c r="E5357" t="s">
        <v>9</v>
      </c>
      <c r="F5357">
        <v>77.88</v>
      </c>
      <c r="G5357" t="s">
        <v>22</v>
      </c>
      <c r="H5357" t="s">
        <v>11</v>
      </c>
    </row>
    <row r="5358" spans="1:8" x14ac:dyDescent="0.25">
      <c r="A5358" s="1">
        <v>45671.166666666664</v>
      </c>
      <c r="B5358" t="s">
        <v>31</v>
      </c>
      <c r="C5358">
        <v>486.91</v>
      </c>
      <c r="D5358">
        <v>42.94</v>
      </c>
      <c r="E5358" t="s">
        <v>9</v>
      </c>
      <c r="F5358">
        <v>87.51</v>
      </c>
      <c r="G5358" t="s">
        <v>22</v>
      </c>
      <c r="H5358" t="s">
        <v>12</v>
      </c>
    </row>
    <row r="5359" spans="1:8" x14ac:dyDescent="0.25">
      <c r="A5359" s="1">
        <v>45671.208333333336</v>
      </c>
      <c r="B5359" t="s">
        <v>31</v>
      </c>
      <c r="C5359">
        <v>460.06</v>
      </c>
      <c r="D5359">
        <v>30.87</v>
      </c>
      <c r="E5359" t="s">
        <v>9</v>
      </c>
      <c r="F5359">
        <v>52.42</v>
      </c>
      <c r="G5359" t="s">
        <v>22</v>
      </c>
      <c r="H5359" t="s">
        <v>12</v>
      </c>
    </row>
    <row r="5360" spans="1:8" x14ac:dyDescent="0.25">
      <c r="A5360" s="1">
        <v>45671.25</v>
      </c>
      <c r="B5360" t="s">
        <v>31</v>
      </c>
      <c r="C5360">
        <v>75.3</v>
      </c>
      <c r="D5360">
        <v>90.81</v>
      </c>
      <c r="E5360" t="s">
        <v>14</v>
      </c>
      <c r="F5360">
        <v>42.05</v>
      </c>
      <c r="G5360" t="s">
        <v>22</v>
      </c>
      <c r="H5360" t="s">
        <v>11</v>
      </c>
    </row>
    <row r="5361" spans="1:8" x14ac:dyDescent="0.25">
      <c r="A5361" s="1">
        <v>45671.291666666664</v>
      </c>
      <c r="B5361" t="s">
        <v>31</v>
      </c>
      <c r="C5361">
        <v>219.5</v>
      </c>
      <c r="D5361">
        <v>14.36</v>
      </c>
      <c r="E5361" t="s">
        <v>9</v>
      </c>
      <c r="F5361">
        <v>70.89</v>
      </c>
      <c r="G5361" t="s">
        <v>22</v>
      </c>
      <c r="H5361" t="s">
        <v>12</v>
      </c>
    </row>
    <row r="5362" spans="1:8" x14ac:dyDescent="0.25">
      <c r="A5362" s="1">
        <v>45671.333333333336</v>
      </c>
      <c r="B5362" t="s">
        <v>31</v>
      </c>
      <c r="C5362">
        <v>488.66</v>
      </c>
      <c r="D5362">
        <v>63.12</v>
      </c>
      <c r="E5362" t="s">
        <v>9</v>
      </c>
      <c r="F5362">
        <v>73.290000000000006</v>
      </c>
      <c r="G5362" t="s">
        <v>22</v>
      </c>
      <c r="H5362" t="s">
        <v>12</v>
      </c>
    </row>
    <row r="5363" spans="1:8" x14ac:dyDescent="0.25">
      <c r="A5363" s="1">
        <v>45671.375</v>
      </c>
      <c r="B5363" t="s">
        <v>31</v>
      </c>
      <c r="C5363">
        <v>386.65</v>
      </c>
      <c r="D5363">
        <v>82.04</v>
      </c>
      <c r="E5363" t="s">
        <v>9</v>
      </c>
      <c r="F5363">
        <v>85.71</v>
      </c>
      <c r="G5363" t="s">
        <v>22</v>
      </c>
      <c r="H5363" t="s">
        <v>11</v>
      </c>
    </row>
    <row r="5364" spans="1:8" x14ac:dyDescent="0.25">
      <c r="A5364" s="1">
        <v>45671.416666666664</v>
      </c>
      <c r="B5364" t="s">
        <v>31</v>
      </c>
      <c r="C5364">
        <v>224.69</v>
      </c>
      <c r="D5364">
        <v>69.040000000000006</v>
      </c>
      <c r="E5364" t="s">
        <v>9</v>
      </c>
      <c r="F5364">
        <v>43.69</v>
      </c>
      <c r="G5364" t="s">
        <v>22</v>
      </c>
      <c r="H5364" t="s">
        <v>12</v>
      </c>
    </row>
    <row r="5365" spans="1:8" x14ac:dyDescent="0.25">
      <c r="A5365" s="1">
        <v>45671.458333333336</v>
      </c>
      <c r="B5365" t="s">
        <v>31</v>
      </c>
      <c r="C5365">
        <v>119.85</v>
      </c>
      <c r="D5365">
        <v>24.39</v>
      </c>
      <c r="E5365" t="s">
        <v>9</v>
      </c>
      <c r="F5365">
        <v>40.31</v>
      </c>
      <c r="G5365" t="s">
        <v>22</v>
      </c>
      <c r="H5365" t="s">
        <v>11</v>
      </c>
    </row>
    <row r="5366" spans="1:8" x14ac:dyDescent="0.25">
      <c r="A5366" s="1">
        <v>45671.5</v>
      </c>
      <c r="B5366" t="s">
        <v>31</v>
      </c>
      <c r="C5366">
        <v>72.349999999999994</v>
      </c>
      <c r="D5366">
        <v>81.77</v>
      </c>
      <c r="E5366" t="s">
        <v>9</v>
      </c>
      <c r="F5366">
        <v>33.86</v>
      </c>
      <c r="G5366" t="s">
        <v>22</v>
      </c>
      <c r="H5366" t="s">
        <v>12</v>
      </c>
    </row>
    <row r="5367" spans="1:8" x14ac:dyDescent="0.25">
      <c r="A5367" s="1">
        <v>45671.541666666664</v>
      </c>
      <c r="B5367" t="s">
        <v>31</v>
      </c>
      <c r="C5367">
        <v>234.4</v>
      </c>
      <c r="D5367">
        <v>51.53</v>
      </c>
      <c r="E5367" t="s">
        <v>9</v>
      </c>
      <c r="F5367">
        <v>34.43</v>
      </c>
      <c r="G5367" t="s">
        <v>22</v>
      </c>
      <c r="H5367" t="s">
        <v>11</v>
      </c>
    </row>
    <row r="5368" spans="1:8" x14ac:dyDescent="0.25">
      <c r="A5368" s="1">
        <v>45671.583333333336</v>
      </c>
      <c r="B5368" t="s">
        <v>31</v>
      </c>
      <c r="C5368">
        <v>276.10000000000002</v>
      </c>
      <c r="D5368">
        <v>53.8</v>
      </c>
      <c r="E5368" t="s">
        <v>9</v>
      </c>
      <c r="F5368">
        <v>64.47</v>
      </c>
      <c r="G5368" t="s">
        <v>22</v>
      </c>
      <c r="H5368" t="s">
        <v>12</v>
      </c>
    </row>
    <row r="5369" spans="1:8" x14ac:dyDescent="0.25">
      <c r="A5369" s="1">
        <v>45671.625</v>
      </c>
      <c r="B5369" t="s">
        <v>31</v>
      </c>
      <c r="C5369">
        <v>266.32</v>
      </c>
      <c r="D5369">
        <v>34.97</v>
      </c>
      <c r="E5369" t="s">
        <v>9</v>
      </c>
      <c r="F5369">
        <v>58.28</v>
      </c>
      <c r="G5369" t="s">
        <v>22</v>
      </c>
      <c r="H5369" t="s">
        <v>11</v>
      </c>
    </row>
    <row r="5370" spans="1:8" x14ac:dyDescent="0.25">
      <c r="A5370" s="1">
        <v>45671.666666666664</v>
      </c>
      <c r="B5370" t="s">
        <v>31</v>
      </c>
      <c r="C5370">
        <v>421.93</v>
      </c>
      <c r="D5370">
        <v>72.95</v>
      </c>
      <c r="E5370" t="s">
        <v>9</v>
      </c>
      <c r="F5370">
        <v>53.62</v>
      </c>
      <c r="G5370" t="s">
        <v>22</v>
      </c>
      <c r="H5370" t="s">
        <v>12</v>
      </c>
    </row>
    <row r="5371" spans="1:8" x14ac:dyDescent="0.25">
      <c r="A5371" s="1">
        <v>45671.708333333336</v>
      </c>
      <c r="B5371" t="s">
        <v>31</v>
      </c>
      <c r="C5371">
        <v>464.12</v>
      </c>
      <c r="D5371">
        <v>57.49</v>
      </c>
      <c r="E5371" t="s">
        <v>9</v>
      </c>
      <c r="F5371">
        <v>42.9</v>
      </c>
      <c r="G5371" t="s">
        <v>22</v>
      </c>
      <c r="H5371" t="s">
        <v>13</v>
      </c>
    </row>
    <row r="5372" spans="1:8" x14ac:dyDescent="0.25">
      <c r="A5372" s="1">
        <v>45671.75</v>
      </c>
      <c r="B5372" t="s">
        <v>31</v>
      </c>
      <c r="C5372">
        <v>135.27000000000001</v>
      </c>
      <c r="D5372">
        <v>17.920000000000002</v>
      </c>
      <c r="E5372" t="s">
        <v>9</v>
      </c>
      <c r="F5372">
        <v>49.65</v>
      </c>
      <c r="G5372" t="s">
        <v>22</v>
      </c>
      <c r="H5372" t="s">
        <v>11</v>
      </c>
    </row>
    <row r="5373" spans="1:8" x14ac:dyDescent="0.25">
      <c r="A5373" s="1">
        <v>45671.791666666664</v>
      </c>
      <c r="B5373" t="s">
        <v>31</v>
      </c>
      <c r="C5373">
        <v>88.71</v>
      </c>
      <c r="D5373">
        <v>29.52</v>
      </c>
      <c r="E5373" t="s">
        <v>9</v>
      </c>
      <c r="F5373">
        <v>66.150000000000006</v>
      </c>
      <c r="G5373" t="s">
        <v>22</v>
      </c>
      <c r="H5373" t="s">
        <v>12</v>
      </c>
    </row>
    <row r="5374" spans="1:8" x14ac:dyDescent="0.25">
      <c r="A5374" s="1">
        <v>45671.833333333336</v>
      </c>
      <c r="B5374" t="s">
        <v>31</v>
      </c>
      <c r="C5374">
        <v>91.57</v>
      </c>
      <c r="D5374">
        <v>18.91</v>
      </c>
      <c r="E5374" t="s">
        <v>9</v>
      </c>
      <c r="F5374">
        <v>66.25</v>
      </c>
      <c r="G5374" t="s">
        <v>22</v>
      </c>
      <c r="H5374" t="s">
        <v>12</v>
      </c>
    </row>
    <row r="5375" spans="1:8" x14ac:dyDescent="0.25">
      <c r="A5375" s="1">
        <v>45671.875</v>
      </c>
      <c r="B5375" t="s">
        <v>31</v>
      </c>
      <c r="C5375">
        <v>457.29</v>
      </c>
      <c r="D5375">
        <v>61.21</v>
      </c>
      <c r="E5375" t="s">
        <v>9</v>
      </c>
      <c r="F5375">
        <v>54.6</v>
      </c>
      <c r="G5375" t="s">
        <v>22</v>
      </c>
      <c r="H5375" t="s">
        <v>11</v>
      </c>
    </row>
    <row r="5376" spans="1:8" x14ac:dyDescent="0.25">
      <c r="A5376" s="1">
        <v>45671.916666666664</v>
      </c>
      <c r="B5376" t="s">
        <v>31</v>
      </c>
      <c r="C5376">
        <v>202.04</v>
      </c>
      <c r="D5376">
        <v>17.53</v>
      </c>
      <c r="E5376" t="s">
        <v>9</v>
      </c>
      <c r="F5376">
        <v>84.29</v>
      </c>
      <c r="G5376" t="s">
        <v>22</v>
      </c>
      <c r="H5376" t="s">
        <v>12</v>
      </c>
    </row>
    <row r="5377" spans="1:8" x14ac:dyDescent="0.25">
      <c r="A5377" s="1">
        <v>45671.958333333336</v>
      </c>
      <c r="B5377" t="s">
        <v>31</v>
      </c>
      <c r="C5377">
        <v>184.66</v>
      </c>
      <c r="D5377">
        <v>68.72</v>
      </c>
      <c r="E5377" t="s">
        <v>9</v>
      </c>
      <c r="F5377">
        <v>63.08</v>
      </c>
      <c r="G5377" t="s">
        <v>22</v>
      </c>
      <c r="H5377" t="s">
        <v>11</v>
      </c>
    </row>
    <row r="5378" spans="1:8" x14ac:dyDescent="0.25">
      <c r="A5378" s="1">
        <v>45672</v>
      </c>
      <c r="B5378" t="s">
        <v>31</v>
      </c>
      <c r="C5378">
        <v>313.91000000000003</v>
      </c>
      <c r="D5378">
        <v>85.87</v>
      </c>
      <c r="E5378" t="s">
        <v>14</v>
      </c>
      <c r="F5378">
        <v>61.71</v>
      </c>
      <c r="G5378" t="s">
        <v>22</v>
      </c>
      <c r="H5378" t="s">
        <v>11</v>
      </c>
    </row>
    <row r="5379" spans="1:8" x14ac:dyDescent="0.25">
      <c r="A5379" s="1">
        <v>45672.041666666664</v>
      </c>
      <c r="B5379" t="s">
        <v>31</v>
      </c>
      <c r="C5379">
        <v>471.74</v>
      </c>
      <c r="D5379">
        <v>21.88</v>
      </c>
      <c r="E5379" t="s">
        <v>9</v>
      </c>
      <c r="F5379">
        <v>77.38</v>
      </c>
      <c r="G5379" t="s">
        <v>22</v>
      </c>
      <c r="H5379" t="s">
        <v>11</v>
      </c>
    </row>
    <row r="5380" spans="1:8" x14ac:dyDescent="0.25">
      <c r="A5380" s="1">
        <v>45672.083333333336</v>
      </c>
      <c r="B5380" t="s">
        <v>31</v>
      </c>
      <c r="C5380">
        <v>345.97</v>
      </c>
      <c r="D5380">
        <v>49.93</v>
      </c>
      <c r="E5380" t="s">
        <v>9</v>
      </c>
      <c r="F5380">
        <v>47.44</v>
      </c>
      <c r="G5380" t="s">
        <v>22</v>
      </c>
      <c r="H5380" t="s">
        <v>13</v>
      </c>
    </row>
    <row r="5381" spans="1:8" x14ac:dyDescent="0.25">
      <c r="A5381" s="1">
        <v>45672.125</v>
      </c>
      <c r="B5381" t="s">
        <v>31</v>
      </c>
      <c r="C5381">
        <v>60.19</v>
      </c>
      <c r="D5381">
        <v>16.34</v>
      </c>
      <c r="E5381" t="s">
        <v>9</v>
      </c>
      <c r="F5381">
        <v>49.83</v>
      </c>
      <c r="G5381" t="s">
        <v>22</v>
      </c>
      <c r="H5381" t="s">
        <v>11</v>
      </c>
    </row>
    <row r="5382" spans="1:8" x14ac:dyDescent="0.25">
      <c r="A5382" s="1">
        <v>45672.166666666664</v>
      </c>
      <c r="B5382" t="s">
        <v>31</v>
      </c>
      <c r="C5382">
        <v>175.88</v>
      </c>
      <c r="D5382">
        <v>57.54</v>
      </c>
      <c r="E5382" t="s">
        <v>9</v>
      </c>
      <c r="F5382">
        <v>71.900000000000006</v>
      </c>
      <c r="G5382" t="s">
        <v>22</v>
      </c>
      <c r="H5382" t="s">
        <v>13</v>
      </c>
    </row>
    <row r="5383" spans="1:8" x14ac:dyDescent="0.25">
      <c r="A5383" s="1">
        <v>45672.208333333336</v>
      </c>
      <c r="B5383" t="s">
        <v>31</v>
      </c>
      <c r="C5383">
        <v>473.74</v>
      </c>
      <c r="D5383">
        <v>78.44</v>
      </c>
      <c r="E5383" t="s">
        <v>9</v>
      </c>
      <c r="F5383">
        <v>63.42</v>
      </c>
      <c r="G5383" t="s">
        <v>22</v>
      </c>
      <c r="H5383" t="s">
        <v>13</v>
      </c>
    </row>
    <row r="5384" spans="1:8" x14ac:dyDescent="0.25">
      <c r="A5384" s="1">
        <v>45672.25</v>
      </c>
      <c r="B5384" t="s">
        <v>31</v>
      </c>
      <c r="C5384">
        <v>102.8</v>
      </c>
      <c r="D5384">
        <v>91.15</v>
      </c>
      <c r="E5384" t="s">
        <v>14</v>
      </c>
      <c r="F5384">
        <v>57.08</v>
      </c>
      <c r="G5384" t="s">
        <v>22</v>
      </c>
      <c r="H5384" t="s">
        <v>12</v>
      </c>
    </row>
    <row r="5385" spans="1:8" x14ac:dyDescent="0.25">
      <c r="A5385" s="1">
        <v>45672.291666666664</v>
      </c>
      <c r="B5385" t="s">
        <v>31</v>
      </c>
      <c r="C5385">
        <v>481.88</v>
      </c>
      <c r="D5385">
        <v>63.05</v>
      </c>
      <c r="E5385" t="s">
        <v>9</v>
      </c>
      <c r="F5385">
        <v>61.62</v>
      </c>
      <c r="G5385" t="s">
        <v>22</v>
      </c>
      <c r="H5385" t="s">
        <v>13</v>
      </c>
    </row>
    <row r="5386" spans="1:8" x14ac:dyDescent="0.25">
      <c r="A5386" s="1">
        <v>45672.333333333336</v>
      </c>
      <c r="B5386" t="s">
        <v>31</v>
      </c>
      <c r="C5386">
        <v>376.37</v>
      </c>
      <c r="D5386">
        <v>34.43</v>
      </c>
      <c r="E5386" t="s">
        <v>9</v>
      </c>
      <c r="F5386">
        <v>36.74</v>
      </c>
      <c r="G5386" t="s">
        <v>22</v>
      </c>
      <c r="H5386" t="s">
        <v>12</v>
      </c>
    </row>
    <row r="5387" spans="1:8" x14ac:dyDescent="0.25">
      <c r="A5387" s="1">
        <v>45672.375</v>
      </c>
      <c r="B5387" t="s">
        <v>31</v>
      </c>
      <c r="C5387">
        <v>230.39</v>
      </c>
      <c r="D5387">
        <v>41.29</v>
      </c>
      <c r="E5387" t="s">
        <v>9</v>
      </c>
      <c r="F5387">
        <v>68.239999999999995</v>
      </c>
      <c r="G5387" t="s">
        <v>22</v>
      </c>
      <c r="H5387" t="s">
        <v>13</v>
      </c>
    </row>
    <row r="5388" spans="1:8" x14ac:dyDescent="0.25">
      <c r="A5388" s="1">
        <v>45672.416666666664</v>
      </c>
      <c r="B5388" t="s">
        <v>31</v>
      </c>
      <c r="C5388">
        <v>390.06</v>
      </c>
      <c r="D5388">
        <v>36.64</v>
      </c>
      <c r="E5388" t="s">
        <v>9</v>
      </c>
      <c r="F5388">
        <v>80.77</v>
      </c>
      <c r="G5388" t="s">
        <v>22</v>
      </c>
      <c r="H5388" t="s">
        <v>11</v>
      </c>
    </row>
    <row r="5389" spans="1:8" x14ac:dyDescent="0.25">
      <c r="A5389" s="1">
        <v>45672.458333333336</v>
      </c>
      <c r="B5389" t="s">
        <v>31</v>
      </c>
      <c r="C5389">
        <v>478.85</v>
      </c>
      <c r="D5389">
        <v>22.21</v>
      </c>
      <c r="E5389" t="s">
        <v>9</v>
      </c>
      <c r="F5389">
        <v>77.27</v>
      </c>
      <c r="G5389" t="s">
        <v>22</v>
      </c>
      <c r="H5389" t="s">
        <v>13</v>
      </c>
    </row>
    <row r="5390" spans="1:8" x14ac:dyDescent="0.25">
      <c r="A5390" s="1">
        <v>45672.5</v>
      </c>
      <c r="B5390" t="s">
        <v>31</v>
      </c>
      <c r="C5390">
        <v>280.7</v>
      </c>
      <c r="D5390">
        <v>22.82</v>
      </c>
      <c r="E5390" t="s">
        <v>9</v>
      </c>
      <c r="F5390">
        <v>34.26</v>
      </c>
      <c r="G5390" t="s">
        <v>22</v>
      </c>
      <c r="H5390" t="s">
        <v>13</v>
      </c>
    </row>
    <row r="5391" spans="1:8" x14ac:dyDescent="0.25">
      <c r="A5391" s="1">
        <v>45672.541666666664</v>
      </c>
      <c r="B5391" t="s">
        <v>31</v>
      </c>
      <c r="C5391">
        <v>171.21</v>
      </c>
      <c r="D5391">
        <v>59.56</v>
      </c>
      <c r="E5391" t="s">
        <v>9</v>
      </c>
      <c r="F5391">
        <v>46.72</v>
      </c>
      <c r="G5391" t="s">
        <v>22</v>
      </c>
      <c r="H5391" t="s">
        <v>11</v>
      </c>
    </row>
    <row r="5392" spans="1:8" x14ac:dyDescent="0.25">
      <c r="A5392" s="1">
        <v>45672.583333333336</v>
      </c>
      <c r="B5392" t="s">
        <v>31</v>
      </c>
      <c r="C5392">
        <v>96.89</v>
      </c>
      <c r="D5392">
        <v>47.98</v>
      </c>
      <c r="E5392" t="s">
        <v>9</v>
      </c>
      <c r="F5392">
        <v>33.979999999999997</v>
      </c>
      <c r="G5392" t="s">
        <v>22</v>
      </c>
      <c r="H5392" t="s">
        <v>13</v>
      </c>
    </row>
    <row r="5393" spans="1:8" x14ac:dyDescent="0.25">
      <c r="A5393" s="1">
        <v>45672.625</v>
      </c>
      <c r="B5393" t="s">
        <v>31</v>
      </c>
      <c r="C5393">
        <v>157.15</v>
      </c>
      <c r="D5393">
        <v>29.64</v>
      </c>
      <c r="E5393" t="s">
        <v>9</v>
      </c>
      <c r="F5393">
        <v>87.25</v>
      </c>
      <c r="G5393" t="s">
        <v>22</v>
      </c>
      <c r="H5393" t="s">
        <v>13</v>
      </c>
    </row>
    <row r="5394" spans="1:8" x14ac:dyDescent="0.25">
      <c r="A5394" s="1">
        <v>45672.666666666664</v>
      </c>
      <c r="B5394" t="s">
        <v>31</v>
      </c>
      <c r="C5394">
        <v>55.2</v>
      </c>
      <c r="D5394">
        <v>57.11</v>
      </c>
      <c r="E5394" t="s">
        <v>9</v>
      </c>
      <c r="F5394">
        <v>43.41</v>
      </c>
      <c r="G5394" t="s">
        <v>22</v>
      </c>
      <c r="H5394" t="s">
        <v>11</v>
      </c>
    </row>
    <row r="5395" spans="1:8" x14ac:dyDescent="0.25">
      <c r="A5395" s="1">
        <v>45672.708333333336</v>
      </c>
      <c r="B5395" t="s">
        <v>31</v>
      </c>
      <c r="C5395">
        <v>215.67</v>
      </c>
      <c r="D5395">
        <v>42.48</v>
      </c>
      <c r="E5395" t="s">
        <v>9</v>
      </c>
      <c r="F5395">
        <v>68.25</v>
      </c>
      <c r="G5395" t="s">
        <v>22</v>
      </c>
      <c r="H5395" t="s">
        <v>12</v>
      </c>
    </row>
    <row r="5396" spans="1:8" x14ac:dyDescent="0.25">
      <c r="A5396" s="1">
        <v>45672.75</v>
      </c>
      <c r="B5396" t="s">
        <v>31</v>
      </c>
      <c r="C5396">
        <v>148.66999999999999</v>
      </c>
      <c r="D5396">
        <v>41.68</v>
      </c>
      <c r="E5396" t="s">
        <v>9</v>
      </c>
      <c r="F5396">
        <v>42.39</v>
      </c>
      <c r="G5396" t="s">
        <v>22</v>
      </c>
      <c r="H5396" t="s">
        <v>11</v>
      </c>
    </row>
    <row r="5397" spans="1:8" x14ac:dyDescent="0.25">
      <c r="A5397" s="1">
        <v>45672.791666666664</v>
      </c>
      <c r="B5397" t="s">
        <v>31</v>
      </c>
      <c r="C5397">
        <v>54.21</v>
      </c>
      <c r="D5397">
        <v>61.29</v>
      </c>
      <c r="E5397" t="s">
        <v>9</v>
      </c>
      <c r="F5397">
        <v>82.25</v>
      </c>
      <c r="G5397" t="s">
        <v>22</v>
      </c>
      <c r="H5397" t="s">
        <v>12</v>
      </c>
    </row>
    <row r="5398" spans="1:8" x14ac:dyDescent="0.25">
      <c r="A5398" s="1">
        <v>45672.833333333336</v>
      </c>
      <c r="B5398" t="s">
        <v>31</v>
      </c>
      <c r="C5398">
        <v>328.94</v>
      </c>
      <c r="D5398">
        <v>57.52</v>
      </c>
      <c r="E5398" t="s">
        <v>9</v>
      </c>
      <c r="F5398">
        <v>63.75</v>
      </c>
      <c r="G5398" t="s">
        <v>22</v>
      </c>
      <c r="H5398" t="s">
        <v>12</v>
      </c>
    </row>
    <row r="5399" spans="1:8" x14ac:dyDescent="0.25">
      <c r="A5399" s="1">
        <v>45672.875</v>
      </c>
      <c r="B5399" t="s">
        <v>31</v>
      </c>
      <c r="C5399">
        <v>210.03</v>
      </c>
      <c r="D5399">
        <v>30.87</v>
      </c>
      <c r="E5399" t="s">
        <v>9</v>
      </c>
      <c r="F5399">
        <v>57.38</v>
      </c>
      <c r="G5399" t="s">
        <v>22</v>
      </c>
      <c r="H5399" t="s">
        <v>12</v>
      </c>
    </row>
    <row r="5400" spans="1:8" x14ac:dyDescent="0.25">
      <c r="A5400" s="1">
        <v>45672.916666666664</v>
      </c>
      <c r="B5400" t="s">
        <v>31</v>
      </c>
      <c r="C5400">
        <v>273.58</v>
      </c>
      <c r="D5400">
        <v>76.099999999999994</v>
      </c>
      <c r="E5400" t="s">
        <v>9</v>
      </c>
      <c r="F5400">
        <v>37.840000000000003</v>
      </c>
      <c r="G5400" t="s">
        <v>22</v>
      </c>
      <c r="H5400" t="s">
        <v>13</v>
      </c>
    </row>
    <row r="5401" spans="1:8" x14ac:dyDescent="0.25">
      <c r="A5401" s="1">
        <v>45672.958333333336</v>
      </c>
      <c r="B5401" t="s">
        <v>31</v>
      </c>
      <c r="C5401">
        <v>434.94</v>
      </c>
      <c r="D5401">
        <v>27.46</v>
      </c>
      <c r="E5401" t="s">
        <v>9</v>
      </c>
      <c r="F5401">
        <v>84.05</v>
      </c>
      <c r="G5401" t="s">
        <v>22</v>
      </c>
      <c r="H5401" t="s">
        <v>13</v>
      </c>
    </row>
    <row r="5402" spans="1:8" x14ac:dyDescent="0.25">
      <c r="A5402" s="1">
        <v>45658</v>
      </c>
      <c r="B5402" t="s">
        <v>32</v>
      </c>
      <c r="C5402">
        <v>64.290000000000006</v>
      </c>
      <c r="D5402">
        <v>65.28</v>
      </c>
      <c r="E5402" t="s">
        <v>9</v>
      </c>
      <c r="F5402">
        <v>87.08</v>
      </c>
      <c r="G5402" t="s">
        <v>22</v>
      </c>
      <c r="H5402" t="s">
        <v>12</v>
      </c>
    </row>
    <row r="5403" spans="1:8" x14ac:dyDescent="0.25">
      <c r="A5403" s="1">
        <v>45658.041666666664</v>
      </c>
      <c r="B5403" t="s">
        <v>32</v>
      </c>
      <c r="C5403">
        <v>471.37</v>
      </c>
      <c r="D5403">
        <v>53.8</v>
      </c>
      <c r="E5403" t="s">
        <v>9</v>
      </c>
      <c r="F5403">
        <v>36.590000000000003</v>
      </c>
      <c r="G5403" t="s">
        <v>22</v>
      </c>
      <c r="H5403" t="s">
        <v>12</v>
      </c>
    </row>
    <row r="5404" spans="1:8" x14ac:dyDescent="0.25">
      <c r="A5404" s="1">
        <v>45658.083333333336</v>
      </c>
      <c r="B5404" t="s">
        <v>32</v>
      </c>
      <c r="C5404">
        <v>333.91</v>
      </c>
      <c r="D5404">
        <v>52.47</v>
      </c>
      <c r="E5404" t="s">
        <v>9</v>
      </c>
      <c r="F5404">
        <v>50.82</v>
      </c>
      <c r="G5404" t="s">
        <v>22</v>
      </c>
      <c r="H5404" t="s">
        <v>11</v>
      </c>
    </row>
    <row r="5405" spans="1:8" x14ac:dyDescent="0.25">
      <c r="A5405" s="1">
        <v>45658.125</v>
      </c>
      <c r="B5405" t="s">
        <v>32</v>
      </c>
      <c r="C5405">
        <v>462.9</v>
      </c>
      <c r="D5405">
        <v>46.11</v>
      </c>
      <c r="E5405" t="s">
        <v>9</v>
      </c>
      <c r="F5405">
        <v>36.81</v>
      </c>
      <c r="G5405" t="s">
        <v>22</v>
      </c>
      <c r="H5405" t="s">
        <v>12</v>
      </c>
    </row>
    <row r="5406" spans="1:8" x14ac:dyDescent="0.25">
      <c r="A5406" s="1">
        <v>45658.166666666664</v>
      </c>
      <c r="B5406" t="s">
        <v>32</v>
      </c>
      <c r="C5406">
        <v>128.21</v>
      </c>
      <c r="D5406">
        <v>42.84</v>
      </c>
      <c r="E5406" t="s">
        <v>9</v>
      </c>
      <c r="F5406">
        <v>82.59</v>
      </c>
      <c r="G5406" t="s">
        <v>22</v>
      </c>
      <c r="H5406" t="s">
        <v>11</v>
      </c>
    </row>
    <row r="5407" spans="1:8" x14ac:dyDescent="0.25">
      <c r="A5407" s="1">
        <v>45658.208333333336</v>
      </c>
      <c r="B5407" t="s">
        <v>32</v>
      </c>
      <c r="C5407">
        <v>423.88</v>
      </c>
      <c r="D5407">
        <v>89.73</v>
      </c>
      <c r="E5407" t="s">
        <v>14</v>
      </c>
      <c r="F5407">
        <v>82.42</v>
      </c>
      <c r="G5407" t="s">
        <v>22</v>
      </c>
      <c r="H5407" t="s">
        <v>11</v>
      </c>
    </row>
    <row r="5408" spans="1:8" x14ac:dyDescent="0.25">
      <c r="A5408" s="1">
        <v>45658.25</v>
      </c>
      <c r="B5408" t="s">
        <v>32</v>
      </c>
      <c r="C5408">
        <v>443.13</v>
      </c>
      <c r="D5408">
        <v>76.66</v>
      </c>
      <c r="E5408" t="s">
        <v>9</v>
      </c>
      <c r="F5408">
        <v>34.869999999999997</v>
      </c>
      <c r="G5408" t="s">
        <v>22</v>
      </c>
      <c r="H5408" t="s">
        <v>11</v>
      </c>
    </row>
    <row r="5409" spans="1:8" x14ac:dyDescent="0.25">
      <c r="A5409" s="1">
        <v>45658.291666666664</v>
      </c>
      <c r="B5409" t="s">
        <v>32</v>
      </c>
      <c r="C5409">
        <v>177.55</v>
      </c>
      <c r="D5409">
        <v>21.96</v>
      </c>
      <c r="E5409" t="s">
        <v>9</v>
      </c>
      <c r="F5409">
        <v>58.75</v>
      </c>
      <c r="G5409" t="s">
        <v>22</v>
      </c>
      <c r="H5409" t="s">
        <v>12</v>
      </c>
    </row>
    <row r="5410" spans="1:8" x14ac:dyDescent="0.25">
      <c r="A5410" s="1">
        <v>45658.333333333336</v>
      </c>
      <c r="B5410" t="s">
        <v>32</v>
      </c>
      <c r="C5410">
        <v>353.59</v>
      </c>
      <c r="D5410">
        <v>16.899999999999999</v>
      </c>
      <c r="E5410" t="s">
        <v>9</v>
      </c>
      <c r="F5410">
        <v>66.040000000000006</v>
      </c>
      <c r="G5410" t="s">
        <v>22</v>
      </c>
      <c r="H5410" t="s">
        <v>13</v>
      </c>
    </row>
    <row r="5411" spans="1:8" x14ac:dyDescent="0.25">
      <c r="A5411" s="1">
        <v>45658.375</v>
      </c>
      <c r="B5411" t="s">
        <v>32</v>
      </c>
      <c r="C5411">
        <v>160.02000000000001</v>
      </c>
      <c r="D5411">
        <v>89.89</v>
      </c>
      <c r="E5411" t="s">
        <v>14</v>
      </c>
      <c r="F5411">
        <v>32.76</v>
      </c>
      <c r="G5411" t="s">
        <v>22</v>
      </c>
      <c r="H5411" t="s">
        <v>13</v>
      </c>
    </row>
    <row r="5412" spans="1:8" x14ac:dyDescent="0.25">
      <c r="A5412" s="1">
        <v>45658.416666666664</v>
      </c>
      <c r="B5412" t="s">
        <v>32</v>
      </c>
      <c r="C5412">
        <v>444.87</v>
      </c>
      <c r="D5412">
        <v>23.74</v>
      </c>
      <c r="E5412" t="s">
        <v>9</v>
      </c>
      <c r="F5412">
        <v>67.02</v>
      </c>
      <c r="G5412" t="s">
        <v>22</v>
      </c>
      <c r="H5412" t="s">
        <v>13</v>
      </c>
    </row>
    <row r="5413" spans="1:8" x14ac:dyDescent="0.25">
      <c r="A5413" s="1">
        <v>45658.458333333336</v>
      </c>
      <c r="B5413" t="s">
        <v>32</v>
      </c>
      <c r="C5413">
        <v>436.94</v>
      </c>
      <c r="D5413">
        <v>14.27</v>
      </c>
      <c r="E5413" t="s">
        <v>9</v>
      </c>
      <c r="F5413">
        <v>41.4</v>
      </c>
      <c r="G5413" t="s">
        <v>22</v>
      </c>
      <c r="H5413" t="s">
        <v>12</v>
      </c>
    </row>
    <row r="5414" spans="1:8" x14ac:dyDescent="0.25">
      <c r="A5414" s="1">
        <v>45658.5</v>
      </c>
      <c r="B5414" t="s">
        <v>32</v>
      </c>
      <c r="C5414">
        <v>479.69</v>
      </c>
      <c r="D5414">
        <v>15.67</v>
      </c>
      <c r="E5414" t="s">
        <v>9</v>
      </c>
      <c r="F5414">
        <v>51.15</v>
      </c>
      <c r="G5414" t="s">
        <v>22</v>
      </c>
      <c r="H5414" t="s">
        <v>11</v>
      </c>
    </row>
    <row r="5415" spans="1:8" x14ac:dyDescent="0.25">
      <c r="A5415" s="1">
        <v>45658.541666666664</v>
      </c>
      <c r="B5415" t="s">
        <v>32</v>
      </c>
      <c r="C5415">
        <v>290.51</v>
      </c>
      <c r="D5415">
        <v>56.82</v>
      </c>
      <c r="E5415" t="s">
        <v>9</v>
      </c>
      <c r="F5415">
        <v>80.64</v>
      </c>
      <c r="G5415" t="s">
        <v>22</v>
      </c>
      <c r="H5415" t="s">
        <v>12</v>
      </c>
    </row>
    <row r="5416" spans="1:8" x14ac:dyDescent="0.25">
      <c r="A5416" s="1">
        <v>45658.583333333336</v>
      </c>
      <c r="B5416" t="s">
        <v>32</v>
      </c>
      <c r="C5416">
        <v>246.98</v>
      </c>
      <c r="D5416">
        <v>68.180000000000007</v>
      </c>
      <c r="E5416" t="s">
        <v>9</v>
      </c>
      <c r="F5416">
        <v>43.06</v>
      </c>
      <c r="G5416" t="s">
        <v>22</v>
      </c>
      <c r="H5416" t="s">
        <v>12</v>
      </c>
    </row>
    <row r="5417" spans="1:8" x14ac:dyDescent="0.25">
      <c r="A5417" s="1">
        <v>45658.625</v>
      </c>
      <c r="B5417" t="s">
        <v>32</v>
      </c>
      <c r="C5417">
        <v>169.05</v>
      </c>
      <c r="D5417">
        <v>89.2</v>
      </c>
      <c r="E5417" t="s">
        <v>14</v>
      </c>
      <c r="F5417">
        <v>70.05</v>
      </c>
      <c r="G5417" t="s">
        <v>22</v>
      </c>
      <c r="H5417" t="s">
        <v>12</v>
      </c>
    </row>
    <row r="5418" spans="1:8" x14ac:dyDescent="0.25">
      <c r="A5418" s="1">
        <v>45658.666666666664</v>
      </c>
      <c r="B5418" t="s">
        <v>32</v>
      </c>
      <c r="C5418">
        <v>170.04</v>
      </c>
      <c r="D5418">
        <v>19.98</v>
      </c>
      <c r="E5418" t="s">
        <v>9</v>
      </c>
      <c r="F5418">
        <v>87.42</v>
      </c>
      <c r="G5418" t="s">
        <v>22</v>
      </c>
      <c r="H5418" t="s">
        <v>11</v>
      </c>
    </row>
    <row r="5419" spans="1:8" x14ac:dyDescent="0.25">
      <c r="A5419" s="1">
        <v>45658.708333333336</v>
      </c>
      <c r="B5419" t="s">
        <v>32</v>
      </c>
      <c r="C5419">
        <v>373.54</v>
      </c>
      <c r="D5419">
        <v>80.739999999999995</v>
      </c>
      <c r="E5419" t="s">
        <v>9</v>
      </c>
      <c r="F5419">
        <v>73.73</v>
      </c>
      <c r="G5419" t="s">
        <v>22</v>
      </c>
      <c r="H5419" t="s">
        <v>11</v>
      </c>
    </row>
    <row r="5420" spans="1:8" x14ac:dyDescent="0.25">
      <c r="A5420" s="1">
        <v>45658.75</v>
      </c>
      <c r="B5420" t="s">
        <v>32</v>
      </c>
      <c r="C5420">
        <v>121</v>
      </c>
      <c r="D5420">
        <v>16.77</v>
      </c>
      <c r="E5420" t="s">
        <v>9</v>
      </c>
      <c r="F5420">
        <v>83.51</v>
      </c>
      <c r="G5420" t="s">
        <v>22</v>
      </c>
      <c r="H5420" t="s">
        <v>11</v>
      </c>
    </row>
    <row r="5421" spans="1:8" x14ac:dyDescent="0.25">
      <c r="A5421" s="1">
        <v>45658.791666666664</v>
      </c>
      <c r="B5421" t="s">
        <v>32</v>
      </c>
      <c r="C5421">
        <v>167.04</v>
      </c>
      <c r="D5421">
        <v>17.91</v>
      </c>
      <c r="E5421" t="s">
        <v>9</v>
      </c>
      <c r="F5421">
        <v>54.34</v>
      </c>
      <c r="G5421" t="s">
        <v>22</v>
      </c>
      <c r="H5421" t="s">
        <v>13</v>
      </c>
    </row>
    <row r="5422" spans="1:8" x14ac:dyDescent="0.25">
      <c r="A5422" s="1">
        <v>45658.833333333336</v>
      </c>
      <c r="B5422" t="s">
        <v>32</v>
      </c>
      <c r="C5422">
        <v>108.38</v>
      </c>
      <c r="D5422">
        <v>28.33</v>
      </c>
      <c r="E5422" t="s">
        <v>9</v>
      </c>
      <c r="F5422">
        <v>37.93</v>
      </c>
      <c r="G5422" t="s">
        <v>22</v>
      </c>
      <c r="H5422" t="s">
        <v>12</v>
      </c>
    </row>
    <row r="5423" spans="1:8" x14ac:dyDescent="0.25">
      <c r="A5423" s="1">
        <v>45658.875</v>
      </c>
      <c r="B5423" t="s">
        <v>32</v>
      </c>
      <c r="C5423">
        <v>260.91000000000003</v>
      </c>
      <c r="D5423">
        <v>72.63</v>
      </c>
      <c r="E5423" t="s">
        <v>9</v>
      </c>
      <c r="F5423">
        <v>80.62</v>
      </c>
      <c r="G5423" t="s">
        <v>22</v>
      </c>
      <c r="H5423" t="s">
        <v>12</v>
      </c>
    </row>
    <row r="5424" spans="1:8" x14ac:dyDescent="0.25">
      <c r="A5424" s="1">
        <v>45658.916666666664</v>
      </c>
      <c r="B5424" t="s">
        <v>32</v>
      </c>
      <c r="C5424">
        <v>376.41</v>
      </c>
      <c r="D5424">
        <v>53.8</v>
      </c>
      <c r="E5424" t="s">
        <v>9</v>
      </c>
      <c r="F5424">
        <v>89.98</v>
      </c>
      <c r="G5424" t="s">
        <v>22</v>
      </c>
      <c r="H5424" t="s">
        <v>11</v>
      </c>
    </row>
    <row r="5425" spans="1:8" x14ac:dyDescent="0.25">
      <c r="A5425" s="1">
        <v>45658.958333333336</v>
      </c>
      <c r="B5425" t="s">
        <v>32</v>
      </c>
      <c r="C5425">
        <v>286.74</v>
      </c>
      <c r="D5425">
        <v>68.739999999999995</v>
      </c>
      <c r="E5425" t="s">
        <v>9</v>
      </c>
      <c r="F5425">
        <v>73.61</v>
      </c>
      <c r="G5425" t="s">
        <v>22</v>
      </c>
      <c r="H5425" t="s">
        <v>11</v>
      </c>
    </row>
    <row r="5426" spans="1:8" x14ac:dyDescent="0.25">
      <c r="A5426" s="1">
        <v>45659</v>
      </c>
      <c r="B5426" t="s">
        <v>32</v>
      </c>
      <c r="C5426">
        <v>307.08999999999997</v>
      </c>
      <c r="D5426">
        <v>87.69</v>
      </c>
      <c r="E5426" t="s">
        <v>14</v>
      </c>
      <c r="F5426">
        <v>88.58</v>
      </c>
      <c r="G5426" t="s">
        <v>22</v>
      </c>
      <c r="H5426" t="s">
        <v>12</v>
      </c>
    </row>
    <row r="5427" spans="1:8" x14ac:dyDescent="0.25">
      <c r="A5427" s="1">
        <v>45659.041666666664</v>
      </c>
      <c r="B5427" t="s">
        <v>32</v>
      </c>
      <c r="C5427">
        <v>270.97000000000003</v>
      </c>
      <c r="D5427">
        <v>90.91</v>
      </c>
      <c r="E5427" t="s">
        <v>14</v>
      </c>
      <c r="F5427">
        <v>47.34</v>
      </c>
      <c r="G5427" t="s">
        <v>22</v>
      </c>
      <c r="H5427" t="s">
        <v>11</v>
      </c>
    </row>
    <row r="5428" spans="1:8" x14ac:dyDescent="0.25">
      <c r="A5428" s="1">
        <v>45659.083333333336</v>
      </c>
      <c r="B5428" t="s">
        <v>32</v>
      </c>
      <c r="C5428">
        <v>413.04</v>
      </c>
      <c r="D5428">
        <v>78.58</v>
      </c>
      <c r="E5428" t="s">
        <v>9</v>
      </c>
      <c r="F5428">
        <v>59.68</v>
      </c>
      <c r="G5428" t="s">
        <v>22</v>
      </c>
      <c r="H5428" t="s">
        <v>11</v>
      </c>
    </row>
    <row r="5429" spans="1:8" x14ac:dyDescent="0.25">
      <c r="A5429" s="1">
        <v>45659.125</v>
      </c>
      <c r="B5429" t="s">
        <v>32</v>
      </c>
      <c r="C5429">
        <v>375.59</v>
      </c>
      <c r="D5429">
        <v>36.9</v>
      </c>
      <c r="E5429" t="s">
        <v>9</v>
      </c>
      <c r="F5429">
        <v>31.35</v>
      </c>
      <c r="G5429" t="s">
        <v>22</v>
      </c>
      <c r="H5429" t="s">
        <v>11</v>
      </c>
    </row>
    <row r="5430" spans="1:8" x14ac:dyDescent="0.25">
      <c r="A5430" s="1">
        <v>45659.166666666664</v>
      </c>
      <c r="B5430" t="s">
        <v>32</v>
      </c>
      <c r="C5430">
        <v>54.97</v>
      </c>
      <c r="D5430">
        <v>52.52</v>
      </c>
      <c r="E5430" t="s">
        <v>9</v>
      </c>
      <c r="F5430">
        <v>50.16</v>
      </c>
      <c r="G5430" t="s">
        <v>22</v>
      </c>
      <c r="H5430" t="s">
        <v>12</v>
      </c>
    </row>
    <row r="5431" spans="1:8" x14ac:dyDescent="0.25">
      <c r="A5431" s="1">
        <v>45659.208333333336</v>
      </c>
      <c r="B5431" t="s">
        <v>32</v>
      </c>
      <c r="C5431">
        <v>337.26</v>
      </c>
      <c r="D5431">
        <v>44.85</v>
      </c>
      <c r="E5431" t="s">
        <v>9</v>
      </c>
      <c r="F5431">
        <v>30.44</v>
      </c>
      <c r="G5431" t="s">
        <v>22</v>
      </c>
      <c r="H5431" t="s">
        <v>12</v>
      </c>
    </row>
    <row r="5432" spans="1:8" x14ac:dyDescent="0.25">
      <c r="A5432" s="1">
        <v>45659.25</v>
      </c>
      <c r="B5432" t="s">
        <v>32</v>
      </c>
      <c r="C5432">
        <v>335.01</v>
      </c>
      <c r="D5432">
        <v>19.87</v>
      </c>
      <c r="E5432" t="s">
        <v>9</v>
      </c>
      <c r="F5432">
        <v>36.46</v>
      </c>
      <c r="G5432" t="s">
        <v>22</v>
      </c>
      <c r="H5432" t="s">
        <v>11</v>
      </c>
    </row>
    <row r="5433" spans="1:8" x14ac:dyDescent="0.25">
      <c r="A5433" s="1">
        <v>45659.291666666664</v>
      </c>
      <c r="B5433" t="s">
        <v>32</v>
      </c>
      <c r="C5433">
        <v>470.22</v>
      </c>
      <c r="D5433">
        <v>50.59</v>
      </c>
      <c r="E5433" t="s">
        <v>9</v>
      </c>
      <c r="F5433">
        <v>44.91</v>
      </c>
      <c r="G5433" t="s">
        <v>22</v>
      </c>
      <c r="H5433" t="s">
        <v>13</v>
      </c>
    </row>
    <row r="5434" spans="1:8" x14ac:dyDescent="0.25">
      <c r="A5434" s="1">
        <v>45659.333333333336</v>
      </c>
      <c r="B5434" t="s">
        <v>32</v>
      </c>
      <c r="C5434">
        <v>475.57</v>
      </c>
      <c r="D5434">
        <v>90.59</v>
      </c>
      <c r="E5434" t="s">
        <v>14</v>
      </c>
      <c r="F5434">
        <v>48.45</v>
      </c>
      <c r="G5434" t="s">
        <v>22</v>
      </c>
      <c r="H5434" t="s">
        <v>13</v>
      </c>
    </row>
    <row r="5435" spans="1:8" x14ac:dyDescent="0.25">
      <c r="A5435" s="1">
        <v>45659.375</v>
      </c>
      <c r="B5435" t="s">
        <v>32</v>
      </c>
      <c r="C5435">
        <v>197.08</v>
      </c>
      <c r="D5435">
        <v>46.13</v>
      </c>
      <c r="E5435" t="s">
        <v>9</v>
      </c>
      <c r="F5435">
        <v>41.32</v>
      </c>
      <c r="G5435" t="s">
        <v>22</v>
      </c>
      <c r="H5435" t="s">
        <v>11</v>
      </c>
    </row>
    <row r="5436" spans="1:8" x14ac:dyDescent="0.25">
      <c r="A5436" s="1">
        <v>45659.416666666664</v>
      </c>
      <c r="B5436" t="s">
        <v>32</v>
      </c>
      <c r="C5436">
        <v>273.83999999999997</v>
      </c>
      <c r="D5436">
        <v>78.44</v>
      </c>
      <c r="E5436" t="s">
        <v>9</v>
      </c>
      <c r="F5436">
        <v>45.66</v>
      </c>
      <c r="G5436" t="s">
        <v>22</v>
      </c>
      <c r="H5436" t="s">
        <v>11</v>
      </c>
    </row>
    <row r="5437" spans="1:8" x14ac:dyDescent="0.25">
      <c r="A5437" s="1">
        <v>45659.458333333336</v>
      </c>
      <c r="B5437" t="s">
        <v>32</v>
      </c>
      <c r="C5437">
        <v>397.39</v>
      </c>
      <c r="D5437">
        <v>81.680000000000007</v>
      </c>
      <c r="E5437" t="s">
        <v>9</v>
      </c>
      <c r="F5437">
        <v>78.27</v>
      </c>
      <c r="G5437" t="s">
        <v>22</v>
      </c>
      <c r="H5437" t="s">
        <v>13</v>
      </c>
    </row>
    <row r="5438" spans="1:8" x14ac:dyDescent="0.25">
      <c r="A5438" s="1">
        <v>45659.5</v>
      </c>
      <c r="B5438" t="s">
        <v>32</v>
      </c>
      <c r="C5438">
        <v>335.87</v>
      </c>
      <c r="D5438">
        <v>64.56</v>
      </c>
      <c r="E5438" t="s">
        <v>9</v>
      </c>
      <c r="F5438">
        <v>37.950000000000003</v>
      </c>
      <c r="G5438" t="s">
        <v>22</v>
      </c>
      <c r="H5438" t="s">
        <v>11</v>
      </c>
    </row>
    <row r="5439" spans="1:8" x14ac:dyDescent="0.25">
      <c r="A5439" s="1">
        <v>45659.541666666664</v>
      </c>
      <c r="B5439" t="s">
        <v>32</v>
      </c>
      <c r="C5439">
        <v>409.17</v>
      </c>
      <c r="D5439">
        <v>77.2</v>
      </c>
      <c r="E5439" t="s">
        <v>9</v>
      </c>
      <c r="F5439">
        <v>70.2</v>
      </c>
      <c r="G5439" t="s">
        <v>22</v>
      </c>
      <c r="H5439" t="s">
        <v>11</v>
      </c>
    </row>
    <row r="5440" spans="1:8" x14ac:dyDescent="0.25">
      <c r="A5440" s="1">
        <v>45659.583333333336</v>
      </c>
      <c r="B5440" t="s">
        <v>32</v>
      </c>
      <c r="C5440">
        <v>234.7</v>
      </c>
      <c r="D5440">
        <v>21.7</v>
      </c>
      <c r="E5440" t="s">
        <v>9</v>
      </c>
      <c r="F5440">
        <v>44.54</v>
      </c>
      <c r="G5440" t="s">
        <v>22</v>
      </c>
      <c r="H5440" t="s">
        <v>13</v>
      </c>
    </row>
    <row r="5441" spans="1:8" x14ac:dyDescent="0.25">
      <c r="A5441" s="1">
        <v>45659.625</v>
      </c>
      <c r="B5441" t="s">
        <v>32</v>
      </c>
      <c r="C5441">
        <v>78.8</v>
      </c>
      <c r="D5441">
        <v>46.29</v>
      </c>
      <c r="E5441" t="s">
        <v>9</v>
      </c>
      <c r="F5441">
        <v>35.17</v>
      </c>
      <c r="G5441" t="s">
        <v>22</v>
      </c>
      <c r="H5441" t="s">
        <v>13</v>
      </c>
    </row>
    <row r="5442" spans="1:8" x14ac:dyDescent="0.25">
      <c r="A5442" s="1">
        <v>45659.666666666664</v>
      </c>
      <c r="B5442" t="s">
        <v>32</v>
      </c>
      <c r="C5442">
        <v>400.02</v>
      </c>
      <c r="D5442">
        <v>91.98</v>
      </c>
      <c r="E5442" t="s">
        <v>14</v>
      </c>
      <c r="F5442">
        <v>49.42</v>
      </c>
      <c r="G5442" t="s">
        <v>22</v>
      </c>
      <c r="H5442" t="s">
        <v>11</v>
      </c>
    </row>
    <row r="5443" spans="1:8" x14ac:dyDescent="0.25">
      <c r="A5443" s="1">
        <v>45659.708333333336</v>
      </c>
      <c r="B5443" t="s">
        <v>32</v>
      </c>
      <c r="C5443">
        <v>330.54</v>
      </c>
      <c r="D5443">
        <v>27.34</v>
      </c>
      <c r="E5443" t="s">
        <v>9</v>
      </c>
      <c r="F5443">
        <v>51.24</v>
      </c>
      <c r="G5443" t="s">
        <v>22</v>
      </c>
      <c r="H5443" t="s">
        <v>11</v>
      </c>
    </row>
    <row r="5444" spans="1:8" x14ac:dyDescent="0.25">
      <c r="A5444" s="1">
        <v>45659.75</v>
      </c>
      <c r="B5444" t="s">
        <v>32</v>
      </c>
      <c r="C5444">
        <v>411.2</v>
      </c>
      <c r="D5444">
        <v>18</v>
      </c>
      <c r="E5444" t="s">
        <v>9</v>
      </c>
      <c r="F5444">
        <v>65.91</v>
      </c>
      <c r="G5444" t="s">
        <v>22</v>
      </c>
      <c r="H5444" t="s">
        <v>11</v>
      </c>
    </row>
    <row r="5445" spans="1:8" x14ac:dyDescent="0.25">
      <c r="A5445" s="1">
        <v>45659.791666666664</v>
      </c>
      <c r="B5445" t="s">
        <v>32</v>
      </c>
      <c r="C5445">
        <v>220.87</v>
      </c>
      <c r="D5445">
        <v>26.69</v>
      </c>
      <c r="E5445" t="s">
        <v>9</v>
      </c>
      <c r="F5445">
        <v>51.21</v>
      </c>
      <c r="G5445" t="s">
        <v>22</v>
      </c>
      <c r="H5445" t="s">
        <v>13</v>
      </c>
    </row>
    <row r="5446" spans="1:8" x14ac:dyDescent="0.25">
      <c r="A5446" s="1">
        <v>45659.833333333336</v>
      </c>
      <c r="B5446" t="s">
        <v>32</v>
      </c>
      <c r="C5446">
        <v>407.89</v>
      </c>
      <c r="D5446">
        <v>20.53</v>
      </c>
      <c r="E5446" t="s">
        <v>9</v>
      </c>
      <c r="F5446">
        <v>41.36</v>
      </c>
      <c r="G5446" t="s">
        <v>22</v>
      </c>
      <c r="H5446" t="s">
        <v>12</v>
      </c>
    </row>
    <row r="5447" spans="1:8" x14ac:dyDescent="0.25">
      <c r="A5447" s="1">
        <v>45659.875</v>
      </c>
      <c r="B5447" t="s">
        <v>32</v>
      </c>
      <c r="C5447">
        <v>113.16</v>
      </c>
      <c r="D5447">
        <v>64.47</v>
      </c>
      <c r="E5447" t="s">
        <v>9</v>
      </c>
      <c r="F5447">
        <v>48.65</v>
      </c>
      <c r="G5447" t="s">
        <v>22</v>
      </c>
      <c r="H5447" t="s">
        <v>13</v>
      </c>
    </row>
    <row r="5448" spans="1:8" x14ac:dyDescent="0.25">
      <c r="A5448" s="1">
        <v>45659.916666666664</v>
      </c>
      <c r="B5448" t="s">
        <v>32</v>
      </c>
      <c r="C5448">
        <v>145.16</v>
      </c>
      <c r="D5448">
        <v>37.15</v>
      </c>
      <c r="E5448" t="s">
        <v>9</v>
      </c>
      <c r="F5448">
        <v>82.25</v>
      </c>
      <c r="G5448" t="s">
        <v>22</v>
      </c>
      <c r="H5448" t="s">
        <v>13</v>
      </c>
    </row>
    <row r="5449" spans="1:8" x14ac:dyDescent="0.25">
      <c r="A5449" s="1">
        <v>45659.958333333336</v>
      </c>
      <c r="B5449" t="s">
        <v>32</v>
      </c>
      <c r="C5449">
        <v>208.57</v>
      </c>
      <c r="D5449">
        <v>73.959999999999994</v>
      </c>
      <c r="E5449" t="s">
        <v>9</v>
      </c>
      <c r="F5449">
        <v>45.44</v>
      </c>
      <c r="G5449" t="s">
        <v>22</v>
      </c>
      <c r="H5449" t="s">
        <v>13</v>
      </c>
    </row>
    <row r="5450" spans="1:8" x14ac:dyDescent="0.25">
      <c r="A5450" s="1">
        <v>45660</v>
      </c>
      <c r="B5450" t="s">
        <v>32</v>
      </c>
      <c r="C5450">
        <v>142.36000000000001</v>
      </c>
      <c r="D5450">
        <v>67.599999999999994</v>
      </c>
      <c r="E5450" t="s">
        <v>9</v>
      </c>
      <c r="F5450">
        <v>88.08</v>
      </c>
      <c r="G5450" t="s">
        <v>22</v>
      </c>
      <c r="H5450" t="s">
        <v>11</v>
      </c>
    </row>
    <row r="5451" spans="1:8" x14ac:dyDescent="0.25">
      <c r="A5451" s="1">
        <v>45660.041666666664</v>
      </c>
      <c r="B5451" t="s">
        <v>32</v>
      </c>
      <c r="C5451">
        <v>175.68</v>
      </c>
      <c r="D5451">
        <v>14.49</v>
      </c>
      <c r="E5451" t="s">
        <v>9</v>
      </c>
      <c r="F5451">
        <v>42.94</v>
      </c>
      <c r="G5451" t="s">
        <v>22</v>
      </c>
      <c r="H5451" t="s">
        <v>13</v>
      </c>
    </row>
    <row r="5452" spans="1:8" x14ac:dyDescent="0.25">
      <c r="A5452" s="1">
        <v>45660.083333333336</v>
      </c>
      <c r="B5452" t="s">
        <v>32</v>
      </c>
      <c r="C5452">
        <v>358.81</v>
      </c>
      <c r="D5452">
        <v>55.99</v>
      </c>
      <c r="E5452" t="s">
        <v>9</v>
      </c>
      <c r="F5452">
        <v>42.39</v>
      </c>
      <c r="G5452" t="s">
        <v>22</v>
      </c>
      <c r="H5452" t="s">
        <v>12</v>
      </c>
    </row>
    <row r="5453" spans="1:8" x14ac:dyDescent="0.25">
      <c r="A5453" s="1">
        <v>45660.125</v>
      </c>
      <c r="B5453" t="s">
        <v>32</v>
      </c>
      <c r="C5453">
        <v>66.81</v>
      </c>
      <c r="D5453">
        <v>33.21</v>
      </c>
      <c r="E5453" t="s">
        <v>9</v>
      </c>
      <c r="F5453">
        <v>76.75</v>
      </c>
      <c r="G5453" t="s">
        <v>22</v>
      </c>
      <c r="H5453" t="s">
        <v>11</v>
      </c>
    </row>
    <row r="5454" spans="1:8" x14ac:dyDescent="0.25">
      <c r="A5454" s="1">
        <v>45660.166666666664</v>
      </c>
      <c r="B5454" t="s">
        <v>32</v>
      </c>
      <c r="C5454">
        <v>227.38</v>
      </c>
      <c r="D5454">
        <v>90.63</v>
      </c>
      <c r="E5454" t="s">
        <v>14</v>
      </c>
      <c r="F5454">
        <v>70.63</v>
      </c>
      <c r="G5454" t="s">
        <v>22</v>
      </c>
      <c r="H5454" t="s">
        <v>13</v>
      </c>
    </row>
    <row r="5455" spans="1:8" x14ac:dyDescent="0.25">
      <c r="A5455" s="1">
        <v>45660.208333333336</v>
      </c>
      <c r="B5455" t="s">
        <v>32</v>
      </c>
      <c r="C5455">
        <v>200.37</v>
      </c>
      <c r="D5455">
        <v>67.819999999999993</v>
      </c>
      <c r="E5455" t="s">
        <v>9</v>
      </c>
      <c r="F5455">
        <v>63.67</v>
      </c>
      <c r="G5455" t="s">
        <v>22</v>
      </c>
      <c r="H5455" t="s">
        <v>11</v>
      </c>
    </row>
    <row r="5456" spans="1:8" x14ac:dyDescent="0.25">
      <c r="A5456" s="1">
        <v>45660.25</v>
      </c>
      <c r="B5456" t="s">
        <v>32</v>
      </c>
      <c r="C5456">
        <v>432.22</v>
      </c>
      <c r="D5456">
        <v>15.58</v>
      </c>
      <c r="E5456" t="s">
        <v>9</v>
      </c>
      <c r="F5456">
        <v>37.409999999999997</v>
      </c>
      <c r="G5456" t="s">
        <v>22</v>
      </c>
      <c r="H5456" t="s">
        <v>12</v>
      </c>
    </row>
    <row r="5457" spans="1:8" x14ac:dyDescent="0.25">
      <c r="A5457" s="1">
        <v>45660.291666666664</v>
      </c>
      <c r="B5457" t="s">
        <v>32</v>
      </c>
      <c r="C5457">
        <v>121.58</v>
      </c>
      <c r="D5457">
        <v>63.88</v>
      </c>
      <c r="E5457" t="s">
        <v>9</v>
      </c>
      <c r="F5457">
        <v>82.24</v>
      </c>
      <c r="G5457" t="s">
        <v>22</v>
      </c>
      <c r="H5457" t="s">
        <v>11</v>
      </c>
    </row>
    <row r="5458" spans="1:8" x14ac:dyDescent="0.25">
      <c r="A5458" s="1">
        <v>45660.333333333336</v>
      </c>
      <c r="B5458" t="s">
        <v>32</v>
      </c>
      <c r="C5458">
        <v>182.31</v>
      </c>
      <c r="D5458">
        <v>26.8</v>
      </c>
      <c r="E5458" t="s">
        <v>9</v>
      </c>
      <c r="F5458">
        <v>84.35</v>
      </c>
      <c r="G5458" t="s">
        <v>22</v>
      </c>
      <c r="H5458" t="s">
        <v>13</v>
      </c>
    </row>
    <row r="5459" spans="1:8" x14ac:dyDescent="0.25">
      <c r="A5459" s="1">
        <v>45660.375</v>
      </c>
      <c r="B5459" t="s">
        <v>32</v>
      </c>
      <c r="C5459">
        <v>367.62</v>
      </c>
      <c r="D5459">
        <v>88.5</v>
      </c>
      <c r="E5459" t="s">
        <v>14</v>
      </c>
      <c r="F5459">
        <v>64.58</v>
      </c>
      <c r="G5459" t="s">
        <v>22</v>
      </c>
      <c r="H5459" t="s">
        <v>12</v>
      </c>
    </row>
    <row r="5460" spans="1:8" x14ac:dyDescent="0.25">
      <c r="A5460" s="1">
        <v>45660.416666666664</v>
      </c>
      <c r="B5460" t="s">
        <v>32</v>
      </c>
      <c r="C5460">
        <v>405.91</v>
      </c>
      <c r="D5460">
        <v>28.29</v>
      </c>
      <c r="E5460" t="s">
        <v>9</v>
      </c>
      <c r="F5460">
        <v>86.19</v>
      </c>
      <c r="G5460" t="s">
        <v>22</v>
      </c>
      <c r="H5460" t="s">
        <v>13</v>
      </c>
    </row>
    <row r="5461" spans="1:8" x14ac:dyDescent="0.25">
      <c r="A5461" s="1">
        <v>45660.458333333336</v>
      </c>
      <c r="B5461" t="s">
        <v>32</v>
      </c>
      <c r="C5461">
        <v>281.02999999999997</v>
      </c>
      <c r="D5461">
        <v>19.649999999999999</v>
      </c>
      <c r="E5461" t="s">
        <v>9</v>
      </c>
      <c r="F5461">
        <v>43.4</v>
      </c>
      <c r="G5461" t="s">
        <v>22</v>
      </c>
      <c r="H5461" t="s">
        <v>11</v>
      </c>
    </row>
    <row r="5462" spans="1:8" x14ac:dyDescent="0.25">
      <c r="A5462" s="1">
        <v>45660.5</v>
      </c>
      <c r="B5462" t="s">
        <v>32</v>
      </c>
      <c r="C5462">
        <v>187.42</v>
      </c>
      <c r="D5462">
        <v>19.239999999999998</v>
      </c>
      <c r="E5462" t="s">
        <v>9</v>
      </c>
      <c r="F5462">
        <v>35.46</v>
      </c>
      <c r="G5462" t="s">
        <v>22</v>
      </c>
      <c r="H5462" t="s">
        <v>11</v>
      </c>
    </row>
    <row r="5463" spans="1:8" x14ac:dyDescent="0.25">
      <c r="A5463" s="1">
        <v>45660.541666666664</v>
      </c>
      <c r="B5463" t="s">
        <v>32</v>
      </c>
      <c r="C5463">
        <v>370.59</v>
      </c>
      <c r="D5463">
        <v>16.45</v>
      </c>
      <c r="E5463" t="s">
        <v>9</v>
      </c>
      <c r="F5463">
        <v>34.99</v>
      </c>
      <c r="G5463" t="s">
        <v>22</v>
      </c>
      <c r="H5463" t="s">
        <v>13</v>
      </c>
    </row>
    <row r="5464" spans="1:8" x14ac:dyDescent="0.25">
      <c r="A5464" s="1">
        <v>45660.583333333336</v>
      </c>
      <c r="B5464" t="s">
        <v>32</v>
      </c>
      <c r="C5464">
        <v>68.83</v>
      </c>
      <c r="D5464">
        <v>74.430000000000007</v>
      </c>
      <c r="E5464" t="s">
        <v>9</v>
      </c>
      <c r="F5464">
        <v>43.38</v>
      </c>
      <c r="G5464" t="s">
        <v>22</v>
      </c>
      <c r="H5464" t="s">
        <v>11</v>
      </c>
    </row>
    <row r="5465" spans="1:8" x14ac:dyDescent="0.25">
      <c r="A5465" s="1">
        <v>45660.625</v>
      </c>
      <c r="B5465" t="s">
        <v>32</v>
      </c>
      <c r="C5465">
        <v>481.37</v>
      </c>
      <c r="D5465">
        <v>86.88</v>
      </c>
      <c r="E5465" t="s">
        <v>14</v>
      </c>
      <c r="F5465">
        <v>56.44</v>
      </c>
      <c r="G5465" t="s">
        <v>22</v>
      </c>
      <c r="H5465" t="s">
        <v>12</v>
      </c>
    </row>
    <row r="5466" spans="1:8" x14ac:dyDescent="0.25">
      <c r="A5466" s="1">
        <v>45660.666666666664</v>
      </c>
      <c r="B5466" t="s">
        <v>32</v>
      </c>
      <c r="C5466">
        <v>370.92</v>
      </c>
      <c r="D5466">
        <v>63.19</v>
      </c>
      <c r="E5466" t="s">
        <v>9</v>
      </c>
      <c r="F5466">
        <v>86.11</v>
      </c>
      <c r="G5466" t="s">
        <v>22</v>
      </c>
      <c r="H5466" t="s">
        <v>12</v>
      </c>
    </row>
    <row r="5467" spans="1:8" x14ac:dyDescent="0.25">
      <c r="A5467" s="1">
        <v>45660.708333333336</v>
      </c>
      <c r="B5467" t="s">
        <v>32</v>
      </c>
      <c r="C5467">
        <v>336.49</v>
      </c>
      <c r="D5467">
        <v>57.6</v>
      </c>
      <c r="E5467" t="s">
        <v>9</v>
      </c>
      <c r="F5467">
        <v>66.41</v>
      </c>
      <c r="G5467" t="s">
        <v>22</v>
      </c>
      <c r="H5467" t="s">
        <v>11</v>
      </c>
    </row>
    <row r="5468" spans="1:8" x14ac:dyDescent="0.25">
      <c r="A5468" s="1">
        <v>45660.75</v>
      </c>
      <c r="B5468" t="s">
        <v>32</v>
      </c>
      <c r="C5468">
        <v>180.17</v>
      </c>
      <c r="D5468">
        <v>68.900000000000006</v>
      </c>
      <c r="E5468" t="s">
        <v>9</v>
      </c>
      <c r="F5468">
        <v>42.76</v>
      </c>
      <c r="G5468" t="s">
        <v>22</v>
      </c>
      <c r="H5468" t="s">
        <v>12</v>
      </c>
    </row>
    <row r="5469" spans="1:8" x14ac:dyDescent="0.25">
      <c r="A5469" s="1">
        <v>45660.791666666664</v>
      </c>
      <c r="B5469" t="s">
        <v>32</v>
      </c>
      <c r="C5469">
        <v>204.91</v>
      </c>
      <c r="D5469">
        <v>67.98</v>
      </c>
      <c r="E5469" t="s">
        <v>9</v>
      </c>
      <c r="F5469">
        <v>86.26</v>
      </c>
      <c r="G5469" t="s">
        <v>22</v>
      </c>
      <c r="H5469" t="s">
        <v>11</v>
      </c>
    </row>
    <row r="5470" spans="1:8" x14ac:dyDescent="0.25">
      <c r="A5470" s="1">
        <v>45660.833333333336</v>
      </c>
      <c r="B5470" t="s">
        <v>32</v>
      </c>
      <c r="C5470">
        <v>282.45</v>
      </c>
      <c r="D5470">
        <v>20.64</v>
      </c>
      <c r="E5470" t="s">
        <v>9</v>
      </c>
      <c r="F5470">
        <v>52.75</v>
      </c>
      <c r="G5470" t="s">
        <v>22</v>
      </c>
      <c r="H5470" t="s">
        <v>11</v>
      </c>
    </row>
    <row r="5471" spans="1:8" x14ac:dyDescent="0.25">
      <c r="A5471" s="1">
        <v>45660.875</v>
      </c>
      <c r="B5471" t="s">
        <v>32</v>
      </c>
      <c r="C5471">
        <v>95.21</v>
      </c>
      <c r="D5471">
        <v>58.91</v>
      </c>
      <c r="E5471" t="s">
        <v>9</v>
      </c>
      <c r="F5471">
        <v>49.67</v>
      </c>
      <c r="G5471" t="s">
        <v>22</v>
      </c>
      <c r="H5471" t="s">
        <v>13</v>
      </c>
    </row>
    <row r="5472" spans="1:8" x14ac:dyDescent="0.25">
      <c r="A5472" s="1">
        <v>45660.916666666664</v>
      </c>
      <c r="B5472" t="s">
        <v>32</v>
      </c>
      <c r="C5472">
        <v>370.8</v>
      </c>
      <c r="D5472">
        <v>50.2</v>
      </c>
      <c r="E5472" t="s">
        <v>9</v>
      </c>
      <c r="F5472">
        <v>47.01</v>
      </c>
      <c r="G5472" t="s">
        <v>22</v>
      </c>
      <c r="H5472" t="s">
        <v>12</v>
      </c>
    </row>
    <row r="5473" spans="1:8" x14ac:dyDescent="0.25">
      <c r="A5473" s="1">
        <v>45660.958333333336</v>
      </c>
      <c r="B5473" t="s">
        <v>32</v>
      </c>
      <c r="C5473">
        <v>411.14</v>
      </c>
      <c r="D5473">
        <v>73.81</v>
      </c>
      <c r="E5473" t="s">
        <v>9</v>
      </c>
      <c r="F5473">
        <v>74.09</v>
      </c>
      <c r="G5473" t="s">
        <v>22</v>
      </c>
      <c r="H5473" t="s">
        <v>12</v>
      </c>
    </row>
    <row r="5474" spans="1:8" x14ac:dyDescent="0.25">
      <c r="A5474" s="1">
        <v>45661</v>
      </c>
      <c r="B5474" t="s">
        <v>32</v>
      </c>
      <c r="C5474">
        <v>408.89</v>
      </c>
      <c r="D5474">
        <v>78.819999999999993</v>
      </c>
      <c r="E5474" t="s">
        <v>9</v>
      </c>
      <c r="F5474">
        <v>52.93</v>
      </c>
      <c r="G5474" t="s">
        <v>22</v>
      </c>
      <c r="H5474" t="s">
        <v>12</v>
      </c>
    </row>
    <row r="5475" spans="1:8" x14ac:dyDescent="0.25">
      <c r="A5475" s="1">
        <v>45661.041666666664</v>
      </c>
      <c r="B5475" t="s">
        <v>32</v>
      </c>
      <c r="C5475">
        <v>428.19</v>
      </c>
      <c r="D5475">
        <v>40.68</v>
      </c>
      <c r="E5475" t="s">
        <v>9</v>
      </c>
      <c r="F5475">
        <v>74.88</v>
      </c>
      <c r="G5475" t="s">
        <v>22</v>
      </c>
      <c r="H5475" t="s">
        <v>13</v>
      </c>
    </row>
    <row r="5476" spans="1:8" x14ac:dyDescent="0.25">
      <c r="A5476" s="1">
        <v>45661.083333333336</v>
      </c>
      <c r="B5476" t="s">
        <v>32</v>
      </c>
      <c r="C5476">
        <v>75.05</v>
      </c>
      <c r="D5476">
        <v>93.85</v>
      </c>
      <c r="E5476" t="s">
        <v>14</v>
      </c>
      <c r="F5476">
        <v>78</v>
      </c>
      <c r="G5476" t="s">
        <v>22</v>
      </c>
      <c r="H5476" t="s">
        <v>12</v>
      </c>
    </row>
    <row r="5477" spans="1:8" x14ac:dyDescent="0.25">
      <c r="A5477" s="1">
        <v>45661.125</v>
      </c>
      <c r="B5477" t="s">
        <v>32</v>
      </c>
      <c r="C5477">
        <v>309.08999999999997</v>
      </c>
      <c r="D5477">
        <v>70.540000000000006</v>
      </c>
      <c r="E5477" t="s">
        <v>9</v>
      </c>
      <c r="F5477">
        <v>32.68</v>
      </c>
      <c r="G5477" t="s">
        <v>22</v>
      </c>
      <c r="H5477" t="s">
        <v>11</v>
      </c>
    </row>
    <row r="5478" spans="1:8" x14ac:dyDescent="0.25">
      <c r="A5478" s="1">
        <v>45661.166666666664</v>
      </c>
      <c r="B5478" t="s">
        <v>32</v>
      </c>
      <c r="C5478">
        <v>228.35</v>
      </c>
      <c r="D5478">
        <v>35.369999999999997</v>
      </c>
      <c r="E5478" t="s">
        <v>9</v>
      </c>
      <c r="F5478">
        <v>63.7</v>
      </c>
      <c r="G5478" t="s">
        <v>22</v>
      </c>
      <c r="H5478" t="s">
        <v>13</v>
      </c>
    </row>
    <row r="5479" spans="1:8" x14ac:dyDescent="0.25">
      <c r="A5479" s="1">
        <v>45661.208333333336</v>
      </c>
      <c r="B5479" t="s">
        <v>32</v>
      </c>
      <c r="C5479">
        <v>232.36</v>
      </c>
      <c r="D5479">
        <v>42.84</v>
      </c>
      <c r="E5479" t="s">
        <v>9</v>
      </c>
      <c r="F5479">
        <v>63.74</v>
      </c>
      <c r="G5479" t="s">
        <v>22</v>
      </c>
      <c r="H5479" t="s">
        <v>13</v>
      </c>
    </row>
    <row r="5480" spans="1:8" x14ac:dyDescent="0.25">
      <c r="A5480" s="1">
        <v>45661.25</v>
      </c>
      <c r="B5480" t="s">
        <v>32</v>
      </c>
      <c r="C5480">
        <v>165.13</v>
      </c>
      <c r="D5480">
        <v>71.099999999999994</v>
      </c>
      <c r="E5480" t="s">
        <v>9</v>
      </c>
      <c r="F5480">
        <v>75.48</v>
      </c>
      <c r="G5480" t="s">
        <v>22</v>
      </c>
      <c r="H5480" t="s">
        <v>13</v>
      </c>
    </row>
    <row r="5481" spans="1:8" x14ac:dyDescent="0.25">
      <c r="A5481" s="1">
        <v>45661.291666666664</v>
      </c>
      <c r="B5481" t="s">
        <v>32</v>
      </c>
      <c r="C5481">
        <v>93.86</v>
      </c>
      <c r="D5481">
        <v>60.37</v>
      </c>
      <c r="E5481" t="s">
        <v>9</v>
      </c>
      <c r="F5481">
        <v>87.21</v>
      </c>
      <c r="G5481" t="s">
        <v>22</v>
      </c>
      <c r="H5481" t="s">
        <v>13</v>
      </c>
    </row>
    <row r="5482" spans="1:8" x14ac:dyDescent="0.25">
      <c r="A5482" s="1">
        <v>45661.333333333336</v>
      </c>
      <c r="B5482" t="s">
        <v>32</v>
      </c>
      <c r="C5482">
        <v>238.64</v>
      </c>
      <c r="D5482">
        <v>91.06</v>
      </c>
      <c r="E5482" t="s">
        <v>14</v>
      </c>
      <c r="F5482">
        <v>83.67</v>
      </c>
      <c r="G5482" t="s">
        <v>22</v>
      </c>
      <c r="H5482" t="s">
        <v>12</v>
      </c>
    </row>
    <row r="5483" spans="1:8" x14ac:dyDescent="0.25">
      <c r="A5483" s="1">
        <v>45661.375</v>
      </c>
      <c r="B5483" t="s">
        <v>32</v>
      </c>
      <c r="C5483">
        <v>359.74</v>
      </c>
      <c r="D5483">
        <v>92.66</v>
      </c>
      <c r="E5483" t="s">
        <v>14</v>
      </c>
      <c r="F5483">
        <v>40.229999999999997</v>
      </c>
      <c r="G5483" t="s">
        <v>22</v>
      </c>
      <c r="H5483" t="s">
        <v>13</v>
      </c>
    </row>
    <row r="5484" spans="1:8" x14ac:dyDescent="0.25">
      <c r="A5484" s="1">
        <v>45661.416666666664</v>
      </c>
      <c r="B5484" t="s">
        <v>32</v>
      </c>
      <c r="C5484">
        <v>368.24</v>
      </c>
      <c r="D5484">
        <v>43.09</v>
      </c>
      <c r="E5484" t="s">
        <v>9</v>
      </c>
      <c r="F5484">
        <v>43.18</v>
      </c>
      <c r="G5484" t="s">
        <v>22</v>
      </c>
      <c r="H5484" t="s">
        <v>13</v>
      </c>
    </row>
    <row r="5485" spans="1:8" x14ac:dyDescent="0.25">
      <c r="A5485" s="1">
        <v>45661.458333333336</v>
      </c>
      <c r="B5485" t="s">
        <v>32</v>
      </c>
      <c r="C5485">
        <v>65.19</v>
      </c>
      <c r="D5485">
        <v>39.31</v>
      </c>
      <c r="E5485" t="s">
        <v>9</v>
      </c>
      <c r="F5485">
        <v>39.97</v>
      </c>
      <c r="G5485" t="s">
        <v>22</v>
      </c>
      <c r="H5485" t="s">
        <v>13</v>
      </c>
    </row>
    <row r="5486" spans="1:8" x14ac:dyDescent="0.25">
      <c r="A5486" s="1">
        <v>45661.5</v>
      </c>
      <c r="B5486" t="s">
        <v>32</v>
      </c>
      <c r="C5486">
        <v>236.33</v>
      </c>
      <c r="D5486">
        <v>80.2</v>
      </c>
      <c r="E5486" t="s">
        <v>9</v>
      </c>
      <c r="F5486">
        <v>53.25</v>
      </c>
      <c r="G5486" t="s">
        <v>22</v>
      </c>
      <c r="H5486" t="s">
        <v>12</v>
      </c>
    </row>
    <row r="5487" spans="1:8" x14ac:dyDescent="0.25">
      <c r="A5487" s="1">
        <v>45661.541666666664</v>
      </c>
      <c r="B5487" t="s">
        <v>32</v>
      </c>
      <c r="C5487">
        <v>289.14</v>
      </c>
      <c r="D5487">
        <v>74.64</v>
      </c>
      <c r="E5487" t="s">
        <v>9</v>
      </c>
      <c r="F5487">
        <v>44.46</v>
      </c>
      <c r="G5487" t="s">
        <v>22</v>
      </c>
      <c r="H5487" t="s">
        <v>13</v>
      </c>
    </row>
    <row r="5488" spans="1:8" x14ac:dyDescent="0.25">
      <c r="A5488" s="1">
        <v>45661.583333333336</v>
      </c>
      <c r="B5488" t="s">
        <v>32</v>
      </c>
      <c r="C5488">
        <v>304.89999999999998</v>
      </c>
      <c r="D5488">
        <v>87.06</v>
      </c>
      <c r="E5488" t="s">
        <v>14</v>
      </c>
      <c r="F5488">
        <v>84.12</v>
      </c>
      <c r="G5488" t="s">
        <v>22</v>
      </c>
      <c r="H5488" t="s">
        <v>12</v>
      </c>
    </row>
    <row r="5489" spans="1:8" x14ac:dyDescent="0.25">
      <c r="A5489" s="1">
        <v>45661.625</v>
      </c>
      <c r="B5489" t="s">
        <v>32</v>
      </c>
      <c r="C5489">
        <v>351.13</v>
      </c>
      <c r="D5489">
        <v>37.17</v>
      </c>
      <c r="E5489" t="s">
        <v>9</v>
      </c>
      <c r="F5489">
        <v>70.86</v>
      </c>
      <c r="G5489" t="s">
        <v>22</v>
      </c>
      <c r="H5489" t="s">
        <v>11</v>
      </c>
    </row>
    <row r="5490" spans="1:8" x14ac:dyDescent="0.25">
      <c r="A5490" s="1">
        <v>45661.666666666664</v>
      </c>
      <c r="B5490" t="s">
        <v>32</v>
      </c>
      <c r="C5490">
        <v>67.97</v>
      </c>
      <c r="D5490">
        <v>18.48</v>
      </c>
      <c r="E5490" t="s">
        <v>9</v>
      </c>
      <c r="F5490">
        <v>50.93</v>
      </c>
      <c r="G5490" t="s">
        <v>22</v>
      </c>
      <c r="H5490" t="s">
        <v>13</v>
      </c>
    </row>
    <row r="5491" spans="1:8" x14ac:dyDescent="0.25">
      <c r="A5491" s="1">
        <v>45661.708333333336</v>
      </c>
      <c r="B5491" t="s">
        <v>32</v>
      </c>
      <c r="C5491">
        <v>436.05</v>
      </c>
      <c r="D5491">
        <v>74.41</v>
      </c>
      <c r="E5491" t="s">
        <v>9</v>
      </c>
      <c r="F5491">
        <v>31.58</v>
      </c>
      <c r="G5491" t="s">
        <v>22</v>
      </c>
      <c r="H5491" t="s">
        <v>11</v>
      </c>
    </row>
    <row r="5492" spans="1:8" x14ac:dyDescent="0.25">
      <c r="A5492" s="1">
        <v>45661.75</v>
      </c>
      <c r="B5492" t="s">
        <v>32</v>
      </c>
      <c r="C5492">
        <v>248.96</v>
      </c>
      <c r="D5492">
        <v>75.31</v>
      </c>
      <c r="E5492" t="s">
        <v>9</v>
      </c>
      <c r="F5492">
        <v>46.78</v>
      </c>
      <c r="G5492" t="s">
        <v>22</v>
      </c>
      <c r="H5492" t="s">
        <v>12</v>
      </c>
    </row>
    <row r="5493" spans="1:8" x14ac:dyDescent="0.25">
      <c r="A5493" s="1">
        <v>45661.791666666664</v>
      </c>
      <c r="B5493" t="s">
        <v>32</v>
      </c>
      <c r="C5493">
        <v>462.13</v>
      </c>
      <c r="D5493">
        <v>46.89</v>
      </c>
      <c r="E5493" t="s">
        <v>9</v>
      </c>
      <c r="F5493">
        <v>83.79</v>
      </c>
      <c r="G5493" t="s">
        <v>22</v>
      </c>
      <c r="H5493" t="s">
        <v>13</v>
      </c>
    </row>
    <row r="5494" spans="1:8" x14ac:dyDescent="0.25">
      <c r="A5494" s="1">
        <v>45661.833333333336</v>
      </c>
      <c r="B5494" t="s">
        <v>32</v>
      </c>
      <c r="C5494">
        <v>262.19</v>
      </c>
      <c r="D5494">
        <v>41.29</v>
      </c>
      <c r="E5494" t="s">
        <v>9</v>
      </c>
      <c r="F5494">
        <v>52.46</v>
      </c>
      <c r="G5494" t="s">
        <v>22</v>
      </c>
      <c r="H5494" t="s">
        <v>13</v>
      </c>
    </row>
    <row r="5495" spans="1:8" x14ac:dyDescent="0.25">
      <c r="A5495" s="1">
        <v>45661.875</v>
      </c>
      <c r="B5495" t="s">
        <v>32</v>
      </c>
      <c r="C5495">
        <v>467.59</v>
      </c>
      <c r="D5495">
        <v>34.74</v>
      </c>
      <c r="E5495" t="s">
        <v>9</v>
      </c>
      <c r="F5495">
        <v>52.04</v>
      </c>
      <c r="G5495" t="s">
        <v>22</v>
      </c>
      <c r="H5495" t="s">
        <v>12</v>
      </c>
    </row>
    <row r="5496" spans="1:8" x14ac:dyDescent="0.25">
      <c r="A5496" s="1">
        <v>45661.916666666664</v>
      </c>
      <c r="B5496" t="s">
        <v>32</v>
      </c>
      <c r="C5496">
        <v>52.51</v>
      </c>
      <c r="D5496">
        <v>94.44</v>
      </c>
      <c r="E5496" t="s">
        <v>14</v>
      </c>
      <c r="F5496">
        <v>75.39</v>
      </c>
      <c r="G5496" t="s">
        <v>22</v>
      </c>
      <c r="H5496" t="s">
        <v>12</v>
      </c>
    </row>
    <row r="5497" spans="1:8" x14ac:dyDescent="0.25">
      <c r="A5497" s="1">
        <v>45661.958333333336</v>
      </c>
      <c r="B5497" t="s">
        <v>32</v>
      </c>
      <c r="C5497">
        <v>479.54</v>
      </c>
      <c r="D5497">
        <v>43.7</v>
      </c>
      <c r="E5497" t="s">
        <v>9</v>
      </c>
      <c r="F5497">
        <v>40.36</v>
      </c>
      <c r="G5497" t="s">
        <v>22</v>
      </c>
      <c r="H5497" t="s">
        <v>11</v>
      </c>
    </row>
    <row r="5498" spans="1:8" x14ac:dyDescent="0.25">
      <c r="A5498" s="1">
        <v>45662</v>
      </c>
      <c r="B5498" t="s">
        <v>32</v>
      </c>
      <c r="C5498">
        <v>65.97</v>
      </c>
      <c r="D5498">
        <v>81.72</v>
      </c>
      <c r="E5498" t="s">
        <v>9</v>
      </c>
      <c r="F5498">
        <v>83.79</v>
      </c>
      <c r="G5498" t="s">
        <v>22</v>
      </c>
      <c r="H5498" t="s">
        <v>12</v>
      </c>
    </row>
    <row r="5499" spans="1:8" x14ac:dyDescent="0.25">
      <c r="A5499" s="1">
        <v>45662.041666666664</v>
      </c>
      <c r="B5499" t="s">
        <v>32</v>
      </c>
      <c r="C5499">
        <v>370.88</v>
      </c>
      <c r="D5499">
        <v>94.42</v>
      </c>
      <c r="E5499" t="s">
        <v>14</v>
      </c>
      <c r="F5499">
        <v>84.57</v>
      </c>
      <c r="G5499" t="s">
        <v>22</v>
      </c>
      <c r="H5499" t="s">
        <v>13</v>
      </c>
    </row>
    <row r="5500" spans="1:8" x14ac:dyDescent="0.25">
      <c r="A5500" s="1">
        <v>45662.083333333336</v>
      </c>
      <c r="B5500" t="s">
        <v>32</v>
      </c>
      <c r="C5500">
        <v>239.82</v>
      </c>
      <c r="D5500">
        <v>48.24</v>
      </c>
      <c r="E5500" t="s">
        <v>9</v>
      </c>
      <c r="F5500">
        <v>75.599999999999994</v>
      </c>
      <c r="G5500" t="s">
        <v>22</v>
      </c>
      <c r="H5500" t="s">
        <v>13</v>
      </c>
    </row>
    <row r="5501" spans="1:8" x14ac:dyDescent="0.25">
      <c r="A5501" s="1">
        <v>45662.125</v>
      </c>
      <c r="B5501" t="s">
        <v>32</v>
      </c>
      <c r="C5501">
        <v>92.65</v>
      </c>
      <c r="D5501">
        <v>59.59</v>
      </c>
      <c r="E5501" t="s">
        <v>9</v>
      </c>
      <c r="F5501">
        <v>75.7</v>
      </c>
      <c r="G5501" t="s">
        <v>22</v>
      </c>
      <c r="H5501" t="s">
        <v>11</v>
      </c>
    </row>
    <row r="5502" spans="1:8" x14ac:dyDescent="0.25">
      <c r="A5502" s="1">
        <v>45662.166666666664</v>
      </c>
      <c r="B5502" t="s">
        <v>32</v>
      </c>
      <c r="C5502">
        <v>189.68</v>
      </c>
      <c r="D5502">
        <v>63.23</v>
      </c>
      <c r="E5502" t="s">
        <v>9</v>
      </c>
      <c r="F5502">
        <v>51.96</v>
      </c>
      <c r="G5502" t="s">
        <v>22</v>
      </c>
      <c r="H5502" t="s">
        <v>13</v>
      </c>
    </row>
    <row r="5503" spans="1:8" x14ac:dyDescent="0.25">
      <c r="A5503" s="1">
        <v>45662.208333333336</v>
      </c>
      <c r="B5503" t="s">
        <v>32</v>
      </c>
      <c r="C5503">
        <v>193.33</v>
      </c>
      <c r="D5503">
        <v>48.43</v>
      </c>
      <c r="E5503" t="s">
        <v>9</v>
      </c>
      <c r="F5503">
        <v>78.260000000000005</v>
      </c>
      <c r="G5503" t="s">
        <v>22</v>
      </c>
      <c r="H5503" t="s">
        <v>11</v>
      </c>
    </row>
    <row r="5504" spans="1:8" x14ac:dyDescent="0.25">
      <c r="A5504" s="1">
        <v>45662.25</v>
      </c>
      <c r="B5504" t="s">
        <v>32</v>
      </c>
      <c r="C5504">
        <v>139.69999999999999</v>
      </c>
      <c r="D5504">
        <v>62.62</v>
      </c>
      <c r="E5504" t="s">
        <v>9</v>
      </c>
      <c r="F5504">
        <v>64.290000000000006</v>
      </c>
      <c r="G5504" t="s">
        <v>22</v>
      </c>
      <c r="H5504" t="s">
        <v>13</v>
      </c>
    </row>
    <row r="5505" spans="1:8" x14ac:dyDescent="0.25">
      <c r="A5505" s="1">
        <v>45662.291666666664</v>
      </c>
      <c r="B5505" t="s">
        <v>32</v>
      </c>
      <c r="C5505">
        <v>247.95</v>
      </c>
      <c r="D5505">
        <v>68.72</v>
      </c>
      <c r="E5505" t="s">
        <v>9</v>
      </c>
      <c r="F5505">
        <v>49.11</v>
      </c>
      <c r="G5505" t="s">
        <v>22</v>
      </c>
      <c r="H5505" t="s">
        <v>13</v>
      </c>
    </row>
    <row r="5506" spans="1:8" x14ac:dyDescent="0.25">
      <c r="A5506" s="1">
        <v>45662.333333333336</v>
      </c>
      <c r="B5506" t="s">
        <v>32</v>
      </c>
      <c r="C5506">
        <v>326.86</v>
      </c>
      <c r="D5506">
        <v>32.159999999999997</v>
      </c>
      <c r="E5506" t="s">
        <v>9</v>
      </c>
      <c r="F5506">
        <v>70.89</v>
      </c>
      <c r="G5506" t="s">
        <v>22</v>
      </c>
      <c r="H5506" t="s">
        <v>11</v>
      </c>
    </row>
    <row r="5507" spans="1:8" x14ac:dyDescent="0.25">
      <c r="A5507" s="1">
        <v>45662.375</v>
      </c>
      <c r="B5507" t="s">
        <v>32</v>
      </c>
      <c r="C5507">
        <v>245.43</v>
      </c>
      <c r="D5507">
        <v>70.11</v>
      </c>
      <c r="E5507" t="s">
        <v>9</v>
      </c>
      <c r="F5507">
        <v>57.14</v>
      </c>
      <c r="G5507" t="s">
        <v>22</v>
      </c>
      <c r="H5507" t="s">
        <v>11</v>
      </c>
    </row>
    <row r="5508" spans="1:8" x14ac:dyDescent="0.25">
      <c r="A5508" s="1">
        <v>45662.416666666664</v>
      </c>
      <c r="B5508" t="s">
        <v>32</v>
      </c>
      <c r="C5508">
        <v>446.08</v>
      </c>
      <c r="D5508">
        <v>48.7</v>
      </c>
      <c r="E5508" t="s">
        <v>9</v>
      </c>
      <c r="F5508">
        <v>34.44</v>
      </c>
      <c r="G5508" t="s">
        <v>22</v>
      </c>
      <c r="H5508" t="s">
        <v>11</v>
      </c>
    </row>
    <row r="5509" spans="1:8" x14ac:dyDescent="0.25">
      <c r="A5509" s="1">
        <v>45662.458333333336</v>
      </c>
      <c r="B5509" t="s">
        <v>32</v>
      </c>
      <c r="C5509">
        <v>105.09</v>
      </c>
      <c r="D5509">
        <v>60.15</v>
      </c>
      <c r="E5509" t="s">
        <v>9</v>
      </c>
      <c r="F5509">
        <v>42.95</v>
      </c>
      <c r="G5509" t="s">
        <v>22</v>
      </c>
      <c r="H5509" t="s">
        <v>12</v>
      </c>
    </row>
    <row r="5510" spans="1:8" x14ac:dyDescent="0.25">
      <c r="A5510" s="1">
        <v>45662.5</v>
      </c>
      <c r="B5510" t="s">
        <v>32</v>
      </c>
      <c r="C5510">
        <v>195.99</v>
      </c>
      <c r="D5510">
        <v>27.25</v>
      </c>
      <c r="E5510" t="s">
        <v>9</v>
      </c>
      <c r="F5510">
        <v>33.58</v>
      </c>
      <c r="G5510" t="s">
        <v>22</v>
      </c>
      <c r="H5510" t="s">
        <v>12</v>
      </c>
    </row>
    <row r="5511" spans="1:8" x14ac:dyDescent="0.25">
      <c r="A5511" s="1">
        <v>45662.541666666664</v>
      </c>
      <c r="B5511" t="s">
        <v>32</v>
      </c>
      <c r="C5511">
        <v>173.39</v>
      </c>
      <c r="D5511">
        <v>60.8</v>
      </c>
      <c r="E5511" t="s">
        <v>9</v>
      </c>
      <c r="F5511">
        <v>48.54</v>
      </c>
      <c r="G5511" t="s">
        <v>22</v>
      </c>
      <c r="H5511" t="s">
        <v>12</v>
      </c>
    </row>
    <row r="5512" spans="1:8" x14ac:dyDescent="0.25">
      <c r="A5512" s="1">
        <v>45662.583333333336</v>
      </c>
      <c r="B5512" t="s">
        <v>32</v>
      </c>
      <c r="C5512">
        <v>386.35</v>
      </c>
      <c r="D5512">
        <v>45.01</v>
      </c>
      <c r="E5512" t="s">
        <v>9</v>
      </c>
      <c r="F5512">
        <v>70.52</v>
      </c>
      <c r="G5512" t="s">
        <v>22</v>
      </c>
      <c r="H5512" t="s">
        <v>12</v>
      </c>
    </row>
    <row r="5513" spans="1:8" x14ac:dyDescent="0.25">
      <c r="A5513" s="1">
        <v>45662.625</v>
      </c>
      <c r="B5513" t="s">
        <v>32</v>
      </c>
      <c r="C5513">
        <v>245.42</v>
      </c>
      <c r="D5513">
        <v>41.63</v>
      </c>
      <c r="E5513" t="s">
        <v>9</v>
      </c>
      <c r="F5513">
        <v>66.45</v>
      </c>
      <c r="G5513" t="s">
        <v>22</v>
      </c>
      <c r="H5513" t="s">
        <v>13</v>
      </c>
    </row>
    <row r="5514" spans="1:8" x14ac:dyDescent="0.25">
      <c r="A5514" s="1">
        <v>45662.666666666664</v>
      </c>
      <c r="B5514" t="s">
        <v>32</v>
      </c>
      <c r="C5514">
        <v>140.54</v>
      </c>
      <c r="D5514">
        <v>29.01</v>
      </c>
      <c r="E5514" t="s">
        <v>9</v>
      </c>
      <c r="F5514">
        <v>87.49</v>
      </c>
      <c r="G5514" t="s">
        <v>22</v>
      </c>
      <c r="H5514" t="s">
        <v>12</v>
      </c>
    </row>
    <row r="5515" spans="1:8" x14ac:dyDescent="0.25">
      <c r="A5515" s="1">
        <v>45662.708333333336</v>
      </c>
      <c r="B5515" t="s">
        <v>32</v>
      </c>
      <c r="C5515">
        <v>268.52999999999997</v>
      </c>
      <c r="D5515">
        <v>33.26</v>
      </c>
      <c r="E5515" t="s">
        <v>9</v>
      </c>
      <c r="F5515">
        <v>52.98</v>
      </c>
      <c r="G5515" t="s">
        <v>22</v>
      </c>
      <c r="H5515" t="s">
        <v>11</v>
      </c>
    </row>
    <row r="5516" spans="1:8" x14ac:dyDescent="0.25">
      <c r="A5516" s="1">
        <v>45662.75</v>
      </c>
      <c r="B5516" t="s">
        <v>32</v>
      </c>
      <c r="C5516">
        <v>158.75</v>
      </c>
      <c r="D5516">
        <v>30.74</v>
      </c>
      <c r="E5516" t="s">
        <v>9</v>
      </c>
      <c r="F5516">
        <v>53.81</v>
      </c>
      <c r="G5516" t="s">
        <v>22</v>
      </c>
      <c r="H5516" t="s">
        <v>13</v>
      </c>
    </row>
    <row r="5517" spans="1:8" x14ac:dyDescent="0.25">
      <c r="A5517" s="1">
        <v>45662.791666666664</v>
      </c>
      <c r="B5517" t="s">
        <v>32</v>
      </c>
      <c r="C5517">
        <v>77.650000000000006</v>
      </c>
      <c r="D5517">
        <v>31.69</v>
      </c>
      <c r="E5517" t="s">
        <v>9</v>
      </c>
      <c r="F5517">
        <v>83.59</v>
      </c>
      <c r="G5517" t="s">
        <v>22</v>
      </c>
      <c r="H5517" t="s">
        <v>11</v>
      </c>
    </row>
    <row r="5518" spans="1:8" x14ac:dyDescent="0.25">
      <c r="A5518" s="1">
        <v>45662.833333333336</v>
      </c>
      <c r="B5518" t="s">
        <v>32</v>
      </c>
      <c r="C5518">
        <v>169.75</v>
      </c>
      <c r="D5518">
        <v>46.06</v>
      </c>
      <c r="E5518" t="s">
        <v>9</v>
      </c>
      <c r="F5518">
        <v>73.88</v>
      </c>
      <c r="G5518" t="s">
        <v>22</v>
      </c>
      <c r="H5518" t="s">
        <v>13</v>
      </c>
    </row>
    <row r="5519" spans="1:8" x14ac:dyDescent="0.25">
      <c r="A5519" s="1">
        <v>45662.875</v>
      </c>
      <c r="B5519" t="s">
        <v>32</v>
      </c>
      <c r="C5519">
        <v>222.4</v>
      </c>
      <c r="D5519">
        <v>22.24</v>
      </c>
      <c r="E5519" t="s">
        <v>9</v>
      </c>
      <c r="F5519">
        <v>64.95</v>
      </c>
      <c r="G5519" t="s">
        <v>22</v>
      </c>
      <c r="H5519" t="s">
        <v>13</v>
      </c>
    </row>
    <row r="5520" spans="1:8" x14ac:dyDescent="0.25">
      <c r="A5520" s="1">
        <v>45662.916666666664</v>
      </c>
      <c r="B5520" t="s">
        <v>32</v>
      </c>
      <c r="C5520">
        <v>338.26</v>
      </c>
      <c r="D5520">
        <v>41.4</v>
      </c>
      <c r="E5520" t="s">
        <v>9</v>
      </c>
      <c r="F5520">
        <v>32.61</v>
      </c>
      <c r="G5520" t="s">
        <v>22</v>
      </c>
      <c r="H5520" t="s">
        <v>12</v>
      </c>
    </row>
    <row r="5521" spans="1:8" x14ac:dyDescent="0.25">
      <c r="A5521" s="1">
        <v>45662.958333333336</v>
      </c>
      <c r="B5521" t="s">
        <v>32</v>
      </c>
      <c r="C5521">
        <v>283.76</v>
      </c>
      <c r="D5521">
        <v>65.48</v>
      </c>
      <c r="E5521" t="s">
        <v>9</v>
      </c>
      <c r="F5521">
        <v>71.42</v>
      </c>
      <c r="G5521" t="s">
        <v>22</v>
      </c>
      <c r="H5521" t="s">
        <v>13</v>
      </c>
    </row>
    <row r="5522" spans="1:8" x14ac:dyDescent="0.25">
      <c r="A5522" s="1">
        <v>45663</v>
      </c>
      <c r="B5522" t="s">
        <v>32</v>
      </c>
      <c r="C5522">
        <v>52.7</v>
      </c>
      <c r="D5522">
        <v>28.78</v>
      </c>
      <c r="E5522" t="s">
        <v>9</v>
      </c>
      <c r="F5522">
        <v>58.45</v>
      </c>
      <c r="G5522" t="s">
        <v>22</v>
      </c>
      <c r="H5522" t="s">
        <v>11</v>
      </c>
    </row>
    <row r="5523" spans="1:8" x14ac:dyDescent="0.25">
      <c r="A5523" s="1">
        <v>45663.041666666664</v>
      </c>
      <c r="B5523" t="s">
        <v>32</v>
      </c>
      <c r="C5523">
        <v>443.47</v>
      </c>
      <c r="D5523">
        <v>25.57</v>
      </c>
      <c r="E5523" t="s">
        <v>9</v>
      </c>
      <c r="F5523">
        <v>82.52</v>
      </c>
      <c r="G5523" t="s">
        <v>22</v>
      </c>
      <c r="H5523" t="s">
        <v>11</v>
      </c>
    </row>
    <row r="5524" spans="1:8" x14ac:dyDescent="0.25">
      <c r="A5524" s="1">
        <v>45663.083333333336</v>
      </c>
      <c r="B5524" t="s">
        <v>32</v>
      </c>
      <c r="C5524">
        <v>163.43</v>
      </c>
      <c r="D5524">
        <v>22.98</v>
      </c>
      <c r="E5524" t="s">
        <v>9</v>
      </c>
      <c r="F5524">
        <v>83.93</v>
      </c>
      <c r="G5524" t="s">
        <v>22</v>
      </c>
      <c r="H5524" t="s">
        <v>13</v>
      </c>
    </row>
    <row r="5525" spans="1:8" x14ac:dyDescent="0.25">
      <c r="A5525" s="1">
        <v>45663.125</v>
      </c>
      <c r="B5525" t="s">
        <v>32</v>
      </c>
      <c r="C5525">
        <v>277.95</v>
      </c>
      <c r="D5525">
        <v>42.66</v>
      </c>
      <c r="E5525" t="s">
        <v>9</v>
      </c>
      <c r="F5525">
        <v>68.83</v>
      </c>
      <c r="G5525" t="s">
        <v>22</v>
      </c>
      <c r="H5525" t="s">
        <v>12</v>
      </c>
    </row>
    <row r="5526" spans="1:8" x14ac:dyDescent="0.25">
      <c r="A5526" s="1">
        <v>45663.166666666664</v>
      </c>
      <c r="B5526" t="s">
        <v>32</v>
      </c>
      <c r="C5526">
        <v>195.79</v>
      </c>
      <c r="D5526">
        <v>73.87</v>
      </c>
      <c r="E5526" t="s">
        <v>9</v>
      </c>
      <c r="F5526">
        <v>66.86</v>
      </c>
      <c r="G5526" t="s">
        <v>22</v>
      </c>
      <c r="H5526" t="s">
        <v>12</v>
      </c>
    </row>
    <row r="5527" spans="1:8" x14ac:dyDescent="0.25">
      <c r="A5527" s="1">
        <v>45663.208333333336</v>
      </c>
      <c r="B5527" t="s">
        <v>32</v>
      </c>
      <c r="C5527">
        <v>415.75</v>
      </c>
      <c r="D5527">
        <v>78.709999999999994</v>
      </c>
      <c r="E5527" t="s">
        <v>9</v>
      </c>
      <c r="F5527">
        <v>89.34</v>
      </c>
      <c r="G5527" t="s">
        <v>22</v>
      </c>
      <c r="H5527" t="s">
        <v>12</v>
      </c>
    </row>
    <row r="5528" spans="1:8" x14ac:dyDescent="0.25">
      <c r="A5528" s="1">
        <v>45663.25</v>
      </c>
      <c r="B5528" t="s">
        <v>32</v>
      </c>
      <c r="C5528">
        <v>198.39</v>
      </c>
      <c r="D5528">
        <v>54.7</v>
      </c>
      <c r="E5528" t="s">
        <v>9</v>
      </c>
      <c r="F5528">
        <v>46.98</v>
      </c>
      <c r="G5528" t="s">
        <v>22</v>
      </c>
      <c r="H5528" t="s">
        <v>13</v>
      </c>
    </row>
    <row r="5529" spans="1:8" x14ac:dyDescent="0.25">
      <c r="A5529" s="1">
        <v>45663.291666666664</v>
      </c>
      <c r="B5529" t="s">
        <v>32</v>
      </c>
      <c r="C5529">
        <v>277.87</v>
      </c>
      <c r="D5529">
        <v>91.54</v>
      </c>
      <c r="E5529" t="s">
        <v>14</v>
      </c>
      <c r="F5529">
        <v>88.36</v>
      </c>
      <c r="G5529" t="s">
        <v>22</v>
      </c>
      <c r="H5529" t="s">
        <v>12</v>
      </c>
    </row>
    <row r="5530" spans="1:8" x14ac:dyDescent="0.25">
      <c r="A5530" s="1">
        <v>45663.333333333336</v>
      </c>
      <c r="B5530" t="s">
        <v>32</v>
      </c>
      <c r="C5530">
        <v>344.13</v>
      </c>
      <c r="D5530">
        <v>31.06</v>
      </c>
      <c r="E5530" t="s">
        <v>9</v>
      </c>
      <c r="F5530">
        <v>49.53</v>
      </c>
      <c r="G5530" t="s">
        <v>22</v>
      </c>
      <c r="H5530" t="s">
        <v>12</v>
      </c>
    </row>
    <row r="5531" spans="1:8" x14ac:dyDescent="0.25">
      <c r="A5531" s="1">
        <v>45663.375</v>
      </c>
      <c r="B5531" t="s">
        <v>32</v>
      </c>
      <c r="C5531">
        <v>180.77</v>
      </c>
      <c r="D5531">
        <v>93.83</v>
      </c>
      <c r="E5531" t="s">
        <v>14</v>
      </c>
      <c r="F5531">
        <v>78.86</v>
      </c>
      <c r="G5531" t="s">
        <v>22</v>
      </c>
      <c r="H5531" t="s">
        <v>11</v>
      </c>
    </row>
    <row r="5532" spans="1:8" x14ac:dyDescent="0.25">
      <c r="A5532" s="1">
        <v>45663.416666666664</v>
      </c>
      <c r="B5532" t="s">
        <v>32</v>
      </c>
      <c r="C5532">
        <v>321.18</v>
      </c>
      <c r="D5532">
        <v>94.86</v>
      </c>
      <c r="E5532" t="s">
        <v>14</v>
      </c>
      <c r="F5532">
        <v>36.049999999999997</v>
      </c>
      <c r="G5532" t="s">
        <v>22</v>
      </c>
      <c r="H5532" t="s">
        <v>12</v>
      </c>
    </row>
    <row r="5533" spans="1:8" x14ac:dyDescent="0.25">
      <c r="A5533" s="1">
        <v>45663.458333333336</v>
      </c>
      <c r="B5533" t="s">
        <v>32</v>
      </c>
      <c r="C5533">
        <v>189.24</v>
      </c>
      <c r="D5533">
        <v>75.34</v>
      </c>
      <c r="E5533" t="s">
        <v>9</v>
      </c>
      <c r="F5533">
        <v>63.49</v>
      </c>
      <c r="G5533" t="s">
        <v>22</v>
      </c>
      <c r="H5533" t="s">
        <v>11</v>
      </c>
    </row>
    <row r="5534" spans="1:8" x14ac:dyDescent="0.25">
      <c r="A5534" s="1">
        <v>45663.5</v>
      </c>
      <c r="B5534" t="s">
        <v>32</v>
      </c>
      <c r="C5534">
        <v>57.87</v>
      </c>
      <c r="D5534">
        <v>45.09</v>
      </c>
      <c r="E5534" t="s">
        <v>9</v>
      </c>
      <c r="F5534">
        <v>62.86</v>
      </c>
      <c r="G5534" t="s">
        <v>22</v>
      </c>
      <c r="H5534" t="s">
        <v>13</v>
      </c>
    </row>
    <row r="5535" spans="1:8" x14ac:dyDescent="0.25">
      <c r="A5535" s="1">
        <v>45663.541666666664</v>
      </c>
      <c r="B5535" t="s">
        <v>32</v>
      </c>
      <c r="C5535">
        <v>233.32</v>
      </c>
      <c r="D5535">
        <v>87.84</v>
      </c>
      <c r="E5535" t="s">
        <v>14</v>
      </c>
      <c r="F5535">
        <v>76.89</v>
      </c>
      <c r="G5535" t="s">
        <v>22</v>
      </c>
      <c r="H5535" t="s">
        <v>12</v>
      </c>
    </row>
    <row r="5536" spans="1:8" x14ac:dyDescent="0.25">
      <c r="A5536" s="1">
        <v>45663.583333333336</v>
      </c>
      <c r="B5536" t="s">
        <v>32</v>
      </c>
      <c r="C5536">
        <v>73.73</v>
      </c>
      <c r="D5536">
        <v>67.8</v>
      </c>
      <c r="E5536" t="s">
        <v>9</v>
      </c>
      <c r="F5536">
        <v>33.4</v>
      </c>
      <c r="G5536" t="s">
        <v>22</v>
      </c>
      <c r="H5536" t="s">
        <v>11</v>
      </c>
    </row>
    <row r="5537" spans="1:8" x14ac:dyDescent="0.25">
      <c r="A5537" s="1">
        <v>45663.625</v>
      </c>
      <c r="B5537" t="s">
        <v>32</v>
      </c>
      <c r="C5537">
        <v>117.36</v>
      </c>
      <c r="D5537">
        <v>81.84</v>
      </c>
      <c r="E5537" t="s">
        <v>9</v>
      </c>
      <c r="F5537">
        <v>46.78</v>
      </c>
      <c r="G5537" t="s">
        <v>22</v>
      </c>
      <c r="H5537" t="s">
        <v>11</v>
      </c>
    </row>
    <row r="5538" spans="1:8" x14ac:dyDescent="0.25">
      <c r="A5538" s="1">
        <v>45663.666666666664</v>
      </c>
      <c r="B5538" t="s">
        <v>32</v>
      </c>
      <c r="C5538">
        <v>59.4</v>
      </c>
      <c r="D5538">
        <v>23.56</v>
      </c>
      <c r="E5538" t="s">
        <v>9</v>
      </c>
      <c r="F5538">
        <v>86.98</v>
      </c>
      <c r="G5538" t="s">
        <v>22</v>
      </c>
      <c r="H5538" t="s">
        <v>12</v>
      </c>
    </row>
    <row r="5539" spans="1:8" x14ac:dyDescent="0.25">
      <c r="A5539" s="1">
        <v>45663.708333333336</v>
      </c>
      <c r="B5539" t="s">
        <v>32</v>
      </c>
      <c r="C5539">
        <v>167.08</v>
      </c>
      <c r="D5539">
        <v>72.900000000000006</v>
      </c>
      <c r="E5539" t="s">
        <v>9</v>
      </c>
      <c r="F5539">
        <v>76.42</v>
      </c>
      <c r="G5539" t="s">
        <v>22</v>
      </c>
      <c r="H5539" t="s">
        <v>12</v>
      </c>
    </row>
    <row r="5540" spans="1:8" x14ac:dyDescent="0.25">
      <c r="A5540" s="1">
        <v>45663.75</v>
      </c>
      <c r="B5540" t="s">
        <v>32</v>
      </c>
      <c r="C5540">
        <v>93.96</v>
      </c>
      <c r="D5540">
        <v>21.67</v>
      </c>
      <c r="E5540" t="s">
        <v>9</v>
      </c>
      <c r="F5540">
        <v>35.159999999999997</v>
      </c>
      <c r="G5540" t="s">
        <v>22</v>
      </c>
      <c r="H5540" t="s">
        <v>12</v>
      </c>
    </row>
    <row r="5541" spans="1:8" x14ac:dyDescent="0.25">
      <c r="A5541" s="1">
        <v>45663.791666666664</v>
      </c>
      <c r="B5541" t="s">
        <v>32</v>
      </c>
      <c r="C5541">
        <v>166.01</v>
      </c>
      <c r="D5541">
        <v>39.130000000000003</v>
      </c>
      <c r="E5541" t="s">
        <v>9</v>
      </c>
      <c r="F5541">
        <v>58.71</v>
      </c>
      <c r="G5541" t="s">
        <v>22</v>
      </c>
      <c r="H5541" t="s">
        <v>12</v>
      </c>
    </row>
    <row r="5542" spans="1:8" x14ac:dyDescent="0.25">
      <c r="A5542" s="1">
        <v>45663.833333333336</v>
      </c>
      <c r="B5542" t="s">
        <v>32</v>
      </c>
      <c r="C5542">
        <v>484.36</v>
      </c>
      <c r="D5542">
        <v>48.47</v>
      </c>
      <c r="E5542" t="s">
        <v>9</v>
      </c>
      <c r="F5542">
        <v>65.900000000000006</v>
      </c>
      <c r="G5542" t="s">
        <v>22</v>
      </c>
      <c r="H5542" t="s">
        <v>13</v>
      </c>
    </row>
    <row r="5543" spans="1:8" x14ac:dyDescent="0.25">
      <c r="A5543" s="1">
        <v>45663.875</v>
      </c>
      <c r="B5543" t="s">
        <v>32</v>
      </c>
      <c r="C5543">
        <v>106.82</v>
      </c>
      <c r="D5543">
        <v>51.53</v>
      </c>
      <c r="E5543" t="s">
        <v>9</v>
      </c>
      <c r="F5543">
        <v>73.86</v>
      </c>
      <c r="G5543" t="s">
        <v>22</v>
      </c>
      <c r="H5543" t="s">
        <v>12</v>
      </c>
    </row>
    <row r="5544" spans="1:8" x14ac:dyDescent="0.25">
      <c r="A5544" s="1">
        <v>45663.916666666664</v>
      </c>
      <c r="B5544" t="s">
        <v>32</v>
      </c>
      <c r="C5544">
        <v>153.77000000000001</v>
      </c>
      <c r="D5544">
        <v>21.94</v>
      </c>
      <c r="E5544" t="s">
        <v>9</v>
      </c>
      <c r="F5544">
        <v>58.73</v>
      </c>
      <c r="G5544" t="s">
        <v>22</v>
      </c>
      <c r="H5544" t="s">
        <v>11</v>
      </c>
    </row>
    <row r="5545" spans="1:8" x14ac:dyDescent="0.25">
      <c r="A5545" s="1">
        <v>45663.958333333336</v>
      </c>
      <c r="B5545" t="s">
        <v>32</v>
      </c>
      <c r="C5545">
        <v>136.83000000000001</v>
      </c>
      <c r="D5545">
        <v>25.88</v>
      </c>
      <c r="E5545" t="s">
        <v>9</v>
      </c>
      <c r="F5545">
        <v>77.510000000000005</v>
      </c>
      <c r="G5545" t="s">
        <v>22</v>
      </c>
      <c r="H5545" t="s">
        <v>11</v>
      </c>
    </row>
    <row r="5546" spans="1:8" x14ac:dyDescent="0.25">
      <c r="A5546" s="1">
        <v>45664</v>
      </c>
      <c r="B5546" t="s">
        <v>32</v>
      </c>
      <c r="C5546">
        <v>405.64</v>
      </c>
      <c r="D5546">
        <v>71.02</v>
      </c>
      <c r="E5546" t="s">
        <v>9</v>
      </c>
      <c r="F5546">
        <v>41.63</v>
      </c>
      <c r="G5546" t="s">
        <v>22</v>
      </c>
      <c r="H5546" t="s">
        <v>12</v>
      </c>
    </row>
    <row r="5547" spans="1:8" x14ac:dyDescent="0.25">
      <c r="A5547" s="1">
        <v>45664.041666666664</v>
      </c>
      <c r="B5547" t="s">
        <v>32</v>
      </c>
      <c r="C5547">
        <v>312.95</v>
      </c>
      <c r="D5547">
        <v>40.69</v>
      </c>
      <c r="E5547" t="s">
        <v>9</v>
      </c>
      <c r="F5547">
        <v>86.81</v>
      </c>
      <c r="G5547" t="s">
        <v>22</v>
      </c>
      <c r="H5547" t="s">
        <v>12</v>
      </c>
    </row>
    <row r="5548" spans="1:8" x14ac:dyDescent="0.25">
      <c r="A5548" s="1">
        <v>45664.083333333336</v>
      </c>
      <c r="B5548" t="s">
        <v>32</v>
      </c>
      <c r="C5548">
        <v>491.94</v>
      </c>
      <c r="D5548">
        <v>79.84</v>
      </c>
      <c r="E5548" t="s">
        <v>9</v>
      </c>
      <c r="F5548">
        <v>84.22</v>
      </c>
      <c r="G5548" t="s">
        <v>22</v>
      </c>
      <c r="H5548" t="s">
        <v>11</v>
      </c>
    </row>
    <row r="5549" spans="1:8" x14ac:dyDescent="0.25">
      <c r="A5549" s="1">
        <v>45664.125</v>
      </c>
      <c r="B5549" t="s">
        <v>32</v>
      </c>
      <c r="C5549">
        <v>280.74</v>
      </c>
      <c r="D5549">
        <v>38.840000000000003</v>
      </c>
      <c r="E5549" t="s">
        <v>9</v>
      </c>
      <c r="F5549">
        <v>83.54</v>
      </c>
      <c r="G5549" t="s">
        <v>22</v>
      </c>
      <c r="H5549" t="s">
        <v>11</v>
      </c>
    </row>
    <row r="5550" spans="1:8" x14ac:dyDescent="0.25">
      <c r="A5550" s="1">
        <v>45664.166666666664</v>
      </c>
      <c r="B5550" t="s">
        <v>32</v>
      </c>
      <c r="C5550">
        <v>181.41</v>
      </c>
      <c r="D5550">
        <v>26.58</v>
      </c>
      <c r="E5550" t="s">
        <v>9</v>
      </c>
      <c r="F5550">
        <v>70.34</v>
      </c>
      <c r="G5550" t="s">
        <v>22</v>
      </c>
      <c r="H5550" t="s">
        <v>12</v>
      </c>
    </row>
    <row r="5551" spans="1:8" x14ac:dyDescent="0.25">
      <c r="A5551" s="1">
        <v>45664.208333333336</v>
      </c>
      <c r="B5551" t="s">
        <v>32</v>
      </c>
      <c r="C5551">
        <v>472.94</v>
      </c>
      <c r="D5551">
        <v>27.25</v>
      </c>
      <c r="E5551" t="s">
        <v>9</v>
      </c>
      <c r="F5551">
        <v>81.17</v>
      </c>
      <c r="G5551" t="s">
        <v>22</v>
      </c>
      <c r="H5551" t="s">
        <v>13</v>
      </c>
    </row>
    <row r="5552" spans="1:8" x14ac:dyDescent="0.25">
      <c r="A5552" s="1">
        <v>45664.25</v>
      </c>
      <c r="B5552" t="s">
        <v>32</v>
      </c>
      <c r="C5552">
        <v>387.42</v>
      </c>
      <c r="D5552">
        <v>68.72</v>
      </c>
      <c r="E5552" t="s">
        <v>9</v>
      </c>
      <c r="F5552">
        <v>88.28</v>
      </c>
      <c r="G5552" t="s">
        <v>22</v>
      </c>
      <c r="H5552" t="s">
        <v>12</v>
      </c>
    </row>
    <row r="5553" spans="1:8" x14ac:dyDescent="0.25">
      <c r="A5553" s="1">
        <v>45664.291666666664</v>
      </c>
      <c r="B5553" t="s">
        <v>32</v>
      </c>
      <c r="C5553">
        <v>292.02</v>
      </c>
      <c r="D5553">
        <v>33.909999999999997</v>
      </c>
      <c r="E5553" t="s">
        <v>9</v>
      </c>
      <c r="F5553">
        <v>53.13</v>
      </c>
      <c r="G5553" t="s">
        <v>22</v>
      </c>
      <c r="H5553" t="s">
        <v>11</v>
      </c>
    </row>
    <row r="5554" spans="1:8" x14ac:dyDescent="0.25">
      <c r="A5554" s="1">
        <v>45664.333333333336</v>
      </c>
      <c r="B5554" t="s">
        <v>32</v>
      </c>
      <c r="C5554">
        <v>283.10000000000002</v>
      </c>
      <c r="D5554">
        <v>21.56</v>
      </c>
      <c r="E5554" t="s">
        <v>9</v>
      </c>
      <c r="F5554">
        <v>39.99</v>
      </c>
      <c r="G5554" t="s">
        <v>22</v>
      </c>
      <c r="H5554" t="s">
        <v>13</v>
      </c>
    </row>
    <row r="5555" spans="1:8" x14ac:dyDescent="0.25">
      <c r="A5555" s="1">
        <v>45664.375</v>
      </c>
      <c r="B5555" t="s">
        <v>32</v>
      </c>
      <c r="C5555">
        <v>164.75</v>
      </c>
      <c r="D5555">
        <v>64.31</v>
      </c>
      <c r="E5555" t="s">
        <v>9</v>
      </c>
      <c r="F5555">
        <v>56.85</v>
      </c>
      <c r="G5555" t="s">
        <v>22</v>
      </c>
      <c r="H5555" t="s">
        <v>13</v>
      </c>
    </row>
    <row r="5556" spans="1:8" x14ac:dyDescent="0.25">
      <c r="A5556" s="1">
        <v>45664.416666666664</v>
      </c>
      <c r="B5556" t="s">
        <v>32</v>
      </c>
      <c r="C5556">
        <v>474.17</v>
      </c>
      <c r="D5556">
        <v>71.2</v>
      </c>
      <c r="E5556" t="s">
        <v>9</v>
      </c>
      <c r="F5556">
        <v>45.71</v>
      </c>
      <c r="G5556" t="s">
        <v>22</v>
      </c>
      <c r="H5556" t="s">
        <v>11</v>
      </c>
    </row>
    <row r="5557" spans="1:8" x14ac:dyDescent="0.25">
      <c r="A5557" s="1">
        <v>45664.458333333336</v>
      </c>
      <c r="B5557" t="s">
        <v>32</v>
      </c>
      <c r="C5557">
        <v>260.10000000000002</v>
      </c>
      <c r="D5557">
        <v>53.89</v>
      </c>
      <c r="E5557" t="s">
        <v>9</v>
      </c>
      <c r="F5557">
        <v>62.14</v>
      </c>
      <c r="G5557" t="s">
        <v>22</v>
      </c>
      <c r="H5557" t="s">
        <v>12</v>
      </c>
    </row>
    <row r="5558" spans="1:8" x14ac:dyDescent="0.25">
      <c r="A5558" s="1">
        <v>45664.5</v>
      </c>
      <c r="B5558" t="s">
        <v>32</v>
      </c>
      <c r="C5558">
        <v>177.55</v>
      </c>
      <c r="D5558">
        <v>80.510000000000005</v>
      </c>
      <c r="E5558" t="s">
        <v>9</v>
      </c>
      <c r="F5558">
        <v>40.770000000000003</v>
      </c>
      <c r="G5558" t="s">
        <v>22</v>
      </c>
      <c r="H5558" t="s">
        <v>12</v>
      </c>
    </row>
    <row r="5559" spans="1:8" x14ac:dyDescent="0.25">
      <c r="A5559" s="1">
        <v>45664.541666666664</v>
      </c>
      <c r="B5559" t="s">
        <v>32</v>
      </c>
      <c r="C5559">
        <v>416.91</v>
      </c>
      <c r="D5559">
        <v>32.67</v>
      </c>
      <c r="E5559" t="s">
        <v>9</v>
      </c>
      <c r="F5559">
        <v>32.909999999999997</v>
      </c>
      <c r="G5559" t="s">
        <v>22</v>
      </c>
      <c r="H5559" t="s">
        <v>11</v>
      </c>
    </row>
    <row r="5560" spans="1:8" x14ac:dyDescent="0.25">
      <c r="A5560" s="1">
        <v>45664.583333333336</v>
      </c>
      <c r="B5560" t="s">
        <v>32</v>
      </c>
      <c r="C5560">
        <v>239.03</v>
      </c>
      <c r="D5560">
        <v>94.24</v>
      </c>
      <c r="E5560" t="s">
        <v>14</v>
      </c>
      <c r="F5560">
        <v>39.119999999999997</v>
      </c>
      <c r="G5560" t="s">
        <v>22</v>
      </c>
      <c r="H5560" t="s">
        <v>11</v>
      </c>
    </row>
    <row r="5561" spans="1:8" x14ac:dyDescent="0.25">
      <c r="A5561" s="1">
        <v>45664.625</v>
      </c>
      <c r="B5561" t="s">
        <v>32</v>
      </c>
      <c r="C5561">
        <v>120.5</v>
      </c>
      <c r="D5561">
        <v>37.29</v>
      </c>
      <c r="E5561" t="s">
        <v>9</v>
      </c>
      <c r="F5561">
        <v>49.68</v>
      </c>
      <c r="G5561" t="s">
        <v>22</v>
      </c>
      <c r="H5561" t="s">
        <v>12</v>
      </c>
    </row>
    <row r="5562" spans="1:8" x14ac:dyDescent="0.25">
      <c r="A5562" s="1">
        <v>45664.666666666664</v>
      </c>
      <c r="B5562" t="s">
        <v>32</v>
      </c>
      <c r="C5562">
        <v>344.93</v>
      </c>
      <c r="D5562">
        <v>36.119999999999997</v>
      </c>
      <c r="E5562" t="s">
        <v>9</v>
      </c>
      <c r="F5562">
        <v>33.06</v>
      </c>
      <c r="G5562" t="s">
        <v>22</v>
      </c>
      <c r="H5562" t="s">
        <v>12</v>
      </c>
    </row>
    <row r="5563" spans="1:8" x14ac:dyDescent="0.25">
      <c r="A5563" s="1">
        <v>45664.708333333336</v>
      </c>
      <c r="B5563" t="s">
        <v>32</v>
      </c>
      <c r="C5563">
        <v>120.33</v>
      </c>
      <c r="D5563">
        <v>21.33</v>
      </c>
      <c r="E5563" t="s">
        <v>9</v>
      </c>
      <c r="F5563">
        <v>61.91</v>
      </c>
      <c r="G5563" t="s">
        <v>22</v>
      </c>
      <c r="H5563" t="s">
        <v>11</v>
      </c>
    </row>
    <row r="5564" spans="1:8" x14ac:dyDescent="0.25">
      <c r="A5564" s="1">
        <v>45664.75</v>
      </c>
      <c r="B5564" t="s">
        <v>32</v>
      </c>
      <c r="C5564">
        <v>276.63</v>
      </c>
      <c r="D5564">
        <v>36.36</v>
      </c>
      <c r="E5564" t="s">
        <v>9</v>
      </c>
      <c r="F5564">
        <v>41.6</v>
      </c>
      <c r="G5564" t="s">
        <v>22</v>
      </c>
      <c r="H5564" t="s">
        <v>12</v>
      </c>
    </row>
    <row r="5565" spans="1:8" x14ac:dyDescent="0.25">
      <c r="A5565" s="1">
        <v>45664.791666666664</v>
      </c>
      <c r="B5565" t="s">
        <v>32</v>
      </c>
      <c r="C5565">
        <v>499.51</v>
      </c>
      <c r="D5565">
        <v>56.01</v>
      </c>
      <c r="E5565" t="s">
        <v>9</v>
      </c>
      <c r="F5565">
        <v>87.85</v>
      </c>
      <c r="G5565" t="s">
        <v>22</v>
      </c>
      <c r="H5565" t="s">
        <v>11</v>
      </c>
    </row>
    <row r="5566" spans="1:8" x14ac:dyDescent="0.25">
      <c r="A5566" s="1">
        <v>45664.833333333336</v>
      </c>
      <c r="B5566" t="s">
        <v>32</v>
      </c>
      <c r="C5566">
        <v>376.66</v>
      </c>
      <c r="D5566">
        <v>17.510000000000002</v>
      </c>
      <c r="E5566" t="s">
        <v>9</v>
      </c>
      <c r="F5566">
        <v>78.150000000000006</v>
      </c>
      <c r="G5566" t="s">
        <v>22</v>
      </c>
      <c r="H5566" t="s">
        <v>11</v>
      </c>
    </row>
    <row r="5567" spans="1:8" x14ac:dyDescent="0.25">
      <c r="A5567" s="1">
        <v>45664.875</v>
      </c>
      <c r="B5567" t="s">
        <v>32</v>
      </c>
      <c r="C5567">
        <v>306.76</v>
      </c>
      <c r="D5567">
        <v>17.579999999999998</v>
      </c>
      <c r="E5567" t="s">
        <v>9</v>
      </c>
      <c r="F5567">
        <v>38.97</v>
      </c>
      <c r="G5567" t="s">
        <v>22</v>
      </c>
      <c r="H5567" t="s">
        <v>11</v>
      </c>
    </row>
    <row r="5568" spans="1:8" x14ac:dyDescent="0.25">
      <c r="A5568" s="1">
        <v>45664.916666666664</v>
      </c>
      <c r="B5568" t="s">
        <v>32</v>
      </c>
      <c r="C5568">
        <v>154.82</v>
      </c>
      <c r="D5568">
        <v>94.42</v>
      </c>
      <c r="E5568" t="s">
        <v>14</v>
      </c>
      <c r="F5568">
        <v>70.78</v>
      </c>
      <c r="G5568" t="s">
        <v>22</v>
      </c>
      <c r="H5568" t="s">
        <v>13</v>
      </c>
    </row>
    <row r="5569" spans="1:8" x14ac:dyDescent="0.25">
      <c r="A5569" s="1">
        <v>45664.958333333336</v>
      </c>
      <c r="B5569" t="s">
        <v>32</v>
      </c>
      <c r="C5569">
        <v>91.1</v>
      </c>
      <c r="D5569">
        <v>26.94</v>
      </c>
      <c r="E5569" t="s">
        <v>9</v>
      </c>
      <c r="F5569">
        <v>39.71</v>
      </c>
      <c r="G5569" t="s">
        <v>22</v>
      </c>
      <c r="H5569" t="s">
        <v>12</v>
      </c>
    </row>
    <row r="5570" spans="1:8" x14ac:dyDescent="0.25">
      <c r="A5570" s="1">
        <v>45665</v>
      </c>
      <c r="B5570" t="s">
        <v>32</v>
      </c>
      <c r="C5570">
        <v>452.52</v>
      </c>
      <c r="D5570">
        <v>30.69</v>
      </c>
      <c r="E5570" t="s">
        <v>9</v>
      </c>
      <c r="F5570">
        <v>54.97</v>
      </c>
      <c r="G5570" t="s">
        <v>22</v>
      </c>
      <c r="H5570" t="s">
        <v>13</v>
      </c>
    </row>
    <row r="5571" spans="1:8" x14ac:dyDescent="0.25">
      <c r="A5571" s="1">
        <v>45665.041666666664</v>
      </c>
      <c r="B5571" t="s">
        <v>32</v>
      </c>
      <c r="C5571">
        <v>385.19</v>
      </c>
      <c r="D5571">
        <v>36.340000000000003</v>
      </c>
      <c r="E5571" t="s">
        <v>9</v>
      </c>
      <c r="F5571">
        <v>81.53</v>
      </c>
      <c r="G5571" t="s">
        <v>22</v>
      </c>
      <c r="H5571" t="s">
        <v>12</v>
      </c>
    </row>
    <row r="5572" spans="1:8" x14ac:dyDescent="0.25">
      <c r="A5572" s="1">
        <v>45665.083333333336</v>
      </c>
      <c r="B5572" t="s">
        <v>32</v>
      </c>
      <c r="C5572">
        <v>156.77000000000001</v>
      </c>
      <c r="D5572">
        <v>17.78</v>
      </c>
      <c r="E5572" t="s">
        <v>9</v>
      </c>
      <c r="F5572">
        <v>36.64</v>
      </c>
      <c r="G5572" t="s">
        <v>22</v>
      </c>
      <c r="H5572" t="s">
        <v>11</v>
      </c>
    </row>
    <row r="5573" spans="1:8" x14ac:dyDescent="0.25">
      <c r="A5573" s="1">
        <v>45665.125</v>
      </c>
      <c r="B5573" t="s">
        <v>32</v>
      </c>
      <c r="C5573">
        <v>172.49</v>
      </c>
      <c r="D5573">
        <v>27.59</v>
      </c>
      <c r="E5573" t="s">
        <v>9</v>
      </c>
      <c r="F5573">
        <v>37.479999999999997</v>
      </c>
      <c r="G5573" t="s">
        <v>22</v>
      </c>
      <c r="H5573" t="s">
        <v>11</v>
      </c>
    </row>
    <row r="5574" spans="1:8" x14ac:dyDescent="0.25">
      <c r="A5574" s="1">
        <v>45665.166666666664</v>
      </c>
      <c r="B5574" t="s">
        <v>32</v>
      </c>
      <c r="C5574">
        <v>344.9</v>
      </c>
      <c r="D5574">
        <v>51.98</v>
      </c>
      <c r="E5574" t="s">
        <v>9</v>
      </c>
      <c r="F5574">
        <v>57.5</v>
      </c>
      <c r="G5574" t="s">
        <v>22</v>
      </c>
      <c r="H5574" t="s">
        <v>12</v>
      </c>
    </row>
    <row r="5575" spans="1:8" x14ac:dyDescent="0.25">
      <c r="A5575" s="1">
        <v>45665.208333333336</v>
      </c>
      <c r="B5575" t="s">
        <v>32</v>
      </c>
      <c r="C5575">
        <v>299.16000000000003</v>
      </c>
      <c r="D5575">
        <v>34.86</v>
      </c>
      <c r="E5575" t="s">
        <v>9</v>
      </c>
      <c r="F5575">
        <v>48.48</v>
      </c>
      <c r="G5575" t="s">
        <v>22</v>
      </c>
      <c r="H5575" t="s">
        <v>12</v>
      </c>
    </row>
    <row r="5576" spans="1:8" x14ac:dyDescent="0.25">
      <c r="A5576" s="1">
        <v>45665.25</v>
      </c>
      <c r="B5576" t="s">
        <v>32</v>
      </c>
      <c r="C5576">
        <v>117.66</v>
      </c>
      <c r="D5576">
        <v>63.99</v>
      </c>
      <c r="E5576" t="s">
        <v>9</v>
      </c>
      <c r="F5576">
        <v>81.13</v>
      </c>
      <c r="G5576" t="s">
        <v>22</v>
      </c>
      <c r="H5576" t="s">
        <v>11</v>
      </c>
    </row>
    <row r="5577" spans="1:8" x14ac:dyDescent="0.25">
      <c r="A5577" s="1">
        <v>45665.291666666664</v>
      </c>
      <c r="B5577" t="s">
        <v>32</v>
      </c>
      <c r="C5577">
        <v>417.39</v>
      </c>
      <c r="D5577">
        <v>17.73</v>
      </c>
      <c r="E5577" t="s">
        <v>9</v>
      </c>
      <c r="F5577">
        <v>72.55</v>
      </c>
      <c r="G5577" t="s">
        <v>22</v>
      </c>
      <c r="H5577" t="s">
        <v>13</v>
      </c>
    </row>
    <row r="5578" spans="1:8" x14ac:dyDescent="0.25">
      <c r="A5578" s="1">
        <v>45665.333333333336</v>
      </c>
      <c r="B5578" t="s">
        <v>32</v>
      </c>
      <c r="C5578">
        <v>324.73</v>
      </c>
      <c r="D5578">
        <v>59.31</v>
      </c>
      <c r="E5578" t="s">
        <v>9</v>
      </c>
      <c r="F5578">
        <v>35.78</v>
      </c>
      <c r="G5578" t="s">
        <v>22</v>
      </c>
      <c r="H5578" t="s">
        <v>12</v>
      </c>
    </row>
    <row r="5579" spans="1:8" x14ac:dyDescent="0.25">
      <c r="A5579" s="1">
        <v>45665.375</v>
      </c>
      <c r="B5579" t="s">
        <v>32</v>
      </c>
      <c r="C5579">
        <v>162.28</v>
      </c>
      <c r="D5579">
        <v>14.14</v>
      </c>
      <c r="E5579" t="s">
        <v>9</v>
      </c>
      <c r="F5579">
        <v>43.41</v>
      </c>
      <c r="G5579" t="s">
        <v>22</v>
      </c>
      <c r="H5579" t="s">
        <v>13</v>
      </c>
    </row>
    <row r="5580" spans="1:8" x14ac:dyDescent="0.25">
      <c r="A5580" s="1">
        <v>45665.416666666664</v>
      </c>
      <c r="B5580" t="s">
        <v>32</v>
      </c>
      <c r="C5580">
        <v>300.56</v>
      </c>
      <c r="D5580">
        <v>89.82</v>
      </c>
      <c r="E5580" t="s">
        <v>14</v>
      </c>
      <c r="F5580">
        <v>40.57</v>
      </c>
      <c r="G5580" t="s">
        <v>22</v>
      </c>
      <c r="H5580" t="s">
        <v>13</v>
      </c>
    </row>
    <row r="5581" spans="1:8" x14ac:dyDescent="0.25">
      <c r="A5581" s="1">
        <v>45665.458333333336</v>
      </c>
      <c r="B5581" t="s">
        <v>32</v>
      </c>
      <c r="C5581">
        <v>463.97</v>
      </c>
      <c r="D5581">
        <v>32.83</v>
      </c>
      <c r="E5581" t="s">
        <v>9</v>
      </c>
      <c r="F5581">
        <v>58.05</v>
      </c>
      <c r="G5581" t="s">
        <v>22</v>
      </c>
      <c r="H5581" t="s">
        <v>11</v>
      </c>
    </row>
    <row r="5582" spans="1:8" x14ac:dyDescent="0.25">
      <c r="A5582" s="1">
        <v>45665.5</v>
      </c>
      <c r="B5582" t="s">
        <v>32</v>
      </c>
      <c r="C5582">
        <v>216.61</v>
      </c>
      <c r="D5582">
        <v>29.43</v>
      </c>
      <c r="E5582" t="s">
        <v>9</v>
      </c>
      <c r="F5582">
        <v>78.989999999999995</v>
      </c>
      <c r="G5582" t="s">
        <v>22</v>
      </c>
      <c r="H5582" t="s">
        <v>12</v>
      </c>
    </row>
    <row r="5583" spans="1:8" x14ac:dyDescent="0.25">
      <c r="A5583" s="1">
        <v>45665.541666666664</v>
      </c>
      <c r="B5583" t="s">
        <v>32</v>
      </c>
      <c r="C5583">
        <v>317</v>
      </c>
      <c r="D5583">
        <v>88.34</v>
      </c>
      <c r="E5583" t="s">
        <v>14</v>
      </c>
      <c r="F5583">
        <v>30.6</v>
      </c>
      <c r="G5583" t="s">
        <v>22</v>
      </c>
      <c r="H5583" t="s">
        <v>11</v>
      </c>
    </row>
    <row r="5584" spans="1:8" x14ac:dyDescent="0.25">
      <c r="A5584" s="1">
        <v>45665.583333333336</v>
      </c>
      <c r="B5584" t="s">
        <v>32</v>
      </c>
      <c r="C5584">
        <v>202.52</v>
      </c>
      <c r="D5584">
        <v>21.25</v>
      </c>
      <c r="E5584" t="s">
        <v>9</v>
      </c>
      <c r="F5584">
        <v>84.68</v>
      </c>
      <c r="G5584" t="s">
        <v>22</v>
      </c>
      <c r="H5584" t="s">
        <v>11</v>
      </c>
    </row>
    <row r="5585" spans="1:8" x14ac:dyDescent="0.25">
      <c r="A5585" s="1">
        <v>45665.625</v>
      </c>
      <c r="B5585" t="s">
        <v>32</v>
      </c>
      <c r="C5585">
        <v>206.77</v>
      </c>
      <c r="D5585">
        <v>30.56</v>
      </c>
      <c r="E5585" t="s">
        <v>9</v>
      </c>
      <c r="F5585">
        <v>83.85</v>
      </c>
      <c r="G5585" t="s">
        <v>22</v>
      </c>
      <c r="H5585" t="s">
        <v>13</v>
      </c>
    </row>
    <row r="5586" spans="1:8" x14ac:dyDescent="0.25">
      <c r="A5586" s="1">
        <v>45665.666666666664</v>
      </c>
      <c r="B5586" t="s">
        <v>32</v>
      </c>
      <c r="C5586">
        <v>371.96</v>
      </c>
      <c r="D5586">
        <v>80.62</v>
      </c>
      <c r="E5586" t="s">
        <v>9</v>
      </c>
      <c r="F5586">
        <v>75.599999999999994</v>
      </c>
      <c r="G5586" t="s">
        <v>22</v>
      </c>
      <c r="H5586" t="s">
        <v>11</v>
      </c>
    </row>
    <row r="5587" spans="1:8" x14ac:dyDescent="0.25">
      <c r="A5587" s="1">
        <v>45665.708333333336</v>
      </c>
      <c r="B5587" t="s">
        <v>32</v>
      </c>
      <c r="C5587">
        <v>422.96</v>
      </c>
      <c r="D5587">
        <v>47.26</v>
      </c>
      <c r="E5587" t="s">
        <v>9</v>
      </c>
      <c r="F5587">
        <v>69.48</v>
      </c>
      <c r="G5587" t="s">
        <v>22</v>
      </c>
      <c r="H5587" t="s">
        <v>11</v>
      </c>
    </row>
    <row r="5588" spans="1:8" x14ac:dyDescent="0.25">
      <c r="A5588" s="1">
        <v>45665.75</v>
      </c>
      <c r="B5588" t="s">
        <v>32</v>
      </c>
      <c r="C5588">
        <v>217.83</v>
      </c>
      <c r="D5588">
        <v>71.83</v>
      </c>
      <c r="E5588" t="s">
        <v>9</v>
      </c>
      <c r="F5588">
        <v>70.430000000000007</v>
      </c>
      <c r="G5588" t="s">
        <v>22</v>
      </c>
      <c r="H5588" t="s">
        <v>13</v>
      </c>
    </row>
    <row r="5589" spans="1:8" x14ac:dyDescent="0.25">
      <c r="A5589" s="1">
        <v>45665.791666666664</v>
      </c>
      <c r="B5589" t="s">
        <v>32</v>
      </c>
      <c r="C5589">
        <v>476.5</v>
      </c>
      <c r="D5589">
        <v>15.33</v>
      </c>
      <c r="E5589" t="s">
        <v>9</v>
      </c>
      <c r="F5589">
        <v>79.45</v>
      </c>
      <c r="G5589" t="s">
        <v>22</v>
      </c>
      <c r="H5589" t="s">
        <v>13</v>
      </c>
    </row>
    <row r="5590" spans="1:8" x14ac:dyDescent="0.25">
      <c r="A5590" s="1">
        <v>45665.833333333336</v>
      </c>
      <c r="B5590" t="s">
        <v>32</v>
      </c>
      <c r="C5590">
        <v>272.81</v>
      </c>
      <c r="D5590">
        <v>91.65</v>
      </c>
      <c r="E5590" t="s">
        <v>14</v>
      </c>
      <c r="F5590">
        <v>34.32</v>
      </c>
      <c r="G5590" t="s">
        <v>22</v>
      </c>
      <c r="H5590" t="s">
        <v>12</v>
      </c>
    </row>
    <row r="5591" spans="1:8" x14ac:dyDescent="0.25">
      <c r="A5591" s="1">
        <v>45665.875</v>
      </c>
      <c r="B5591" t="s">
        <v>32</v>
      </c>
      <c r="C5591">
        <v>439.57</v>
      </c>
      <c r="D5591">
        <v>54.32</v>
      </c>
      <c r="E5591" t="s">
        <v>9</v>
      </c>
      <c r="F5591">
        <v>51.97</v>
      </c>
      <c r="G5591" t="s">
        <v>22</v>
      </c>
      <c r="H5591" t="s">
        <v>13</v>
      </c>
    </row>
    <row r="5592" spans="1:8" x14ac:dyDescent="0.25">
      <c r="A5592" s="1">
        <v>45665.916666666664</v>
      </c>
      <c r="B5592" t="s">
        <v>32</v>
      </c>
      <c r="C5592">
        <v>188.78</v>
      </c>
      <c r="D5592">
        <v>82.6</v>
      </c>
      <c r="E5592" t="s">
        <v>9</v>
      </c>
      <c r="F5592">
        <v>60.32</v>
      </c>
      <c r="G5592" t="s">
        <v>22</v>
      </c>
      <c r="H5592" t="s">
        <v>13</v>
      </c>
    </row>
    <row r="5593" spans="1:8" x14ac:dyDescent="0.25">
      <c r="A5593" s="1">
        <v>45665.958333333336</v>
      </c>
      <c r="B5593" t="s">
        <v>32</v>
      </c>
      <c r="C5593">
        <v>189.42</v>
      </c>
      <c r="D5593">
        <v>30.25</v>
      </c>
      <c r="E5593" t="s">
        <v>9</v>
      </c>
      <c r="F5593">
        <v>78.459999999999994</v>
      </c>
      <c r="G5593" t="s">
        <v>22</v>
      </c>
      <c r="H5593" t="s">
        <v>11</v>
      </c>
    </row>
    <row r="5594" spans="1:8" x14ac:dyDescent="0.25">
      <c r="A5594" s="1">
        <v>45666</v>
      </c>
      <c r="B5594" t="s">
        <v>32</v>
      </c>
      <c r="C5594">
        <v>273.91000000000003</v>
      </c>
      <c r="D5594">
        <v>56.66</v>
      </c>
      <c r="E5594" t="s">
        <v>9</v>
      </c>
      <c r="F5594">
        <v>71.760000000000005</v>
      </c>
      <c r="G5594" t="s">
        <v>22</v>
      </c>
      <c r="H5594" t="s">
        <v>13</v>
      </c>
    </row>
    <row r="5595" spans="1:8" x14ac:dyDescent="0.25">
      <c r="A5595" s="1">
        <v>45666.041666666664</v>
      </c>
      <c r="B5595" t="s">
        <v>32</v>
      </c>
      <c r="C5595">
        <v>216.12</v>
      </c>
      <c r="D5595">
        <v>77.02</v>
      </c>
      <c r="E5595" t="s">
        <v>9</v>
      </c>
      <c r="F5595">
        <v>43.48</v>
      </c>
      <c r="G5595" t="s">
        <v>22</v>
      </c>
      <c r="H5595" t="s">
        <v>11</v>
      </c>
    </row>
    <row r="5596" spans="1:8" x14ac:dyDescent="0.25">
      <c r="A5596" s="1">
        <v>45666.083333333336</v>
      </c>
      <c r="B5596" t="s">
        <v>32</v>
      </c>
      <c r="C5596">
        <v>316.73</v>
      </c>
      <c r="D5596">
        <v>85.75</v>
      </c>
      <c r="E5596" t="s">
        <v>14</v>
      </c>
      <c r="F5596">
        <v>71.23</v>
      </c>
      <c r="G5596" t="s">
        <v>22</v>
      </c>
      <c r="H5596" t="s">
        <v>11</v>
      </c>
    </row>
    <row r="5597" spans="1:8" x14ac:dyDescent="0.25">
      <c r="A5597" s="1">
        <v>45666.125</v>
      </c>
      <c r="B5597" t="s">
        <v>32</v>
      </c>
      <c r="C5597">
        <v>385.65</v>
      </c>
      <c r="D5597">
        <v>15.1</v>
      </c>
      <c r="E5597" t="s">
        <v>9</v>
      </c>
      <c r="F5597">
        <v>48.34</v>
      </c>
      <c r="G5597" t="s">
        <v>22</v>
      </c>
      <c r="H5597" t="s">
        <v>13</v>
      </c>
    </row>
    <row r="5598" spans="1:8" x14ac:dyDescent="0.25">
      <c r="A5598" s="1">
        <v>45666.166666666664</v>
      </c>
      <c r="B5598" t="s">
        <v>32</v>
      </c>
      <c r="C5598">
        <v>227.35</v>
      </c>
      <c r="D5598">
        <v>71.489999999999995</v>
      </c>
      <c r="E5598" t="s">
        <v>9</v>
      </c>
      <c r="F5598">
        <v>38.86</v>
      </c>
      <c r="G5598" t="s">
        <v>22</v>
      </c>
      <c r="H5598" t="s">
        <v>13</v>
      </c>
    </row>
    <row r="5599" spans="1:8" x14ac:dyDescent="0.25">
      <c r="A5599" s="1">
        <v>45666.208333333336</v>
      </c>
      <c r="B5599" t="s">
        <v>32</v>
      </c>
      <c r="C5599">
        <v>297.04000000000002</v>
      </c>
      <c r="D5599">
        <v>35.76</v>
      </c>
      <c r="E5599" t="s">
        <v>9</v>
      </c>
      <c r="F5599">
        <v>59.67</v>
      </c>
      <c r="G5599" t="s">
        <v>22</v>
      </c>
      <c r="H5599" t="s">
        <v>11</v>
      </c>
    </row>
    <row r="5600" spans="1:8" x14ac:dyDescent="0.25">
      <c r="A5600" s="1">
        <v>45666.25</v>
      </c>
      <c r="B5600" t="s">
        <v>32</v>
      </c>
      <c r="C5600">
        <v>51.93</v>
      </c>
      <c r="D5600">
        <v>77.95</v>
      </c>
      <c r="E5600" t="s">
        <v>9</v>
      </c>
      <c r="F5600">
        <v>48.53</v>
      </c>
      <c r="G5600" t="s">
        <v>22</v>
      </c>
      <c r="H5600" t="s">
        <v>13</v>
      </c>
    </row>
    <row r="5601" spans="1:8" x14ac:dyDescent="0.25">
      <c r="A5601" s="1">
        <v>45666.291666666664</v>
      </c>
      <c r="B5601" t="s">
        <v>32</v>
      </c>
      <c r="C5601">
        <v>149.13</v>
      </c>
      <c r="D5601">
        <v>74.98</v>
      </c>
      <c r="E5601" t="s">
        <v>9</v>
      </c>
      <c r="F5601">
        <v>48.21</v>
      </c>
      <c r="G5601" t="s">
        <v>22</v>
      </c>
      <c r="H5601" t="s">
        <v>11</v>
      </c>
    </row>
    <row r="5602" spans="1:8" x14ac:dyDescent="0.25">
      <c r="A5602" s="1">
        <v>45666.333333333336</v>
      </c>
      <c r="B5602" t="s">
        <v>32</v>
      </c>
      <c r="C5602">
        <v>141.86000000000001</v>
      </c>
      <c r="D5602">
        <v>29.77</v>
      </c>
      <c r="E5602" t="s">
        <v>9</v>
      </c>
      <c r="F5602">
        <v>67.55</v>
      </c>
      <c r="G5602" t="s">
        <v>22</v>
      </c>
      <c r="H5602" t="s">
        <v>13</v>
      </c>
    </row>
    <row r="5603" spans="1:8" x14ac:dyDescent="0.25">
      <c r="A5603" s="1">
        <v>45666.375</v>
      </c>
      <c r="B5603" t="s">
        <v>32</v>
      </c>
      <c r="C5603">
        <v>54.29</v>
      </c>
      <c r="D5603">
        <v>45.73</v>
      </c>
      <c r="E5603" t="s">
        <v>9</v>
      </c>
      <c r="F5603">
        <v>84.4</v>
      </c>
      <c r="G5603" t="s">
        <v>22</v>
      </c>
      <c r="H5603" t="s">
        <v>11</v>
      </c>
    </row>
    <row r="5604" spans="1:8" x14ac:dyDescent="0.25">
      <c r="A5604" s="1">
        <v>45666.416666666664</v>
      </c>
      <c r="B5604" t="s">
        <v>32</v>
      </c>
      <c r="C5604">
        <v>251.48</v>
      </c>
      <c r="D5604">
        <v>71.260000000000005</v>
      </c>
      <c r="E5604" t="s">
        <v>9</v>
      </c>
      <c r="F5604">
        <v>49.33</v>
      </c>
      <c r="G5604" t="s">
        <v>22</v>
      </c>
      <c r="H5604" t="s">
        <v>13</v>
      </c>
    </row>
    <row r="5605" spans="1:8" x14ac:dyDescent="0.25">
      <c r="A5605" s="1">
        <v>45666.458333333336</v>
      </c>
      <c r="B5605" t="s">
        <v>32</v>
      </c>
      <c r="C5605">
        <v>433.75</v>
      </c>
      <c r="D5605">
        <v>57.09</v>
      </c>
      <c r="E5605" t="s">
        <v>9</v>
      </c>
      <c r="F5605">
        <v>88.09</v>
      </c>
      <c r="G5605" t="s">
        <v>22</v>
      </c>
      <c r="H5605" t="s">
        <v>12</v>
      </c>
    </row>
    <row r="5606" spans="1:8" x14ac:dyDescent="0.25">
      <c r="A5606" s="1">
        <v>45666.5</v>
      </c>
      <c r="B5606" t="s">
        <v>32</v>
      </c>
      <c r="C5606">
        <v>281.42</v>
      </c>
      <c r="D5606">
        <v>76.08</v>
      </c>
      <c r="E5606" t="s">
        <v>9</v>
      </c>
      <c r="F5606">
        <v>66.010000000000005</v>
      </c>
      <c r="G5606" t="s">
        <v>22</v>
      </c>
      <c r="H5606" t="s">
        <v>11</v>
      </c>
    </row>
    <row r="5607" spans="1:8" x14ac:dyDescent="0.25">
      <c r="A5607" s="1">
        <v>45666.541666666664</v>
      </c>
      <c r="B5607" t="s">
        <v>32</v>
      </c>
      <c r="C5607">
        <v>423.95</v>
      </c>
      <c r="D5607">
        <v>34.56</v>
      </c>
      <c r="E5607" t="s">
        <v>9</v>
      </c>
      <c r="F5607">
        <v>43.77</v>
      </c>
      <c r="G5607" t="s">
        <v>22</v>
      </c>
      <c r="H5607" t="s">
        <v>11</v>
      </c>
    </row>
    <row r="5608" spans="1:8" x14ac:dyDescent="0.25">
      <c r="A5608" s="1">
        <v>45666.583333333336</v>
      </c>
      <c r="B5608" t="s">
        <v>32</v>
      </c>
      <c r="C5608">
        <v>88.1</v>
      </c>
      <c r="D5608">
        <v>47.1</v>
      </c>
      <c r="E5608" t="s">
        <v>9</v>
      </c>
      <c r="F5608">
        <v>79.239999999999995</v>
      </c>
      <c r="G5608" t="s">
        <v>22</v>
      </c>
      <c r="H5608" t="s">
        <v>11</v>
      </c>
    </row>
    <row r="5609" spans="1:8" x14ac:dyDescent="0.25">
      <c r="A5609" s="1">
        <v>45666.625</v>
      </c>
      <c r="B5609" t="s">
        <v>32</v>
      </c>
      <c r="C5609">
        <v>247.98</v>
      </c>
      <c r="D5609">
        <v>57.33</v>
      </c>
      <c r="E5609" t="s">
        <v>9</v>
      </c>
      <c r="F5609">
        <v>53.66</v>
      </c>
      <c r="G5609" t="s">
        <v>22</v>
      </c>
      <c r="H5609" t="s">
        <v>13</v>
      </c>
    </row>
    <row r="5610" spans="1:8" x14ac:dyDescent="0.25">
      <c r="A5610" s="1">
        <v>45666.666666666664</v>
      </c>
      <c r="B5610" t="s">
        <v>32</v>
      </c>
      <c r="C5610">
        <v>433.06</v>
      </c>
      <c r="D5610">
        <v>50.85</v>
      </c>
      <c r="E5610" t="s">
        <v>9</v>
      </c>
      <c r="F5610">
        <v>30.01</v>
      </c>
      <c r="G5610" t="s">
        <v>22</v>
      </c>
      <c r="H5610" t="s">
        <v>11</v>
      </c>
    </row>
    <row r="5611" spans="1:8" x14ac:dyDescent="0.25">
      <c r="A5611" s="1">
        <v>45666.708333333336</v>
      </c>
      <c r="B5611" t="s">
        <v>32</v>
      </c>
      <c r="C5611">
        <v>80.040000000000006</v>
      </c>
      <c r="D5611">
        <v>45.95</v>
      </c>
      <c r="E5611" t="s">
        <v>9</v>
      </c>
      <c r="F5611">
        <v>80.11</v>
      </c>
      <c r="G5611" t="s">
        <v>22</v>
      </c>
      <c r="H5611" t="s">
        <v>11</v>
      </c>
    </row>
    <row r="5612" spans="1:8" x14ac:dyDescent="0.25">
      <c r="A5612" s="1">
        <v>45666.75</v>
      </c>
      <c r="B5612" t="s">
        <v>32</v>
      </c>
      <c r="C5612">
        <v>130.91999999999999</v>
      </c>
      <c r="D5612">
        <v>79.03</v>
      </c>
      <c r="E5612" t="s">
        <v>9</v>
      </c>
      <c r="F5612">
        <v>64.77</v>
      </c>
      <c r="G5612" t="s">
        <v>22</v>
      </c>
      <c r="H5612" t="s">
        <v>13</v>
      </c>
    </row>
    <row r="5613" spans="1:8" x14ac:dyDescent="0.25">
      <c r="A5613" s="1">
        <v>45666.791666666664</v>
      </c>
      <c r="B5613" t="s">
        <v>32</v>
      </c>
      <c r="C5613">
        <v>295.91000000000003</v>
      </c>
      <c r="D5613">
        <v>59.5</v>
      </c>
      <c r="E5613" t="s">
        <v>9</v>
      </c>
      <c r="F5613">
        <v>30.41</v>
      </c>
      <c r="G5613" t="s">
        <v>22</v>
      </c>
      <c r="H5613" t="s">
        <v>12</v>
      </c>
    </row>
    <row r="5614" spans="1:8" x14ac:dyDescent="0.25">
      <c r="A5614" s="1">
        <v>45666.833333333336</v>
      </c>
      <c r="B5614" t="s">
        <v>32</v>
      </c>
      <c r="C5614">
        <v>421.9</v>
      </c>
      <c r="D5614">
        <v>73.02</v>
      </c>
      <c r="E5614" t="s">
        <v>9</v>
      </c>
      <c r="F5614">
        <v>41.34</v>
      </c>
      <c r="G5614" t="s">
        <v>22</v>
      </c>
      <c r="H5614" t="s">
        <v>12</v>
      </c>
    </row>
    <row r="5615" spans="1:8" x14ac:dyDescent="0.25">
      <c r="A5615" s="1">
        <v>45666.875</v>
      </c>
      <c r="B5615" t="s">
        <v>32</v>
      </c>
      <c r="C5615">
        <v>419.46</v>
      </c>
      <c r="D5615">
        <v>21.04</v>
      </c>
      <c r="E5615" t="s">
        <v>9</v>
      </c>
      <c r="F5615">
        <v>86.51</v>
      </c>
      <c r="G5615" t="s">
        <v>22</v>
      </c>
      <c r="H5615" t="s">
        <v>12</v>
      </c>
    </row>
    <row r="5616" spans="1:8" x14ac:dyDescent="0.25">
      <c r="A5616" s="1">
        <v>45666.916666666664</v>
      </c>
      <c r="B5616" t="s">
        <v>32</v>
      </c>
      <c r="C5616">
        <v>324.20999999999998</v>
      </c>
      <c r="D5616">
        <v>72.84</v>
      </c>
      <c r="E5616" t="s">
        <v>9</v>
      </c>
      <c r="F5616">
        <v>69.7</v>
      </c>
      <c r="G5616" t="s">
        <v>22</v>
      </c>
      <c r="H5616" t="s">
        <v>11</v>
      </c>
    </row>
    <row r="5617" spans="1:8" x14ac:dyDescent="0.25">
      <c r="A5617" s="1">
        <v>45666.958333333336</v>
      </c>
      <c r="B5617" t="s">
        <v>32</v>
      </c>
      <c r="C5617">
        <v>348.81</v>
      </c>
      <c r="D5617">
        <v>37.979999999999997</v>
      </c>
      <c r="E5617" t="s">
        <v>9</v>
      </c>
      <c r="F5617">
        <v>48.78</v>
      </c>
      <c r="G5617" t="s">
        <v>22</v>
      </c>
      <c r="H5617" t="s">
        <v>13</v>
      </c>
    </row>
    <row r="5618" spans="1:8" x14ac:dyDescent="0.25">
      <c r="A5618" s="1">
        <v>45667</v>
      </c>
      <c r="B5618" t="s">
        <v>32</v>
      </c>
      <c r="C5618">
        <v>238.38</v>
      </c>
      <c r="D5618">
        <v>93.94</v>
      </c>
      <c r="E5618" t="s">
        <v>14</v>
      </c>
      <c r="F5618">
        <v>47.12</v>
      </c>
      <c r="G5618" t="s">
        <v>22</v>
      </c>
      <c r="H5618" t="s">
        <v>13</v>
      </c>
    </row>
    <row r="5619" spans="1:8" x14ac:dyDescent="0.25">
      <c r="A5619" s="1">
        <v>45667.041666666664</v>
      </c>
      <c r="B5619" t="s">
        <v>32</v>
      </c>
      <c r="C5619">
        <v>190.27</v>
      </c>
      <c r="D5619">
        <v>49.06</v>
      </c>
      <c r="E5619" t="s">
        <v>9</v>
      </c>
      <c r="F5619">
        <v>31.94</v>
      </c>
      <c r="G5619" t="s">
        <v>22</v>
      </c>
      <c r="H5619" t="s">
        <v>11</v>
      </c>
    </row>
    <row r="5620" spans="1:8" x14ac:dyDescent="0.25">
      <c r="A5620" s="1">
        <v>45667.083333333336</v>
      </c>
      <c r="B5620" t="s">
        <v>32</v>
      </c>
      <c r="C5620">
        <v>223.95</v>
      </c>
      <c r="D5620">
        <v>84.4</v>
      </c>
      <c r="E5620" t="s">
        <v>9</v>
      </c>
      <c r="F5620">
        <v>32.340000000000003</v>
      </c>
      <c r="G5620" t="s">
        <v>22</v>
      </c>
      <c r="H5620" t="s">
        <v>12</v>
      </c>
    </row>
    <row r="5621" spans="1:8" x14ac:dyDescent="0.25">
      <c r="A5621" s="1">
        <v>45667.125</v>
      </c>
      <c r="B5621" t="s">
        <v>32</v>
      </c>
      <c r="C5621">
        <v>492.6</v>
      </c>
      <c r="D5621">
        <v>62.04</v>
      </c>
      <c r="E5621" t="s">
        <v>9</v>
      </c>
      <c r="F5621">
        <v>47.48</v>
      </c>
      <c r="G5621" t="s">
        <v>22</v>
      </c>
      <c r="H5621" t="s">
        <v>12</v>
      </c>
    </row>
    <row r="5622" spans="1:8" x14ac:dyDescent="0.25">
      <c r="A5622" s="1">
        <v>45667.166666666664</v>
      </c>
      <c r="B5622" t="s">
        <v>32</v>
      </c>
      <c r="C5622">
        <v>55.04</v>
      </c>
      <c r="D5622">
        <v>65.930000000000007</v>
      </c>
      <c r="E5622" t="s">
        <v>9</v>
      </c>
      <c r="F5622">
        <v>37.880000000000003</v>
      </c>
      <c r="G5622" t="s">
        <v>22</v>
      </c>
      <c r="H5622" t="s">
        <v>12</v>
      </c>
    </row>
    <row r="5623" spans="1:8" x14ac:dyDescent="0.25">
      <c r="A5623" s="1">
        <v>45667.208333333336</v>
      </c>
      <c r="B5623" t="s">
        <v>32</v>
      </c>
      <c r="C5623">
        <v>181.62</v>
      </c>
      <c r="D5623">
        <v>81.91</v>
      </c>
      <c r="E5623" t="s">
        <v>9</v>
      </c>
      <c r="F5623">
        <v>58.71</v>
      </c>
      <c r="G5623" t="s">
        <v>22</v>
      </c>
      <c r="H5623" t="s">
        <v>12</v>
      </c>
    </row>
    <row r="5624" spans="1:8" x14ac:dyDescent="0.25">
      <c r="A5624" s="1">
        <v>45667.25</v>
      </c>
      <c r="B5624" t="s">
        <v>32</v>
      </c>
      <c r="C5624">
        <v>410.84</v>
      </c>
      <c r="D5624">
        <v>44.55</v>
      </c>
      <c r="E5624" t="s">
        <v>9</v>
      </c>
      <c r="F5624">
        <v>72.459999999999994</v>
      </c>
      <c r="G5624" t="s">
        <v>22</v>
      </c>
      <c r="H5624" t="s">
        <v>11</v>
      </c>
    </row>
    <row r="5625" spans="1:8" x14ac:dyDescent="0.25">
      <c r="A5625" s="1">
        <v>45667.291666666664</v>
      </c>
      <c r="B5625" t="s">
        <v>32</v>
      </c>
      <c r="C5625">
        <v>450.98</v>
      </c>
      <c r="D5625">
        <v>62.04</v>
      </c>
      <c r="E5625" t="s">
        <v>9</v>
      </c>
      <c r="F5625">
        <v>62.31</v>
      </c>
      <c r="G5625" t="s">
        <v>22</v>
      </c>
      <c r="H5625" t="s">
        <v>12</v>
      </c>
    </row>
    <row r="5626" spans="1:8" x14ac:dyDescent="0.25">
      <c r="A5626" s="1">
        <v>45667.333333333336</v>
      </c>
      <c r="B5626" t="s">
        <v>32</v>
      </c>
      <c r="C5626">
        <v>168.91</v>
      </c>
      <c r="D5626">
        <v>52</v>
      </c>
      <c r="E5626" t="s">
        <v>9</v>
      </c>
      <c r="F5626">
        <v>34.36</v>
      </c>
      <c r="G5626" t="s">
        <v>22</v>
      </c>
      <c r="H5626" t="s">
        <v>11</v>
      </c>
    </row>
    <row r="5627" spans="1:8" x14ac:dyDescent="0.25">
      <c r="A5627" s="1">
        <v>45667.375</v>
      </c>
      <c r="B5627" t="s">
        <v>32</v>
      </c>
      <c r="C5627">
        <v>155.38</v>
      </c>
      <c r="D5627">
        <v>21.9</v>
      </c>
      <c r="E5627" t="s">
        <v>9</v>
      </c>
      <c r="F5627">
        <v>68.05</v>
      </c>
      <c r="G5627" t="s">
        <v>22</v>
      </c>
      <c r="H5627" t="s">
        <v>13</v>
      </c>
    </row>
    <row r="5628" spans="1:8" x14ac:dyDescent="0.25">
      <c r="A5628" s="1">
        <v>45667.416666666664</v>
      </c>
      <c r="B5628" t="s">
        <v>32</v>
      </c>
      <c r="C5628">
        <v>83.33</v>
      </c>
      <c r="D5628">
        <v>81.75</v>
      </c>
      <c r="E5628" t="s">
        <v>9</v>
      </c>
      <c r="F5628">
        <v>49.5</v>
      </c>
      <c r="G5628" t="s">
        <v>22</v>
      </c>
      <c r="H5628" t="s">
        <v>11</v>
      </c>
    </row>
    <row r="5629" spans="1:8" x14ac:dyDescent="0.25">
      <c r="A5629" s="1">
        <v>45667.458333333336</v>
      </c>
      <c r="B5629" t="s">
        <v>32</v>
      </c>
      <c r="C5629">
        <v>496.25</v>
      </c>
      <c r="D5629">
        <v>31.89</v>
      </c>
      <c r="E5629" t="s">
        <v>9</v>
      </c>
      <c r="F5629">
        <v>52.55</v>
      </c>
      <c r="G5629" t="s">
        <v>22</v>
      </c>
      <c r="H5629" t="s">
        <v>13</v>
      </c>
    </row>
    <row r="5630" spans="1:8" x14ac:dyDescent="0.25">
      <c r="A5630" s="1">
        <v>45667.5</v>
      </c>
      <c r="B5630" t="s">
        <v>32</v>
      </c>
      <c r="C5630">
        <v>71.98</v>
      </c>
      <c r="D5630">
        <v>92.26</v>
      </c>
      <c r="E5630" t="s">
        <v>14</v>
      </c>
      <c r="F5630">
        <v>45.35</v>
      </c>
      <c r="G5630" t="s">
        <v>22</v>
      </c>
      <c r="H5630" t="s">
        <v>11</v>
      </c>
    </row>
    <row r="5631" spans="1:8" x14ac:dyDescent="0.25">
      <c r="A5631" s="1">
        <v>45667.541666666664</v>
      </c>
      <c r="B5631" t="s">
        <v>32</v>
      </c>
      <c r="C5631">
        <v>329.4</v>
      </c>
      <c r="D5631">
        <v>57.67</v>
      </c>
      <c r="E5631" t="s">
        <v>9</v>
      </c>
      <c r="F5631">
        <v>40.270000000000003</v>
      </c>
      <c r="G5631" t="s">
        <v>22</v>
      </c>
      <c r="H5631" t="s">
        <v>12</v>
      </c>
    </row>
    <row r="5632" spans="1:8" x14ac:dyDescent="0.25">
      <c r="A5632" s="1">
        <v>45667.583333333336</v>
      </c>
      <c r="B5632" t="s">
        <v>32</v>
      </c>
      <c r="C5632">
        <v>489.25</v>
      </c>
      <c r="D5632">
        <v>84.6</v>
      </c>
      <c r="E5632" t="s">
        <v>9</v>
      </c>
      <c r="F5632">
        <v>54.22</v>
      </c>
      <c r="G5632" t="s">
        <v>22</v>
      </c>
      <c r="H5632" t="s">
        <v>11</v>
      </c>
    </row>
    <row r="5633" spans="1:8" x14ac:dyDescent="0.25">
      <c r="A5633" s="1">
        <v>45667.625</v>
      </c>
      <c r="B5633" t="s">
        <v>32</v>
      </c>
      <c r="C5633">
        <v>380.47</v>
      </c>
      <c r="D5633">
        <v>85.98</v>
      </c>
      <c r="E5633" t="s">
        <v>14</v>
      </c>
      <c r="F5633">
        <v>74.13</v>
      </c>
      <c r="G5633" t="s">
        <v>22</v>
      </c>
      <c r="H5633" t="s">
        <v>12</v>
      </c>
    </row>
    <row r="5634" spans="1:8" x14ac:dyDescent="0.25">
      <c r="A5634" s="1">
        <v>45667.666666666664</v>
      </c>
      <c r="B5634" t="s">
        <v>32</v>
      </c>
      <c r="C5634">
        <v>259.68</v>
      </c>
      <c r="D5634">
        <v>24.89</v>
      </c>
      <c r="E5634" t="s">
        <v>9</v>
      </c>
      <c r="F5634">
        <v>55.52</v>
      </c>
      <c r="G5634" t="s">
        <v>22</v>
      </c>
      <c r="H5634" t="s">
        <v>12</v>
      </c>
    </row>
    <row r="5635" spans="1:8" x14ac:dyDescent="0.25">
      <c r="A5635" s="1">
        <v>45667.708333333336</v>
      </c>
      <c r="B5635" t="s">
        <v>32</v>
      </c>
      <c r="C5635">
        <v>312.48</v>
      </c>
      <c r="D5635">
        <v>28.18</v>
      </c>
      <c r="E5635" t="s">
        <v>9</v>
      </c>
      <c r="F5635">
        <v>50.43</v>
      </c>
      <c r="G5635" t="s">
        <v>22</v>
      </c>
      <c r="H5635" t="s">
        <v>11</v>
      </c>
    </row>
    <row r="5636" spans="1:8" x14ac:dyDescent="0.25">
      <c r="A5636" s="1">
        <v>45667.75</v>
      </c>
      <c r="B5636" t="s">
        <v>32</v>
      </c>
      <c r="C5636">
        <v>167.61</v>
      </c>
      <c r="D5636">
        <v>41.79</v>
      </c>
      <c r="E5636" t="s">
        <v>9</v>
      </c>
      <c r="F5636">
        <v>60.89</v>
      </c>
      <c r="G5636" t="s">
        <v>22</v>
      </c>
      <c r="H5636" t="s">
        <v>12</v>
      </c>
    </row>
    <row r="5637" spans="1:8" x14ac:dyDescent="0.25">
      <c r="A5637" s="1">
        <v>45667.791666666664</v>
      </c>
      <c r="B5637" t="s">
        <v>32</v>
      </c>
      <c r="C5637">
        <v>159.79</v>
      </c>
      <c r="D5637">
        <v>17.91</v>
      </c>
      <c r="E5637" t="s">
        <v>9</v>
      </c>
      <c r="F5637">
        <v>65.14</v>
      </c>
      <c r="G5637" t="s">
        <v>22</v>
      </c>
      <c r="H5637" t="s">
        <v>13</v>
      </c>
    </row>
    <row r="5638" spans="1:8" x14ac:dyDescent="0.25">
      <c r="A5638" s="1">
        <v>45667.833333333336</v>
      </c>
      <c r="B5638" t="s">
        <v>32</v>
      </c>
      <c r="C5638">
        <v>237.27</v>
      </c>
      <c r="D5638">
        <v>42.03</v>
      </c>
      <c r="E5638" t="s">
        <v>9</v>
      </c>
      <c r="F5638">
        <v>33.46</v>
      </c>
      <c r="G5638" t="s">
        <v>22</v>
      </c>
      <c r="H5638" t="s">
        <v>13</v>
      </c>
    </row>
    <row r="5639" spans="1:8" x14ac:dyDescent="0.25">
      <c r="A5639" s="1">
        <v>45667.875</v>
      </c>
      <c r="B5639" t="s">
        <v>32</v>
      </c>
      <c r="C5639">
        <v>235.08</v>
      </c>
      <c r="D5639">
        <v>88.34</v>
      </c>
      <c r="E5639" t="s">
        <v>14</v>
      </c>
      <c r="F5639">
        <v>30.79</v>
      </c>
      <c r="G5639" t="s">
        <v>22</v>
      </c>
      <c r="H5639" t="s">
        <v>13</v>
      </c>
    </row>
    <row r="5640" spans="1:8" x14ac:dyDescent="0.25">
      <c r="A5640" s="1">
        <v>45667.916666666664</v>
      </c>
      <c r="B5640" t="s">
        <v>32</v>
      </c>
      <c r="C5640">
        <v>476.95</v>
      </c>
      <c r="D5640">
        <v>47.98</v>
      </c>
      <c r="E5640" t="s">
        <v>9</v>
      </c>
      <c r="F5640">
        <v>79</v>
      </c>
      <c r="G5640" t="s">
        <v>22</v>
      </c>
      <c r="H5640" t="s">
        <v>12</v>
      </c>
    </row>
    <row r="5641" spans="1:8" x14ac:dyDescent="0.25">
      <c r="A5641" s="1">
        <v>45667.958333333336</v>
      </c>
      <c r="B5641" t="s">
        <v>32</v>
      </c>
      <c r="C5641">
        <v>221.55</v>
      </c>
      <c r="D5641">
        <v>22.01</v>
      </c>
      <c r="E5641" t="s">
        <v>9</v>
      </c>
      <c r="F5641">
        <v>40.43</v>
      </c>
      <c r="G5641" t="s">
        <v>22</v>
      </c>
      <c r="H5641" t="s">
        <v>13</v>
      </c>
    </row>
    <row r="5642" spans="1:8" x14ac:dyDescent="0.25">
      <c r="A5642" s="1">
        <v>45668</v>
      </c>
      <c r="B5642" t="s">
        <v>32</v>
      </c>
      <c r="C5642">
        <v>282.91000000000003</v>
      </c>
      <c r="D5642">
        <v>89.83</v>
      </c>
      <c r="E5642" t="s">
        <v>14</v>
      </c>
      <c r="F5642">
        <v>77.17</v>
      </c>
      <c r="G5642" t="s">
        <v>22</v>
      </c>
      <c r="H5642" t="s">
        <v>12</v>
      </c>
    </row>
    <row r="5643" spans="1:8" x14ac:dyDescent="0.25">
      <c r="A5643" s="1">
        <v>45668.041666666664</v>
      </c>
      <c r="B5643" t="s">
        <v>32</v>
      </c>
      <c r="C5643">
        <v>70.319999999999993</v>
      </c>
      <c r="D5643">
        <v>33.42</v>
      </c>
      <c r="E5643" t="s">
        <v>9</v>
      </c>
      <c r="F5643">
        <v>65.650000000000006</v>
      </c>
      <c r="G5643" t="s">
        <v>22</v>
      </c>
      <c r="H5643" t="s">
        <v>13</v>
      </c>
    </row>
    <row r="5644" spans="1:8" x14ac:dyDescent="0.25">
      <c r="A5644" s="1">
        <v>45668.083333333336</v>
      </c>
      <c r="B5644" t="s">
        <v>32</v>
      </c>
      <c r="C5644">
        <v>483.77</v>
      </c>
      <c r="D5644">
        <v>91.71</v>
      </c>
      <c r="E5644" t="s">
        <v>14</v>
      </c>
      <c r="F5644">
        <v>74.819999999999993</v>
      </c>
      <c r="G5644" t="s">
        <v>22</v>
      </c>
      <c r="H5644" t="s">
        <v>11</v>
      </c>
    </row>
    <row r="5645" spans="1:8" x14ac:dyDescent="0.25">
      <c r="A5645" s="1">
        <v>45668.125</v>
      </c>
      <c r="B5645" t="s">
        <v>32</v>
      </c>
      <c r="C5645">
        <v>380.15</v>
      </c>
      <c r="D5645">
        <v>83.41</v>
      </c>
      <c r="E5645" t="s">
        <v>9</v>
      </c>
      <c r="F5645">
        <v>66.64</v>
      </c>
      <c r="G5645" t="s">
        <v>22</v>
      </c>
      <c r="H5645" t="s">
        <v>13</v>
      </c>
    </row>
    <row r="5646" spans="1:8" x14ac:dyDescent="0.25">
      <c r="A5646" s="1">
        <v>45668.166666666664</v>
      </c>
      <c r="B5646" t="s">
        <v>32</v>
      </c>
      <c r="C5646">
        <v>429.6</v>
      </c>
      <c r="D5646">
        <v>42.8</v>
      </c>
      <c r="E5646" t="s">
        <v>9</v>
      </c>
      <c r="F5646">
        <v>55.13</v>
      </c>
      <c r="G5646" t="s">
        <v>22</v>
      </c>
      <c r="H5646" t="s">
        <v>12</v>
      </c>
    </row>
    <row r="5647" spans="1:8" x14ac:dyDescent="0.25">
      <c r="A5647" s="1">
        <v>45668.208333333336</v>
      </c>
      <c r="B5647" t="s">
        <v>32</v>
      </c>
      <c r="C5647">
        <v>90.77</v>
      </c>
      <c r="D5647">
        <v>42.69</v>
      </c>
      <c r="E5647" t="s">
        <v>9</v>
      </c>
      <c r="F5647">
        <v>87.12</v>
      </c>
      <c r="G5647" t="s">
        <v>22</v>
      </c>
      <c r="H5647" t="s">
        <v>12</v>
      </c>
    </row>
    <row r="5648" spans="1:8" x14ac:dyDescent="0.25">
      <c r="A5648" s="1">
        <v>45668.25</v>
      </c>
      <c r="B5648" t="s">
        <v>32</v>
      </c>
      <c r="C5648">
        <v>290.48</v>
      </c>
      <c r="D5648">
        <v>52.75</v>
      </c>
      <c r="E5648" t="s">
        <v>9</v>
      </c>
      <c r="F5648">
        <v>56.53</v>
      </c>
      <c r="G5648" t="s">
        <v>22</v>
      </c>
      <c r="H5648" t="s">
        <v>13</v>
      </c>
    </row>
    <row r="5649" spans="1:8" x14ac:dyDescent="0.25">
      <c r="A5649" s="1">
        <v>45668.291666666664</v>
      </c>
      <c r="B5649" t="s">
        <v>32</v>
      </c>
      <c r="C5649">
        <v>141.44</v>
      </c>
      <c r="D5649">
        <v>53.8</v>
      </c>
      <c r="E5649" t="s">
        <v>9</v>
      </c>
      <c r="F5649">
        <v>52.09</v>
      </c>
      <c r="G5649" t="s">
        <v>22</v>
      </c>
      <c r="H5649" t="s">
        <v>12</v>
      </c>
    </row>
    <row r="5650" spans="1:8" x14ac:dyDescent="0.25">
      <c r="A5650" s="1">
        <v>45668.333333333336</v>
      </c>
      <c r="B5650" t="s">
        <v>32</v>
      </c>
      <c r="C5650">
        <v>226.2</v>
      </c>
      <c r="D5650">
        <v>71.56</v>
      </c>
      <c r="E5650" t="s">
        <v>9</v>
      </c>
      <c r="F5650">
        <v>64.77</v>
      </c>
      <c r="G5650" t="s">
        <v>22</v>
      </c>
      <c r="H5650" t="s">
        <v>12</v>
      </c>
    </row>
    <row r="5651" spans="1:8" x14ac:dyDescent="0.25">
      <c r="A5651" s="1">
        <v>45668.375</v>
      </c>
      <c r="B5651" t="s">
        <v>32</v>
      </c>
      <c r="C5651">
        <v>50.05</v>
      </c>
      <c r="D5651">
        <v>19.11</v>
      </c>
      <c r="E5651" t="s">
        <v>9</v>
      </c>
      <c r="F5651">
        <v>54.5</v>
      </c>
      <c r="G5651" t="s">
        <v>22</v>
      </c>
      <c r="H5651" t="s">
        <v>12</v>
      </c>
    </row>
    <row r="5652" spans="1:8" x14ac:dyDescent="0.25">
      <c r="A5652" s="1">
        <v>45668.416666666664</v>
      </c>
      <c r="B5652" t="s">
        <v>32</v>
      </c>
      <c r="C5652">
        <v>361.92</v>
      </c>
      <c r="D5652">
        <v>32.130000000000003</v>
      </c>
      <c r="E5652" t="s">
        <v>9</v>
      </c>
      <c r="F5652">
        <v>56</v>
      </c>
      <c r="G5652" t="s">
        <v>22</v>
      </c>
      <c r="H5652" t="s">
        <v>11</v>
      </c>
    </row>
    <row r="5653" spans="1:8" x14ac:dyDescent="0.25">
      <c r="A5653" s="1">
        <v>45668.458333333336</v>
      </c>
      <c r="B5653" t="s">
        <v>32</v>
      </c>
      <c r="C5653">
        <v>153.29</v>
      </c>
      <c r="D5653">
        <v>55.49</v>
      </c>
      <c r="E5653" t="s">
        <v>9</v>
      </c>
      <c r="F5653">
        <v>84.68</v>
      </c>
      <c r="G5653" t="s">
        <v>22</v>
      </c>
      <c r="H5653" t="s">
        <v>11</v>
      </c>
    </row>
    <row r="5654" spans="1:8" x14ac:dyDescent="0.25">
      <c r="A5654" s="1">
        <v>45668.5</v>
      </c>
      <c r="B5654" t="s">
        <v>32</v>
      </c>
      <c r="C5654">
        <v>451.11</v>
      </c>
      <c r="D5654">
        <v>88.12</v>
      </c>
      <c r="E5654" t="s">
        <v>14</v>
      </c>
      <c r="F5654">
        <v>60.44</v>
      </c>
      <c r="G5654" t="s">
        <v>22</v>
      </c>
      <c r="H5654" t="s">
        <v>12</v>
      </c>
    </row>
    <row r="5655" spans="1:8" x14ac:dyDescent="0.25">
      <c r="A5655" s="1">
        <v>45668.541666666664</v>
      </c>
      <c r="B5655" t="s">
        <v>32</v>
      </c>
      <c r="C5655">
        <v>62.13</v>
      </c>
      <c r="D5655">
        <v>21.34</v>
      </c>
      <c r="E5655" t="s">
        <v>9</v>
      </c>
      <c r="F5655">
        <v>39.409999999999997</v>
      </c>
      <c r="G5655" t="s">
        <v>22</v>
      </c>
      <c r="H5655" t="s">
        <v>11</v>
      </c>
    </row>
    <row r="5656" spans="1:8" x14ac:dyDescent="0.25">
      <c r="A5656" s="1">
        <v>45668.583333333336</v>
      </c>
      <c r="B5656" t="s">
        <v>32</v>
      </c>
      <c r="C5656">
        <v>203.71</v>
      </c>
      <c r="D5656">
        <v>31.69</v>
      </c>
      <c r="E5656" t="s">
        <v>9</v>
      </c>
      <c r="F5656">
        <v>75.44</v>
      </c>
      <c r="G5656" t="s">
        <v>22</v>
      </c>
      <c r="H5656" t="s">
        <v>13</v>
      </c>
    </row>
    <row r="5657" spans="1:8" x14ac:dyDescent="0.25">
      <c r="A5657" s="1">
        <v>45668.625</v>
      </c>
      <c r="B5657" t="s">
        <v>32</v>
      </c>
      <c r="C5657">
        <v>450.79</v>
      </c>
      <c r="D5657">
        <v>63.57</v>
      </c>
      <c r="E5657" t="s">
        <v>9</v>
      </c>
      <c r="F5657">
        <v>82.57</v>
      </c>
      <c r="G5657" t="s">
        <v>22</v>
      </c>
      <c r="H5657" t="s">
        <v>11</v>
      </c>
    </row>
    <row r="5658" spans="1:8" x14ac:dyDescent="0.25">
      <c r="A5658" s="1">
        <v>45668.666666666664</v>
      </c>
      <c r="B5658" t="s">
        <v>32</v>
      </c>
      <c r="C5658">
        <v>390.69</v>
      </c>
      <c r="D5658">
        <v>45.61</v>
      </c>
      <c r="E5658" t="s">
        <v>9</v>
      </c>
      <c r="F5658">
        <v>79.48</v>
      </c>
      <c r="G5658" t="s">
        <v>22</v>
      </c>
      <c r="H5658" t="s">
        <v>12</v>
      </c>
    </row>
    <row r="5659" spans="1:8" x14ac:dyDescent="0.25">
      <c r="A5659" s="1">
        <v>45668.708333333336</v>
      </c>
      <c r="B5659" t="s">
        <v>32</v>
      </c>
      <c r="C5659">
        <v>137.35</v>
      </c>
      <c r="D5659">
        <v>21.38</v>
      </c>
      <c r="E5659" t="s">
        <v>9</v>
      </c>
      <c r="F5659">
        <v>49.77</v>
      </c>
      <c r="G5659" t="s">
        <v>22</v>
      </c>
      <c r="H5659" t="s">
        <v>12</v>
      </c>
    </row>
    <row r="5660" spans="1:8" x14ac:dyDescent="0.25">
      <c r="A5660" s="1">
        <v>45668.75</v>
      </c>
      <c r="B5660" t="s">
        <v>32</v>
      </c>
      <c r="C5660">
        <v>163.69</v>
      </c>
      <c r="D5660">
        <v>55.29</v>
      </c>
      <c r="E5660" t="s">
        <v>9</v>
      </c>
      <c r="F5660">
        <v>88.77</v>
      </c>
      <c r="G5660" t="s">
        <v>22</v>
      </c>
      <c r="H5660" t="s">
        <v>11</v>
      </c>
    </row>
    <row r="5661" spans="1:8" x14ac:dyDescent="0.25">
      <c r="A5661" s="1">
        <v>45668.791666666664</v>
      </c>
      <c r="B5661" t="s">
        <v>32</v>
      </c>
      <c r="C5661">
        <v>357.03</v>
      </c>
      <c r="D5661">
        <v>45.27</v>
      </c>
      <c r="E5661" t="s">
        <v>9</v>
      </c>
      <c r="F5661">
        <v>67.95</v>
      </c>
      <c r="G5661" t="s">
        <v>22</v>
      </c>
      <c r="H5661" t="s">
        <v>13</v>
      </c>
    </row>
    <row r="5662" spans="1:8" x14ac:dyDescent="0.25">
      <c r="A5662" s="1">
        <v>45668.833333333336</v>
      </c>
      <c r="B5662" t="s">
        <v>32</v>
      </c>
      <c r="C5662">
        <v>161.85</v>
      </c>
      <c r="D5662">
        <v>56.25</v>
      </c>
      <c r="E5662" t="s">
        <v>9</v>
      </c>
      <c r="F5662">
        <v>31.42</v>
      </c>
      <c r="G5662" t="s">
        <v>22</v>
      </c>
      <c r="H5662" t="s">
        <v>13</v>
      </c>
    </row>
    <row r="5663" spans="1:8" x14ac:dyDescent="0.25">
      <c r="A5663" s="1">
        <v>45668.875</v>
      </c>
      <c r="B5663" t="s">
        <v>32</v>
      </c>
      <c r="C5663">
        <v>127.88</v>
      </c>
      <c r="D5663">
        <v>40.69</v>
      </c>
      <c r="E5663" t="s">
        <v>9</v>
      </c>
      <c r="F5663">
        <v>78.25</v>
      </c>
      <c r="G5663" t="s">
        <v>22</v>
      </c>
      <c r="H5663" t="s">
        <v>13</v>
      </c>
    </row>
    <row r="5664" spans="1:8" x14ac:dyDescent="0.25">
      <c r="A5664" s="1">
        <v>45668.916666666664</v>
      </c>
      <c r="B5664" t="s">
        <v>32</v>
      </c>
      <c r="C5664">
        <v>148.79</v>
      </c>
      <c r="D5664">
        <v>19.72</v>
      </c>
      <c r="E5664" t="s">
        <v>9</v>
      </c>
      <c r="F5664">
        <v>50.87</v>
      </c>
      <c r="G5664" t="s">
        <v>22</v>
      </c>
      <c r="H5664" t="s">
        <v>11</v>
      </c>
    </row>
    <row r="5665" spans="1:8" x14ac:dyDescent="0.25">
      <c r="A5665" s="1">
        <v>45668.958333333336</v>
      </c>
      <c r="B5665" t="s">
        <v>32</v>
      </c>
      <c r="C5665">
        <v>483.33</v>
      </c>
      <c r="D5665">
        <v>25.29</v>
      </c>
      <c r="E5665" t="s">
        <v>9</v>
      </c>
      <c r="F5665">
        <v>32.630000000000003</v>
      </c>
      <c r="G5665" t="s">
        <v>22</v>
      </c>
      <c r="H5665" t="s">
        <v>13</v>
      </c>
    </row>
    <row r="5666" spans="1:8" x14ac:dyDescent="0.25">
      <c r="A5666" s="1">
        <v>45669</v>
      </c>
      <c r="B5666" t="s">
        <v>32</v>
      </c>
      <c r="C5666">
        <v>341.82</v>
      </c>
      <c r="D5666">
        <v>90.95</v>
      </c>
      <c r="E5666" t="s">
        <v>14</v>
      </c>
      <c r="F5666">
        <v>81.45</v>
      </c>
      <c r="G5666" t="s">
        <v>22</v>
      </c>
      <c r="H5666" t="s">
        <v>12</v>
      </c>
    </row>
    <row r="5667" spans="1:8" x14ac:dyDescent="0.25">
      <c r="A5667" s="1">
        <v>45669.041666666664</v>
      </c>
      <c r="B5667" t="s">
        <v>32</v>
      </c>
      <c r="C5667">
        <v>116.11</v>
      </c>
      <c r="D5667">
        <v>73.989999999999995</v>
      </c>
      <c r="E5667" t="s">
        <v>9</v>
      </c>
      <c r="F5667">
        <v>33.299999999999997</v>
      </c>
      <c r="G5667" t="s">
        <v>22</v>
      </c>
      <c r="H5667" t="s">
        <v>11</v>
      </c>
    </row>
    <row r="5668" spans="1:8" x14ac:dyDescent="0.25">
      <c r="A5668" s="1">
        <v>45669.083333333336</v>
      </c>
      <c r="B5668" t="s">
        <v>32</v>
      </c>
      <c r="C5668">
        <v>330.86</v>
      </c>
      <c r="D5668">
        <v>93.16</v>
      </c>
      <c r="E5668" t="s">
        <v>14</v>
      </c>
      <c r="F5668">
        <v>36.020000000000003</v>
      </c>
      <c r="G5668" t="s">
        <v>22</v>
      </c>
      <c r="H5668" t="s">
        <v>11</v>
      </c>
    </row>
    <row r="5669" spans="1:8" x14ac:dyDescent="0.25">
      <c r="A5669" s="1">
        <v>45669.125</v>
      </c>
      <c r="B5669" t="s">
        <v>32</v>
      </c>
      <c r="C5669">
        <v>466.7</v>
      </c>
      <c r="D5669">
        <v>89.4</v>
      </c>
      <c r="E5669" t="s">
        <v>14</v>
      </c>
      <c r="F5669">
        <v>54.97</v>
      </c>
      <c r="G5669" t="s">
        <v>22</v>
      </c>
      <c r="H5669" t="s">
        <v>11</v>
      </c>
    </row>
    <row r="5670" spans="1:8" x14ac:dyDescent="0.25">
      <c r="A5670" s="1">
        <v>45669.166666666664</v>
      </c>
      <c r="B5670" t="s">
        <v>32</v>
      </c>
      <c r="C5670">
        <v>63.68</v>
      </c>
      <c r="D5670">
        <v>70.290000000000006</v>
      </c>
      <c r="E5670" t="s">
        <v>9</v>
      </c>
      <c r="F5670">
        <v>86.08</v>
      </c>
      <c r="G5670" t="s">
        <v>22</v>
      </c>
      <c r="H5670" t="s">
        <v>11</v>
      </c>
    </row>
    <row r="5671" spans="1:8" x14ac:dyDescent="0.25">
      <c r="A5671" s="1">
        <v>45669.208333333336</v>
      </c>
      <c r="B5671" t="s">
        <v>32</v>
      </c>
      <c r="C5671">
        <v>90.28</v>
      </c>
      <c r="D5671">
        <v>83.12</v>
      </c>
      <c r="E5671" t="s">
        <v>9</v>
      </c>
      <c r="F5671">
        <v>62.09</v>
      </c>
      <c r="G5671" t="s">
        <v>22</v>
      </c>
      <c r="H5671" t="s">
        <v>13</v>
      </c>
    </row>
    <row r="5672" spans="1:8" x14ac:dyDescent="0.25">
      <c r="A5672" s="1">
        <v>45669.25</v>
      </c>
      <c r="B5672" t="s">
        <v>32</v>
      </c>
      <c r="C5672">
        <v>202.04</v>
      </c>
      <c r="D5672">
        <v>22.05</v>
      </c>
      <c r="E5672" t="s">
        <v>9</v>
      </c>
      <c r="F5672">
        <v>87.4</v>
      </c>
      <c r="G5672" t="s">
        <v>22</v>
      </c>
      <c r="H5672" t="s">
        <v>12</v>
      </c>
    </row>
    <row r="5673" spans="1:8" x14ac:dyDescent="0.25">
      <c r="A5673" s="1">
        <v>45669.291666666664</v>
      </c>
      <c r="B5673" t="s">
        <v>32</v>
      </c>
      <c r="C5673">
        <v>414.44</v>
      </c>
      <c r="D5673">
        <v>23.76</v>
      </c>
      <c r="E5673" t="s">
        <v>9</v>
      </c>
      <c r="F5673">
        <v>48.09</v>
      </c>
      <c r="G5673" t="s">
        <v>22</v>
      </c>
      <c r="H5673" t="s">
        <v>13</v>
      </c>
    </row>
    <row r="5674" spans="1:8" x14ac:dyDescent="0.25">
      <c r="A5674" s="1">
        <v>45669.333333333336</v>
      </c>
      <c r="B5674" t="s">
        <v>32</v>
      </c>
      <c r="C5674">
        <v>286.44</v>
      </c>
      <c r="D5674">
        <v>91.49</v>
      </c>
      <c r="E5674" t="s">
        <v>14</v>
      </c>
      <c r="F5674">
        <v>58.86</v>
      </c>
      <c r="G5674" t="s">
        <v>22</v>
      </c>
      <c r="H5674" t="s">
        <v>12</v>
      </c>
    </row>
    <row r="5675" spans="1:8" x14ac:dyDescent="0.25">
      <c r="A5675" s="1">
        <v>45669.375</v>
      </c>
      <c r="B5675" t="s">
        <v>32</v>
      </c>
      <c r="C5675">
        <v>199.22</v>
      </c>
      <c r="D5675">
        <v>23.88</v>
      </c>
      <c r="E5675" t="s">
        <v>9</v>
      </c>
      <c r="F5675">
        <v>54.79</v>
      </c>
      <c r="G5675" t="s">
        <v>22</v>
      </c>
      <c r="H5675" t="s">
        <v>13</v>
      </c>
    </row>
    <row r="5676" spans="1:8" x14ac:dyDescent="0.25">
      <c r="A5676" s="1">
        <v>45669.416666666664</v>
      </c>
      <c r="B5676" t="s">
        <v>32</v>
      </c>
      <c r="C5676">
        <v>102.44</v>
      </c>
      <c r="D5676">
        <v>63.81</v>
      </c>
      <c r="E5676" t="s">
        <v>9</v>
      </c>
      <c r="F5676">
        <v>53.87</v>
      </c>
      <c r="G5676" t="s">
        <v>22</v>
      </c>
      <c r="H5676" t="s">
        <v>12</v>
      </c>
    </row>
    <row r="5677" spans="1:8" x14ac:dyDescent="0.25">
      <c r="A5677" s="1">
        <v>45669.458333333336</v>
      </c>
      <c r="B5677" t="s">
        <v>32</v>
      </c>
      <c r="C5677">
        <v>191.68</v>
      </c>
      <c r="D5677">
        <v>60.04</v>
      </c>
      <c r="E5677" t="s">
        <v>9</v>
      </c>
      <c r="F5677">
        <v>66.77</v>
      </c>
      <c r="G5677" t="s">
        <v>22</v>
      </c>
      <c r="H5677" t="s">
        <v>11</v>
      </c>
    </row>
    <row r="5678" spans="1:8" x14ac:dyDescent="0.25">
      <c r="A5678" s="1">
        <v>45669.5</v>
      </c>
      <c r="B5678" t="s">
        <v>32</v>
      </c>
      <c r="C5678">
        <v>390.62</v>
      </c>
      <c r="D5678">
        <v>25.05</v>
      </c>
      <c r="E5678" t="s">
        <v>9</v>
      </c>
      <c r="F5678">
        <v>87.91</v>
      </c>
      <c r="G5678" t="s">
        <v>22</v>
      </c>
      <c r="H5678" t="s">
        <v>11</v>
      </c>
    </row>
    <row r="5679" spans="1:8" x14ac:dyDescent="0.25">
      <c r="A5679" s="1">
        <v>45669.541666666664</v>
      </c>
      <c r="B5679" t="s">
        <v>32</v>
      </c>
      <c r="C5679">
        <v>467</v>
      </c>
      <c r="D5679">
        <v>47.39</v>
      </c>
      <c r="E5679" t="s">
        <v>9</v>
      </c>
      <c r="F5679">
        <v>74.430000000000007</v>
      </c>
      <c r="G5679" t="s">
        <v>22</v>
      </c>
      <c r="H5679" t="s">
        <v>12</v>
      </c>
    </row>
    <row r="5680" spans="1:8" x14ac:dyDescent="0.25">
      <c r="A5680" s="1">
        <v>45669.583333333336</v>
      </c>
      <c r="B5680" t="s">
        <v>32</v>
      </c>
      <c r="C5680">
        <v>65.430000000000007</v>
      </c>
      <c r="D5680">
        <v>72.900000000000006</v>
      </c>
      <c r="E5680" t="s">
        <v>9</v>
      </c>
      <c r="F5680">
        <v>86.6</v>
      </c>
      <c r="G5680" t="s">
        <v>22</v>
      </c>
      <c r="H5680" t="s">
        <v>13</v>
      </c>
    </row>
    <row r="5681" spans="1:8" x14ac:dyDescent="0.25">
      <c r="A5681" s="1">
        <v>45669.625</v>
      </c>
      <c r="B5681" t="s">
        <v>32</v>
      </c>
      <c r="C5681">
        <v>145.08000000000001</v>
      </c>
      <c r="D5681">
        <v>37.24</v>
      </c>
      <c r="E5681" t="s">
        <v>9</v>
      </c>
      <c r="F5681">
        <v>68.87</v>
      </c>
      <c r="G5681" t="s">
        <v>22</v>
      </c>
      <c r="H5681" t="s">
        <v>12</v>
      </c>
    </row>
    <row r="5682" spans="1:8" x14ac:dyDescent="0.25">
      <c r="A5682" s="1">
        <v>45669.666666666664</v>
      </c>
      <c r="B5682" t="s">
        <v>32</v>
      </c>
      <c r="C5682">
        <v>300.82</v>
      </c>
      <c r="D5682">
        <v>47.41</v>
      </c>
      <c r="E5682" t="s">
        <v>9</v>
      </c>
      <c r="F5682">
        <v>40.14</v>
      </c>
      <c r="G5682" t="s">
        <v>22</v>
      </c>
      <c r="H5682" t="s">
        <v>11</v>
      </c>
    </row>
    <row r="5683" spans="1:8" x14ac:dyDescent="0.25">
      <c r="A5683" s="1">
        <v>45669.708333333336</v>
      </c>
      <c r="B5683" t="s">
        <v>32</v>
      </c>
      <c r="C5683">
        <v>463.43</v>
      </c>
      <c r="D5683">
        <v>61.18</v>
      </c>
      <c r="E5683" t="s">
        <v>9</v>
      </c>
      <c r="F5683">
        <v>85.18</v>
      </c>
      <c r="G5683" t="s">
        <v>22</v>
      </c>
      <c r="H5683" t="s">
        <v>12</v>
      </c>
    </row>
    <row r="5684" spans="1:8" x14ac:dyDescent="0.25">
      <c r="A5684" s="1">
        <v>45669.75</v>
      </c>
      <c r="B5684" t="s">
        <v>32</v>
      </c>
      <c r="C5684">
        <v>319.27999999999997</v>
      </c>
      <c r="D5684">
        <v>15.76</v>
      </c>
      <c r="E5684" t="s">
        <v>9</v>
      </c>
      <c r="F5684">
        <v>49.98</v>
      </c>
      <c r="G5684" t="s">
        <v>22</v>
      </c>
      <c r="H5684" t="s">
        <v>11</v>
      </c>
    </row>
    <row r="5685" spans="1:8" x14ac:dyDescent="0.25">
      <c r="A5685" s="1">
        <v>45669.791666666664</v>
      </c>
      <c r="B5685" t="s">
        <v>32</v>
      </c>
      <c r="C5685">
        <v>150.18</v>
      </c>
      <c r="D5685">
        <v>23.65</v>
      </c>
      <c r="E5685" t="s">
        <v>9</v>
      </c>
      <c r="F5685">
        <v>60.07</v>
      </c>
      <c r="G5685" t="s">
        <v>22</v>
      </c>
      <c r="H5685" t="s">
        <v>13</v>
      </c>
    </row>
    <row r="5686" spans="1:8" x14ac:dyDescent="0.25">
      <c r="A5686" s="1">
        <v>45669.833333333336</v>
      </c>
      <c r="B5686" t="s">
        <v>32</v>
      </c>
      <c r="C5686">
        <v>234.81</v>
      </c>
      <c r="D5686">
        <v>55.71</v>
      </c>
      <c r="E5686" t="s">
        <v>9</v>
      </c>
      <c r="F5686">
        <v>43.03</v>
      </c>
      <c r="G5686" t="s">
        <v>22</v>
      </c>
      <c r="H5686" t="s">
        <v>13</v>
      </c>
    </row>
    <row r="5687" spans="1:8" x14ac:dyDescent="0.25">
      <c r="A5687" s="1">
        <v>45669.875</v>
      </c>
      <c r="B5687" t="s">
        <v>32</v>
      </c>
      <c r="C5687">
        <v>242.69</v>
      </c>
      <c r="D5687">
        <v>33.33</v>
      </c>
      <c r="E5687" t="s">
        <v>9</v>
      </c>
      <c r="F5687">
        <v>75.55</v>
      </c>
      <c r="G5687" t="s">
        <v>22</v>
      </c>
      <c r="H5687" t="s">
        <v>13</v>
      </c>
    </row>
    <row r="5688" spans="1:8" x14ac:dyDescent="0.25">
      <c r="A5688" s="1">
        <v>45669.916666666664</v>
      </c>
      <c r="B5688" t="s">
        <v>32</v>
      </c>
      <c r="C5688">
        <v>377.11</v>
      </c>
      <c r="D5688">
        <v>89.83</v>
      </c>
      <c r="E5688" t="s">
        <v>14</v>
      </c>
      <c r="F5688">
        <v>44.23</v>
      </c>
      <c r="G5688" t="s">
        <v>22</v>
      </c>
      <c r="H5688" t="s">
        <v>12</v>
      </c>
    </row>
    <row r="5689" spans="1:8" x14ac:dyDescent="0.25">
      <c r="A5689" s="1">
        <v>45669.958333333336</v>
      </c>
      <c r="B5689" t="s">
        <v>32</v>
      </c>
      <c r="C5689">
        <v>96.8</v>
      </c>
      <c r="D5689">
        <v>40.119999999999997</v>
      </c>
      <c r="E5689" t="s">
        <v>9</v>
      </c>
      <c r="F5689">
        <v>62.29</v>
      </c>
      <c r="G5689" t="s">
        <v>22</v>
      </c>
      <c r="H5689" t="s">
        <v>11</v>
      </c>
    </row>
    <row r="5690" spans="1:8" x14ac:dyDescent="0.25">
      <c r="A5690" s="1">
        <v>45670</v>
      </c>
      <c r="B5690" t="s">
        <v>32</v>
      </c>
      <c r="C5690">
        <v>273.29000000000002</v>
      </c>
      <c r="D5690">
        <v>27.75</v>
      </c>
      <c r="E5690" t="s">
        <v>9</v>
      </c>
      <c r="F5690">
        <v>68.94</v>
      </c>
      <c r="G5690" t="s">
        <v>22</v>
      </c>
      <c r="H5690" t="s">
        <v>12</v>
      </c>
    </row>
    <row r="5691" spans="1:8" x14ac:dyDescent="0.25">
      <c r="A5691" s="1">
        <v>45670.041666666664</v>
      </c>
      <c r="B5691" t="s">
        <v>32</v>
      </c>
      <c r="C5691">
        <v>127.87</v>
      </c>
      <c r="D5691">
        <v>29.61</v>
      </c>
      <c r="E5691" t="s">
        <v>9</v>
      </c>
      <c r="F5691">
        <v>75.739999999999995</v>
      </c>
      <c r="G5691" t="s">
        <v>22</v>
      </c>
      <c r="H5691" t="s">
        <v>12</v>
      </c>
    </row>
    <row r="5692" spans="1:8" x14ac:dyDescent="0.25">
      <c r="A5692" s="1">
        <v>45670.083333333336</v>
      </c>
      <c r="B5692" t="s">
        <v>32</v>
      </c>
      <c r="C5692">
        <v>498.83</v>
      </c>
      <c r="D5692">
        <v>56.34</v>
      </c>
      <c r="E5692" t="s">
        <v>9</v>
      </c>
      <c r="F5692">
        <v>62.66</v>
      </c>
      <c r="G5692" t="s">
        <v>22</v>
      </c>
      <c r="H5692" t="s">
        <v>13</v>
      </c>
    </row>
    <row r="5693" spans="1:8" x14ac:dyDescent="0.25">
      <c r="A5693" s="1">
        <v>45670.125</v>
      </c>
      <c r="B5693" t="s">
        <v>32</v>
      </c>
      <c r="C5693">
        <v>236.27</v>
      </c>
      <c r="D5693">
        <v>20.5</v>
      </c>
      <c r="E5693" t="s">
        <v>9</v>
      </c>
      <c r="F5693">
        <v>85.45</v>
      </c>
      <c r="G5693" t="s">
        <v>22</v>
      </c>
      <c r="H5693" t="s">
        <v>13</v>
      </c>
    </row>
    <row r="5694" spans="1:8" x14ac:dyDescent="0.25">
      <c r="A5694" s="1">
        <v>45670.166666666664</v>
      </c>
      <c r="B5694" t="s">
        <v>32</v>
      </c>
      <c r="C5694">
        <v>118.06</v>
      </c>
      <c r="D5694">
        <v>88.12</v>
      </c>
      <c r="E5694" t="s">
        <v>14</v>
      </c>
      <c r="F5694">
        <v>64.930000000000007</v>
      </c>
      <c r="G5694" t="s">
        <v>22</v>
      </c>
      <c r="H5694" t="s">
        <v>12</v>
      </c>
    </row>
    <row r="5695" spans="1:8" x14ac:dyDescent="0.25">
      <c r="A5695" s="1">
        <v>45670.208333333336</v>
      </c>
      <c r="B5695" t="s">
        <v>32</v>
      </c>
      <c r="C5695">
        <v>207.65</v>
      </c>
      <c r="D5695">
        <v>20.98</v>
      </c>
      <c r="E5695" t="s">
        <v>9</v>
      </c>
      <c r="F5695">
        <v>41.16</v>
      </c>
      <c r="G5695" t="s">
        <v>22</v>
      </c>
      <c r="H5695" t="s">
        <v>12</v>
      </c>
    </row>
    <row r="5696" spans="1:8" x14ac:dyDescent="0.25">
      <c r="A5696" s="1">
        <v>45670.25</v>
      </c>
      <c r="B5696" t="s">
        <v>32</v>
      </c>
      <c r="C5696">
        <v>362.14</v>
      </c>
      <c r="D5696">
        <v>46.94</v>
      </c>
      <c r="E5696" t="s">
        <v>9</v>
      </c>
      <c r="F5696">
        <v>76.92</v>
      </c>
      <c r="G5696" t="s">
        <v>22</v>
      </c>
      <c r="H5696" t="s">
        <v>13</v>
      </c>
    </row>
    <row r="5697" spans="1:8" x14ac:dyDescent="0.25">
      <c r="A5697" s="1">
        <v>45670.291666666664</v>
      </c>
      <c r="B5697" t="s">
        <v>32</v>
      </c>
      <c r="C5697">
        <v>197.43</v>
      </c>
      <c r="D5697">
        <v>39</v>
      </c>
      <c r="E5697" t="s">
        <v>9</v>
      </c>
      <c r="F5697">
        <v>34.28</v>
      </c>
      <c r="G5697" t="s">
        <v>22</v>
      </c>
      <c r="H5697" t="s">
        <v>12</v>
      </c>
    </row>
    <row r="5698" spans="1:8" x14ac:dyDescent="0.25">
      <c r="A5698" s="1">
        <v>45670.333333333336</v>
      </c>
      <c r="B5698" t="s">
        <v>32</v>
      </c>
      <c r="C5698">
        <v>334.87</v>
      </c>
      <c r="D5698">
        <v>62.6</v>
      </c>
      <c r="E5698" t="s">
        <v>9</v>
      </c>
      <c r="F5698">
        <v>74.38</v>
      </c>
      <c r="G5698" t="s">
        <v>22</v>
      </c>
      <c r="H5698" t="s">
        <v>12</v>
      </c>
    </row>
    <row r="5699" spans="1:8" x14ac:dyDescent="0.25">
      <c r="A5699" s="1">
        <v>45670.375</v>
      </c>
      <c r="B5699" t="s">
        <v>32</v>
      </c>
      <c r="C5699">
        <v>417.71</v>
      </c>
      <c r="D5699">
        <v>93.72</v>
      </c>
      <c r="E5699" t="s">
        <v>14</v>
      </c>
      <c r="F5699">
        <v>86.86</v>
      </c>
      <c r="G5699" t="s">
        <v>22</v>
      </c>
      <c r="H5699" t="s">
        <v>11</v>
      </c>
    </row>
    <row r="5700" spans="1:8" x14ac:dyDescent="0.25">
      <c r="A5700" s="1">
        <v>45670.416666666664</v>
      </c>
      <c r="B5700" t="s">
        <v>32</v>
      </c>
      <c r="C5700">
        <v>442.05</v>
      </c>
      <c r="D5700">
        <v>74.59</v>
      </c>
      <c r="E5700" t="s">
        <v>9</v>
      </c>
      <c r="F5700">
        <v>72.2</v>
      </c>
      <c r="G5700" t="s">
        <v>22</v>
      </c>
      <c r="H5700" t="s">
        <v>12</v>
      </c>
    </row>
    <row r="5701" spans="1:8" x14ac:dyDescent="0.25">
      <c r="A5701" s="1">
        <v>45670.458333333336</v>
      </c>
      <c r="B5701" t="s">
        <v>32</v>
      </c>
      <c r="C5701">
        <v>407.34</v>
      </c>
      <c r="D5701">
        <v>86.52</v>
      </c>
      <c r="E5701" t="s">
        <v>14</v>
      </c>
      <c r="F5701">
        <v>73.92</v>
      </c>
      <c r="G5701" t="s">
        <v>22</v>
      </c>
      <c r="H5701" t="s">
        <v>13</v>
      </c>
    </row>
    <row r="5702" spans="1:8" x14ac:dyDescent="0.25">
      <c r="A5702" s="1">
        <v>45670.5</v>
      </c>
      <c r="B5702" t="s">
        <v>32</v>
      </c>
      <c r="C5702">
        <v>182.33</v>
      </c>
      <c r="D5702">
        <v>26.01</v>
      </c>
      <c r="E5702" t="s">
        <v>9</v>
      </c>
      <c r="F5702">
        <v>57.51</v>
      </c>
      <c r="G5702" t="s">
        <v>22</v>
      </c>
      <c r="H5702" t="s">
        <v>12</v>
      </c>
    </row>
    <row r="5703" spans="1:8" x14ac:dyDescent="0.25">
      <c r="A5703" s="1">
        <v>45670.541666666664</v>
      </c>
      <c r="B5703" t="s">
        <v>32</v>
      </c>
      <c r="C5703">
        <v>464.6</v>
      </c>
      <c r="D5703">
        <v>34.159999999999997</v>
      </c>
      <c r="E5703" t="s">
        <v>9</v>
      </c>
      <c r="F5703">
        <v>44.38</v>
      </c>
      <c r="G5703" t="s">
        <v>22</v>
      </c>
      <c r="H5703" t="s">
        <v>12</v>
      </c>
    </row>
    <row r="5704" spans="1:8" x14ac:dyDescent="0.25">
      <c r="A5704" s="1">
        <v>45670.583333333336</v>
      </c>
      <c r="B5704" t="s">
        <v>32</v>
      </c>
      <c r="C5704">
        <v>470.93</v>
      </c>
      <c r="D5704">
        <v>81.180000000000007</v>
      </c>
      <c r="E5704" t="s">
        <v>9</v>
      </c>
      <c r="F5704">
        <v>73.650000000000006</v>
      </c>
      <c r="G5704" t="s">
        <v>22</v>
      </c>
      <c r="H5704" t="s">
        <v>13</v>
      </c>
    </row>
    <row r="5705" spans="1:8" x14ac:dyDescent="0.25">
      <c r="A5705" s="1">
        <v>45670.625</v>
      </c>
      <c r="B5705" t="s">
        <v>32</v>
      </c>
      <c r="C5705">
        <v>207.05</v>
      </c>
      <c r="D5705">
        <v>59.79</v>
      </c>
      <c r="E5705" t="s">
        <v>9</v>
      </c>
      <c r="F5705">
        <v>34.61</v>
      </c>
      <c r="G5705" t="s">
        <v>22</v>
      </c>
      <c r="H5705" t="s">
        <v>12</v>
      </c>
    </row>
    <row r="5706" spans="1:8" x14ac:dyDescent="0.25">
      <c r="A5706" s="1">
        <v>45670.666666666664</v>
      </c>
      <c r="B5706" t="s">
        <v>32</v>
      </c>
      <c r="C5706">
        <v>362.92</v>
      </c>
      <c r="D5706">
        <v>77.77</v>
      </c>
      <c r="E5706" t="s">
        <v>9</v>
      </c>
      <c r="F5706">
        <v>56.83</v>
      </c>
      <c r="G5706" t="s">
        <v>22</v>
      </c>
      <c r="H5706" t="s">
        <v>11</v>
      </c>
    </row>
    <row r="5707" spans="1:8" x14ac:dyDescent="0.25">
      <c r="A5707" s="1">
        <v>45670.708333333336</v>
      </c>
      <c r="B5707" t="s">
        <v>32</v>
      </c>
      <c r="C5707">
        <v>197.31</v>
      </c>
      <c r="D5707">
        <v>45.14</v>
      </c>
      <c r="E5707" t="s">
        <v>9</v>
      </c>
      <c r="F5707">
        <v>34.5</v>
      </c>
      <c r="G5707" t="s">
        <v>22</v>
      </c>
      <c r="H5707" t="s">
        <v>13</v>
      </c>
    </row>
    <row r="5708" spans="1:8" x14ac:dyDescent="0.25">
      <c r="A5708" s="1">
        <v>45670.75</v>
      </c>
      <c r="B5708" t="s">
        <v>32</v>
      </c>
      <c r="C5708">
        <v>210.79</v>
      </c>
      <c r="D5708">
        <v>41.22</v>
      </c>
      <c r="E5708" t="s">
        <v>9</v>
      </c>
      <c r="F5708">
        <v>59.92</v>
      </c>
      <c r="G5708" t="s">
        <v>22</v>
      </c>
      <c r="H5708" t="s">
        <v>13</v>
      </c>
    </row>
    <row r="5709" spans="1:8" x14ac:dyDescent="0.25">
      <c r="A5709" s="1">
        <v>45670.791666666664</v>
      </c>
      <c r="B5709" t="s">
        <v>32</v>
      </c>
      <c r="C5709">
        <v>337.3</v>
      </c>
      <c r="D5709">
        <v>76.349999999999994</v>
      </c>
      <c r="E5709" t="s">
        <v>9</v>
      </c>
      <c r="F5709">
        <v>40.31</v>
      </c>
      <c r="G5709" t="s">
        <v>22</v>
      </c>
      <c r="H5709" t="s">
        <v>12</v>
      </c>
    </row>
    <row r="5710" spans="1:8" x14ac:dyDescent="0.25">
      <c r="A5710" s="1">
        <v>45670.833333333336</v>
      </c>
      <c r="B5710" t="s">
        <v>32</v>
      </c>
      <c r="C5710">
        <v>354.56</v>
      </c>
      <c r="D5710">
        <v>67.59</v>
      </c>
      <c r="E5710" t="s">
        <v>9</v>
      </c>
      <c r="F5710">
        <v>37.04</v>
      </c>
      <c r="G5710" t="s">
        <v>22</v>
      </c>
      <c r="H5710" t="s">
        <v>11</v>
      </c>
    </row>
    <row r="5711" spans="1:8" x14ac:dyDescent="0.25">
      <c r="A5711" s="1">
        <v>45670.875</v>
      </c>
      <c r="B5711" t="s">
        <v>32</v>
      </c>
      <c r="C5711">
        <v>354.7</v>
      </c>
      <c r="D5711">
        <v>66.489999999999995</v>
      </c>
      <c r="E5711" t="s">
        <v>9</v>
      </c>
      <c r="F5711">
        <v>33.53</v>
      </c>
      <c r="G5711" t="s">
        <v>22</v>
      </c>
      <c r="H5711" t="s">
        <v>13</v>
      </c>
    </row>
    <row r="5712" spans="1:8" x14ac:dyDescent="0.25">
      <c r="A5712" s="1">
        <v>45670.916666666664</v>
      </c>
      <c r="B5712" t="s">
        <v>32</v>
      </c>
      <c r="C5712">
        <v>306.77</v>
      </c>
      <c r="D5712">
        <v>75.150000000000006</v>
      </c>
      <c r="E5712" t="s">
        <v>9</v>
      </c>
      <c r="F5712">
        <v>35.94</v>
      </c>
      <c r="G5712" t="s">
        <v>22</v>
      </c>
      <c r="H5712" t="s">
        <v>13</v>
      </c>
    </row>
    <row r="5713" spans="1:8" x14ac:dyDescent="0.25">
      <c r="A5713" s="1">
        <v>45670.958333333336</v>
      </c>
      <c r="B5713" t="s">
        <v>32</v>
      </c>
      <c r="C5713">
        <v>480.7</v>
      </c>
      <c r="D5713">
        <v>83.34</v>
      </c>
      <c r="E5713" t="s">
        <v>9</v>
      </c>
      <c r="F5713">
        <v>30.66</v>
      </c>
      <c r="G5713" t="s">
        <v>22</v>
      </c>
      <c r="H5713" t="s">
        <v>12</v>
      </c>
    </row>
    <row r="5714" spans="1:8" x14ac:dyDescent="0.25">
      <c r="A5714" s="1">
        <v>45671</v>
      </c>
      <c r="B5714" t="s">
        <v>32</v>
      </c>
      <c r="C5714">
        <v>282.81</v>
      </c>
      <c r="D5714">
        <v>31.86</v>
      </c>
      <c r="E5714" t="s">
        <v>9</v>
      </c>
      <c r="F5714">
        <v>75.87</v>
      </c>
      <c r="G5714" t="s">
        <v>22</v>
      </c>
      <c r="H5714" t="s">
        <v>13</v>
      </c>
    </row>
    <row r="5715" spans="1:8" x14ac:dyDescent="0.25">
      <c r="A5715" s="1">
        <v>45671.041666666664</v>
      </c>
      <c r="B5715" t="s">
        <v>32</v>
      </c>
      <c r="C5715">
        <v>324.52999999999997</v>
      </c>
      <c r="D5715">
        <v>17.079999999999998</v>
      </c>
      <c r="E5715" t="s">
        <v>9</v>
      </c>
      <c r="F5715">
        <v>76.27</v>
      </c>
      <c r="G5715" t="s">
        <v>22</v>
      </c>
      <c r="H5715" t="s">
        <v>12</v>
      </c>
    </row>
    <row r="5716" spans="1:8" x14ac:dyDescent="0.25">
      <c r="A5716" s="1">
        <v>45671.083333333336</v>
      </c>
      <c r="B5716" t="s">
        <v>32</v>
      </c>
      <c r="C5716">
        <v>468.41</v>
      </c>
      <c r="D5716">
        <v>39.83</v>
      </c>
      <c r="E5716" t="s">
        <v>9</v>
      </c>
      <c r="F5716">
        <v>41.69</v>
      </c>
      <c r="G5716" t="s">
        <v>22</v>
      </c>
      <c r="H5716" t="s">
        <v>12</v>
      </c>
    </row>
    <row r="5717" spans="1:8" x14ac:dyDescent="0.25">
      <c r="A5717" s="1">
        <v>45671.125</v>
      </c>
      <c r="B5717" t="s">
        <v>32</v>
      </c>
      <c r="C5717">
        <v>52.72</v>
      </c>
      <c r="D5717">
        <v>46.65</v>
      </c>
      <c r="E5717" t="s">
        <v>9</v>
      </c>
      <c r="F5717">
        <v>32.520000000000003</v>
      </c>
      <c r="G5717" t="s">
        <v>22</v>
      </c>
      <c r="H5717" t="s">
        <v>12</v>
      </c>
    </row>
    <row r="5718" spans="1:8" x14ac:dyDescent="0.25">
      <c r="A5718" s="1">
        <v>45671.166666666664</v>
      </c>
      <c r="B5718" t="s">
        <v>32</v>
      </c>
      <c r="C5718">
        <v>486.03</v>
      </c>
      <c r="D5718">
        <v>67.08</v>
      </c>
      <c r="E5718" t="s">
        <v>9</v>
      </c>
      <c r="F5718">
        <v>43.46</v>
      </c>
      <c r="G5718" t="s">
        <v>22</v>
      </c>
      <c r="H5718" t="s">
        <v>12</v>
      </c>
    </row>
    <row r="5719" spans="1:8" x14ac:dyDescent="0.25">
      <c r="A5719" s="1">
        <v>45671.208333333336</v>
      </c>
      <c r="B5719" t="s">
        <v>32</v>
      </c>
      <c r="C5719">
        <v>489.49</v>
      </c>
      <c r="D5719">
        <v>32.14</v>
      </c>
      <c r="E5719" t="s">
        <v>9</v>
      </c>
      <c r="F5719">
        <v>63.69</v>
      </c>
      <c r="G5719" t="s">
        <v>22</v>
      </c>
      <c r="H5719" t="s">
        <v>12</v>
      </c>
    </row>
    <row r="5720" spans="1:8" x14ac:dyDescent="0.25">
      <c r="A5720" s="1">
        <v>45671.25</v>
      </c>
      <c r="B5720" t="s">
        <v>32</v>
      </c>
      <c r="C5720">
        <v>216.59</v>
      </c>
      <c r="D5720">
        <v>68.72</v>
      </c>
      <c r="E5720" t="s">
        <v>9</v>
      </c>
      <c r="F5720">
        <v>52.6</v>
      </c>
      <c r="G5720" t="s">
        <v>22</v>
      </c>
      <c r="H5720" t="s">
        <v>12</v>
      </c>
    </row>
    <row r="5721" spans="1:8" x14ac:dyDescent="0.25">
      <c r="A5721" s="1">
        <v>45671.291666666664</v>
      </c>
      <c r="B5721" t="s">
        <v>32</v>
      </c>
      <c r="C5721">
        <v>347.18</v>
      </c>
      <c r="D5721">
        <v>58.48</v>
      </c>
      <c r="E5721" t="s">
        <v>9</v>
      </c>
      <c r="F5721">
        <v>46.71</v>
      </c>
      <c r="G5721" t="s">
        <v>22</v>
      </c>
      <c r="H5721" t="s">
        <v>12</v>
      </c>
    </row>
    <row r="5722" spans="1:8" x14ac:dyDescent="0.25">
      <c r="A5722" s="1">
        <v>45671.333333333336</v>
      </c>
      <c r="B5722" t="s">
        <v>32</v>
      </c>
      <c r="C5722">
        <v>366.83</v>
      </c>
      <c r="D5722">
        <v>91.81</v>
      </c>
      <c r="E5722" t="s">
        <v>14</v>
      </c>
      <c r="F5722">
        <v>77.459999999999994</v>
      </c>
      <c r="G5722" t="s">
        <v>22</v>
      </c>
      <c r="H5722" t="s">
        <v>12</v>
      </c>
    </row>
    <row r="5723" spans="1:8" x14ac:dyDescent="0.25">
      <c r="A5723" s="1">
        <v>45671.375</v>
      </c>
      <c r="B5723" t="s">
        <v>32</v>
      </c>
      <c r="C5723">
        <v>81.05</v>
      </c>
      <c r="D5723">
        <v>21.67</v>
      </c>
      <c r="E5723" t="s">
        <v>9</v>
      </c>
      <c r="F5723">
        <v>50.53</v>
      </c>
      <c r="G5723" t="s">
        <v>22</v>
      </c>
      <c r="H5723" t="s">
        <v>12</v>
      </c>
    </row>
    <row r="5724" spans="1:8" x14ac:dyDescent="0.25">
      <c r="A5724" s="1">
        <v>45671.416666666664</v>
      </c>
      <c r="B5724" t="s">
        <v>32</v>
      </c>
      <c r="C5724">
        <v>266.33999999999997</v>
      </c>
      <c r="D5724">
        <v>19.059999999999999</v>
      </c>
      <c r="E5724" t="s">
        <v>9</v>
      </c>
      <c r="F5724">
        <v>87.09</v>
      </c>
      <c r="G5724" t="s">
        <v>22</v>
      </c>
      <c r="H5724" t="s">
        <v>12</v>
      </c>
    </row>
    <row r="5725" spans="1:8" x14ac:dyDescent="0.25">
      <c r="A5725" s="1">
        <v>45671.458333333336</v>
      </c>
      <c r="B5725" t="s">
        <v>32</v>
      </c>
      <c r="C5725">
        <v>478.85</v>
      </c>
      <c r="D5725">
        <v>75.040000000000006</v>
      </c>
      <c r="E5725" t="s">
        <v>9</v>
      </c>
      <c r="F5725">
        <v>40.770000000000003</v>
      </c>
      <c r="G5725" t="s">
        <v>22</v>
      </c>
      <c r="H5725" t="s">
        <v>13</v>
      </c>
    </row>
    <row r="5726" spans="1:8" x14ac:dyDescent="0.25">
      <c r="A5726" s="1">
        <v>45671.5</v>
      </c>
      <c r="B5726" t="s">
        <v>32</v>
      </c>
      <c r="C5726">
        <v>226.46</v>
      </c>
      <c r="D5726">
        <v>52.41</v>
      </c>
      <c r="E5726" t="s">
        <v>9</v>
      </c>
      <c r="F5726">
        <v>55.29</v>
      </c>
      <c r="G5726" t="s">
        <v>22</v>
      </c>
      <c r="H5726" t="s">
        <v>11</v>
      </c>
    </row>
    <row r="5727" spans="1:8" x14ac:dyDescent="0.25">
      <c r="A5727" s="1">
        <v>45671.541666666664</v>
      </c>
      <c r="B5727" t="s">
        <v>32</v>
      </c>
      <c r="C5727">
        <v>78.28</v>
      </c>
      <c r="D5727">
        <v>76.17</v>
      </c>
      <c r="E5727" t="s">
        <v>9</v>
      </c>
      <c r="F5727">
        <v>74.040000000000006</v>
      </c>
      <c r="G5727" t="s">
        <v>22</v>
      </c>
      <c r="H5727" t="s">
        <v>11</v>
      </c>
    </row>
    <row r="5728" spans="1:8" x14ac:dyDescent="0.25">
      <c r="A5728" s="1">
        <v>45671.583333333336</v>
      </c>
      <c r="B5728" t="s">
        <v>32</v>
      </c>
      <c r="C5728">
        <v>158.02000000000001</v>
      </c>
      <c r="D5728">
        <v>78.58</v>
      </c>
      <c r="E5728" t="s">
        <v>9</v>
      </c>
      <c r="F5728">
        <v>76.45</v>
      </c>
      <c r="G5728" t="s">
        <v>22</v>
      </c>
      <c r="H5728" t="s">
        <v>12</v>
      </c>
    </row>
    <row r="5729" spans="1:8" x14ac:dyDescent="0.25">
      <c r="A5729" s="1">
        <v>45671.625</v>
      </c>
      <c r="B5729" t="s">
        <v>32</v>
      </c>
      <c r="C5729">
        <v>50.53</v>
      </c>
      <c r="D5729">
        <v>30.72</v>
      </c>
      <c r="E5729" t="s">
        <v>9</v>
      </c>
      <c r="F5729">
        <v>54.68</v>
      </c>
      <c r="G5729" t="s">
        <v>22</v>
      </c>
      <c r="H5729" t="s">
        <v>13</v>
      </c>
    </row>
    <row r="5730" spans="1:8" x14ac:dyDescent="0.25">
      <c r="A5730" s="1">
        <v>45671.666666666664</v>
      </c>
      <c r="B5730" t="s">
        <v>32</v>
      </c>
      <c r="C5730">
        <v>320.27</v>
      </c>
      <c r="D5730">
        <v>60.53</v>
      </c>
      <c r="E5730" t="s">
        <v>9</v>
      </c>
      <c r="F5730">
        <v>34.909999999999997</v>
      </c>
      <c r="G5730" t="s">
        <v>22</v>
      </c>
      <c r="H5730" t="s">
        <v>12</v>
      </c>
    </row>
    <row r="5731" spans="1:8" x14ac:dyDescent="0.25">
      <c r="A5731" s="1">
        <v>45671.708333333336</v>
      </c>
      <c r="B5731" t="s">
        <v>32</v>
      </c>
      <c r="C5731">
        <v>376.08</v>
      </c>
      <c r="D5731">
        <v>53.83</v>
      </c>
      <c r="E5731" t="s">
        <v>9</v>
      </c>
      <c r="F5731">
        <v>31.16</v>
      </c>
      <c r="G5731" t="s">
        <v>22</v>
      </c>
      <c r="H5731" t="s">
        <v>12</v>
      </c>
    </row>
    <row r="5732" spans="1:8" x14ac:dyDescent="0.25">
      <c r="A5732" s="1">
        <v>45671.75</v>
      </c>
      <c r="B5732" t="s">
        <v>32</v>
      </c>
      <c r="C5732">
        <v>60.45</v>
      </c>
      <c r="D5732">
        <v>34.36</v>
      </c>
      <c r="E5732" t="s">
        <v>9</v>
      </c>
      <c r="F5732">
        <v>37.28</v>
      </c>
      <c r="G5732" t="s">
        <v>22</v>
      </c>
      <c r="H5732" t="s">
        <v>12</v>
      </c>
    </row>
    <row r="5733" spans="1:8" x14ac:dyDescent="0.25">
      <c r="A5733" s="1">
        <v>45671.791666666664</v>
      </c>
      <c r="B5733" t="s">
        <v>32</v>
      </c>
      <c r="C5733">
        <v>174.05</v>
      </c>
      <c r="D5733">
        <v>94.06</v>
      </c>
      <c r="E5733" t="s">
        <v>14</v>
      </c>
      <c r="F5733">
        <v>46.21</v>
      </c>
      <c r="G5733" t="s">
        <v>22</v>
      </c>
      <c r="H5733" t="s">
        <v>11</v>
      </c>
    </row>
    <row r="5734" spans="1:8" x14ac:dyDescent="0.25">
      <c r="A5734" s="1">
        <v>45671.833333333336</v>
      </c>
      <c r="B5734" t="s">
        <v>32</v>
      </c>
      <c r="C5734">
        <v>137.01</v>
      </c>
      <c r="D5734">
        <v>33.94</v>
      </c>
      <c r="E5734" t="s">
        <v>9</v>
      </c>
      <c r="F5734">
        <v>60.43</v>
      </c>
      <c r="G5734" t="s">
        <v>22</v>
      </c>
      <c r="H5734" t="s">
        <v>11</v>
      </c>
    </row>
    <row r="5735" spans="1:8" x14ac:dyDescent="0.25">
      <c r="A5735" s="1">
        <v>45671.875</v>
      </c>
      <c r="B5735" t="s">
        <v>32</v>
      </c>
      <c r="C5735">
        <v>181.33</v>
      </c>
      <c r="D5735">
        <v>82.69</v>
      </c>
      <c r="E5735" t="s">
        <v>9</v>
      </c>
      <c r="F5735">
        <v>89.85</v>
      </c>
      <c r="G5735" t="s">
        <v>22</v>
      </c>
      <c r="H5735" t="s">
        <v>11</v>
      </c>
    </row>
    <row r="5736" spans="1:8" x14ac:dyDescent="0.25">
      <c r="A5736" s="1">
        <v>45671.916666666664</v>
      </c>
      <c r="B5736" t="s">
        <v>32</v>
      </c>
      <c r="C5736">
        <v>316.94</v>
      </c>
      <c r="D5736">
        <v>73.959999999999994</v>
      </c>
      <c r="E5736" t="s">
        <v>9</v>
      </c>
      <c r="F5736">
        <v>56.44</v>
      </c>
      <c r="G5736" t="s">
        <v>22</v>
      </c>
      <c r="H5736" t="s">
        <v>12</v>
      </c>
    </row>
    <row r="5737" spans="1:8" x14ac:dyDescent="0.25">
      <c r="A5737" s="1">
        <v>45671.958333333336</v>
      </c>
      <c r="B5737" t="s">
        <v>32</v>
      </c>
      <c r="C5737">
        <v>186.17</v>
      </c>
      <c r="D5737">
        <v>71.260000000000005</v>
      </c>
      <c r="E5737" t="s">
        <v>9</v>
      </c>
      <c r="F5737">
        <v>45.5</v>
      </c>
      <c r="G5737" t="s">
        <v>22</v>
      </c>
      <c r="H5737" t="s">
        <v>12</v>
      </c>
    </row>
    <row r="5738" spans="1:8" x14ac:dyDescent="0.25">
      <c r="A5738" s="1">
        <v>45672</v>
      </c>
      <c r="B5738" t="s">
        <v>32</v>
      </c>
      <c r="C5738">
        <v>423.79</v>
      </c>
      <c r="D5738">
        <v>78.62</v>
      </c>
      <c r="E5738" t="s">
        <v>9</v>
      </c>
      <c r="F5738">
        <v>42.93</v>
      </c>
      <c r="G5738" t="s">
        <v>22</v>
      </c>
      <c r="H5738" t="s">
        <v>12</v>
      </c>
    </row>
    <row r="5739" spans="1:8" x14ac:dyDescent="0.25">
      <c r="A5739" s="1">
        <v>45672.041666666664</v>
      </c>
      <c r="B5739" t="s">
        <v>32</v>
      </c>
      <c r="C5739">
        <v>148.72999999999999</v>
      </c>
      <c r="D5739">
        <v>32.630000000000003</v>
      </c>
      <c r="E5739" t="s">
        <v>9</v>
      </c>
      <c r="F5739">
        <v>61.22</v>
      </c>
      <c r="G5739" t="s">
        <v>22</v>
      </c>
      <c r="H5739" t="s">
        <v>11</v>
      </c>
    </row>
    <row r="5740" spans="1:8" x14ac:dyDescent="0.25">
      <c r="A5740" s="1">
        <v>45672.083333333336</v>
      </c>
      <c r="B5740" t="s">
        <v>32</v>
      </c>
      <c r="C5740">
        <v>397.06</v>
      </c>
      <c r="D5740">
        <v>43.97</v>
      </c>
      <c r="E5740" t="s">
        <v>9</v>
      </c>
      <c r="F5740">
        <v>53.81</v>
      </c>
      <c r="G5740" t="s">
        <v>22</v>
      </c>
      <c r="H5740" t="s">
        <v>11</v>
      </c>
    </row>
    <row r="5741" spans="1:8" x14ac:dyDescent="0.25">
      <c r="A5741" s="1">
        <v>45672.125</v>
      </c>
      <c r="B5741" t="s">
        <v>32</v>
      </c>
      <c r="C5741">
        <v>417.47</v>
      </c>
      <c r="D5741">
        <v>82.96</v>
      </c>
      <c r="E5741" t="s">
        <v>9</v>
      </c>
      <c r="F5741">
        <v>44.13</v>
      </c>
      <c r="G5741" t="s">
        <v>22</v>
      </c>
      <c r="H5741" t="s">
        <v>11</v>
      </c>
    </row>
    <row r="5742" spans="1:8" x14ac:dyDescent="0.25">
      <c r="A5742" s="1">
        <v>45672.166666666664</v>
      </c>
      <c r="B5742" t="s">
        <v>32</v>
      </c>
      <c r="C5742">
        <v>407.2</v>
      </c>
      <c r="D5742">
        <v>51.91</v>
      </c>
      <c r="E5742" t="s">
        <v>9</v>
      </c>
      <c r="F5742">
        <v>78.25</v>
      </c>
      <c r="G5742" t="s">
        <v>22</v>
      </c>
      <c r="H5742" t="s">
        <v>12</v>
      </c>
    </row>
    <row r="5743" spans="1:8" x14ac:dyDescent="0.25">
      <c r="A5743" s="1">
        <v>45672.208333333336</v>
      </c>
      <c r="B5743" t="s">
        <v>32</v>
      </c>
      <c r="C5743">
        <v>143.66</v>
      </c>
      <c r="D5743">
        <v>34.97</v>
      </c>
      <c r="E5743" t="s">
        <v>9</v>
      </c>
      <c r="F5743">
        <v>40.83</v>
      </c>
      <c r="G5743" t="s">
        <v>22</v>
      </c>
      <c r="H5743" t="s">
        <v>11</v>
      </c>
    </row>
    <row r="5744" spans="1:8" x14ac:dyDescent="0.25">
      <c r="A5744" s="1">
        <v>45672.25</v>
      </c>
      <c r="B5744" t="s">
        <v>32</v>
      </c>
      <c r="C5744">
        <v>458.54</v>
      </c>
      <c r="D5744">
        <v>89.42</v>
      </c>
      <c r="E5744" t="s">
        <v>14</v>
      </c>
      <c r="F5744">
        <v>33.11</v>
      </c>
      <c r="G5744" t="s">
        <v>22</v>
      </c>
      <c r="H5744" t="s">
        <v>11</v>
      </c>
    </row>
    <row r="5745" spans="1:8" x14ac:dyDescent="0.25">
      <c r="A5745" s="1">
        <v>45672.291666666664</v>
      </c>
      <c r="B5745" t="s">
        <v>32</v>
      </c>
      <c r="C5745">
        <v>303.89999999999998</v>
      </c>
      <c r="D5745">
        <v>45.63</v>
      </c>
      <c r="E5745" t="s">
        <v>9</v>
      </c>
      <c r="F5745">
        <v>67.900000000000006</v>
      </c>
      <c r="G5745" t="s">
        <v>22</v>
      </c>
      <c r="H5745" t="s">
        <v>12</v>
      </c>
    </row>
    <row r="5746" spans="1:8" x14ac:dyDescent="0.25">
      <c r="A5746" s="1">
        <v>45672.333333333336</v>
      </c>
      <c r="B5746" t="s">
        <v>32</v>
      </c>
      <c r="C5746">
        <v>104.17</v>
      </c>
      <c r="D5746">
        <v>57.72</v>
      </c>
      <c r="E5746" t="s">
        <v>9</v>
      </c>
      <c r="F5746">
        <v>73.709999999999994</v>
      </c>
      <c r="G5746" t="s">
        <v>22</v>
      </c>
      <c r="H5746" t="s">
        <v>13</v>
      </c>
    </row>
    <row r="5747" spans="1:8" x14ac:dyDescent="0.25">
      <c r="A5747" s="1">
        <v>45672.375</v>
      </c>
      <c r="B5747" t="s">
        <v>32</v>
      </c>
      <c r="C5747">
        <v>201.93</v>
      </c>
      <c r="D5747">
        <v>48.9</v>
      </c>
      <c r="E5747" t="s">
        <v>9</v>
      </c>
      <c r="F5747">
        <v>60.2</v>
      </c>
      <c r="G5747" t="s">
        <v>22</v>
      </c>
      <c r="H5747" t="s">
        <v>11</v>
      </c>
    </row>
    <row r="5748" spans="1:8" x14ac:dyDescent="0.25">
      <c r="A5748" s="1">
        <v>45672.416666666664</v>
      </c>
      <c r="B5748" t="s">
        <v>32</v>
      </c>
      <c r="C5748">
        <v>366.19</v>
      </c>
      <c r="D5748">
        <v>45.23</v>
      </c>
      <c r="E5748" t="s">
        <v>9</v>
      </c>
      <c r="F5748">
        <v>53.13</v>
      </c>
      <c r="G5748" t="s">
        <v>22</v>
      </c>
      <c r="H5748" t="s">
        <v>13</v>
      </c>
    </row>
    <row r="5749" spans="1:8" x14ac:dyDescent="0.25">
      <c r="A5749" s="1">
        <v>45672.458333333336</v>
      </c>
      <c r="B5749" t="s">
        <v>32</v>
      </c>
      <c r="C5749">
        <v>432.41</v>
      </c>
      <c r="D5749">
        <v>32.85</v>
      </c>
      <c r="E5749" t="s">
        <v>9</v>
      </c>
      <c r="F5749">
        <v>48.88</v>
      </c>
      <c r="G5749" t="s">
        <v>22</v>
      </c>
      <c r="H5749" t="s">
        <v>13</v>
      </c>
    </row>
    <row r="5750" spans="1:8" x14ac:dyDescent="0.25">
      <c r="A5750" s="1">
        <v>45672.5</v>
      </c>
      <c r="B5750" t="s">
        <v>32</v>
      </c>
      <c r="C5750">
        <v>337.62</v>
      </c>
      <c r="D5750">
        <v>24.87</v>
      </c>
      <c r="E5750" t="s">
        <v>9</v>
      </c>
      <c r="F5750">
        <v>62.41</v>
      </c>
      <c r="G5750" t="s">
        <v>22</v>
      </c>
      <c r="H5750" t="s">
        <v>13</v>
      </c>
    </row>
    <row r="5751" spans="1:8" x14ac:dyDescent="0.25">
      <c r="A5751" s="1">
        <v>45672.541666666664</v>
      </c>
      <c r="B5751" t="s">
        <v>32</v>
      </c>
      <c r="C5751">
        <v>124.48</v>
      </c>
      <c r="D5751">
        <v>71.02</v>
      </c>
      <c r="E5751" t="s">
        <v>9</v>
      </c>
      <c r="F5751">
        <v>38.4</v>
      </c>
      <c r="G5751" t="s">
        <v>22</v>
      </c>
      <c r="H5751" t="s">
        <v>12</v>
      </c>
    </row>
    <row r="5752" spans="1:8" x14ac:dyDescent="0.25">
      <c r="A5752" s="1">
        <v>45672.583333333336</v>
      </c>
      <c r="B5752" t="s">
        <v>32</v>
      </c>
      <c r="C5752">
        <v>428.1</v>
      </c>
      <c r="D5752">
        <v>93.33</v>
      </c>
      <c r="E5752" t="s">
        <v>14</v>
      </c>
      <c r="F5752">
        <v>34.44</v>
      </c>
      <c r="G5752" t="s">
        <v>22</v>
      </c>
      <c r="H5752" t="s">
        <v>11</v>
      </c>
    </row>
    <row r="5753" spans="1:8" x14ac:dyDescent="0.25">
      <c r="A5753" s="1">
        <v>45672.625</v>
      </c>
      <c r="B5753" t="s">
        <v>32</v>
      </c>
      <c r="C5753">
        <v>381.13</v>
      </c>
      <c r="D5753">
        <v>44.92</v>
      </c>
      <c r="E5753" t="s">
        <v>9</v>
      </c>
      <c r="F5753">
        <v>35.19</v>
      </c>
      <c r="G5753" t="s">
        <v>22</v>
      </c>
      <c r="H5753" t="s">
        <v>11</v>
      </c>
    </row>
    <row r="5754" spans="1:8" x14ac:dyDescent="0.25">
      <c r="A5754" s="1">
        <v>45672.666666666664</v>
      </c>
      <c r="B5754" t="s">
        <v>32</v>
      </c>
      <c r="C5754">
        <v>142.52000000000001</v>
      </c>
      <c r="D5754">
        <v>36.72</v>
      </c>
      <c r="E5754" t="s">
        <v>9</v>
      </c>
      <c r="F5754">
        <v>55.76</v>
      </c>
      <c r="G5754" t="s">
        <v>22</v>
      </c>
      <c r="H5754" t="s">
        <v>13</v>
      </c>
    </row>
    <row r="5755" spans="1:8" x14ac:dyDescent="0.25">
      <c r="A5755" s="1">
        <v>45672.708333333336</v>
      </c>
      <c r="B5755" t="s">
        <v>32</v>
      </c>
      <c r="C5755">
        <v>137.54</v>
      </c>
      <c r="D5755">
        <v>20.190000000000001</v>
      </c>
      <c r="E5755" t="s">
        <v>9</v>
      </c>
      <c r="F5755">
        <v>65.59</v>
      </c>
      <c r="G5755" t="s">
        <v>22</v>
      </c>
      <c r="H5755" t="s">
        <v>13</v>
      </c>
    </row>
    <row r="5756" spans="1:8" x14ac:dyDescent="0.25">
      <c r="A5756" s="1">
        <v>45672.75</v>
      </c>
      <c r="B5756" t="s">
        <v>32</v>
      </c>
      <c r="C5756">
        <v>428.85</v>
      </c>
      <c r="D5756">
        <v>48.27</v>
      </c>
      <c r="E5756" t="s">
        <v>9</v>
      </c>
      <c r="F5756">
        <v>74.39</v>
      </c>
      <c r="G5756" t="s">
        <v>22</v>
      </c>
      <c r="H5756" t="s">
        <v>11</v>
      </c>
    </row>
    <row r="5757" spans="1:8" x14ac:dyDescent="0.25">
      <c r="A5757" s="1">
        <v>45672.791666666664</v>
      </c>
      <c r="B5757" t="s">
        <v>32</v>
      </c>
      <c r="C5757">
        <v>196.83</v>
      </c>
      <c r="D5757">
        <v>57.69</v>
      </c>
      <c r="E5757" t="s">
        <v>9</v>
      </c>
      <c r="F5757">
        <v>65.5</v>
      </c>
      <c r="G5757" t="s">
        <v>22</v>
      </c>
      <c r="H5757" t="s">
        <v>11</v>
      </c>
    </row>
    <row r="5758" spans="1:8" x14ac:dyDescent="0.25">
      <c r="A5758" s="1">
        <v>45672.833333333336</v>
      </c>
      <c r="B5758" t="s">
        <v>32</v>
      </c>
      <c r="C5758">
        <v>337.03</v>
      </c>
      <c r="D5758">
        <v>57.97</v>
      </c>
      <c r="E5758" t="s">
        <v>9</v>
      </c>
      <c r="F5758">
        <v>58.38</v>
      </c>
      <c r="G5758" t="s">
        <v>22</v>
      </c>
      <c r="H5758" t="s">
        <v>12</v>
      </c>
    </row>
    <row r="5759" spans="1:8" x14ac:dyDescent="0.25">
      <c r="A5759" s="1">
        <v>45672.875</v>
      </c>
      <c r="B5759" t="s">
        <v>32</v>
      </c>
      <c r="C5759">
        <v>185.52</v>
      </c>
      <c r="D5759">
        <v>17.11</v>
      </c>
      <c r="E5759" t="s">
        <v>9</v>
      </c>
      <c r="F5759">
        <v>38.82</v>
      </c>
      <c r="G5759" t="s">
        <v>22</v>
      </c>
      <c r="H5759" t="s">
        <v>12</v>
      </c>
    </row>
    <row r="5760" spans="1:8" x14ac:dyDescent="0.25">
      <c r="A5760" s="1">
        <v>45672.916666666664</v>
      </c>
      <c r="B5760" t="s">
        <v>32</v>
      </c>
      <c r="C5760">
        <v>449.59</v>
      </c>
      <c r="D5760">
        <v>65.260000000000005</v>
      </c>
      <c r="E5760" t="s">
        <v>9</v>
      </c>
      <c r="F5760">
        <v>73.36</v>
      </c>
      <c r="G5760" t="s">
        <v>22</v>
      </c>
      <c r="H5760" t="s">
        <v>13</v>
      </c>
    </row>
    <row r="5761" spans="1:8" x14ac:dyDescent="0.25">
      <c r="A5761" s="1">
        <v>45672.958333333336</v>
      </c>
      <c r="B5761" t="s">
        <v>32</v>
      </c>
      <c r="C5761">
        <v>377.45</v>
      </c>
      <c r="D5761">
        <v>46.18</v>
      </c>
      <c r="E5761" t="s">
        <v>9</v>
      </c>
      <c r="F5761">
        <v>87.81</v>
      </c>
      <c r="G5761" t="s">
        <v>22</v>
      </c>
      <c r="H5761" t="s">
        <v>12</v>
      </c>
    </row>
    <row r="5762" spans="1:8" x14ac:dyDescent="0.25">
      <c r="A5762" s="1">
        <v>45658</v>
      </c>
      <c r="B5762" t="s">
        <v>33</v>
      </c>
      <c r="C5762">
        <v>397.11</v>
      </c>
      <c r="D5762">
        <v>83.75</v>
      </c>
      <c r="E5762" t="s">
        <v>9</v>
      </c>
      <c r="F5762">
        <v>83.33</v>
      </c>
      <c r="G5762" t="s">
        <v>22</v>
      </c>
      <c r="H5762" t="s">
        <v>12</v>
      </c>
    </row>
    <row r="5763" spans="1:8" x14ac:dyDescent="0.25">
      <c r="A5763" s="1">
        <v>45658.041666666664</v>
      </c>
      <c r="B5763" t="s">
        <v>33</v>
      </c>
      <c r="C5763">
        <v>93.62</v>
      </c>
      <c r="D5763">
        <v>78.28</v>
      </c>
      <c r="E5763" t="s">
        <v>9</v>
      </c>
      <c r="F5763">
        <v>55.56</v>
      </c>
      <c r="G5763" t="s">
        <v>22</v>
      </c>
      <c r="H5763" t="s">
        <v>13</v>
      </c>
    </row>
    <row r="5764" spans="1:8" x14ac:dyDescent="0.25">
      <c r="A5764" s="1">
        <v>45658.083333333336</v>
      </c>
      <c r="B5764" t="s">
        <v>33</v>
      </c>
      <c r="C5764">
        <v>158.32</v>
      </c>
      <c r="D5764">
        <v>40.24</v>
      </c>
      <c r="E5764" t="s">
        <v>9</v>
      </c>
      <c r="F5764">
        <v>43.97</v>
      </c>
      <c r="G5764" t="s">
        <v>22</v>
      </c>
      <c r="H5764" t="s">
        <v>13</v>
      </c>
    </row>
    <row r="5765" spans="1:8" x14ac:dyDescent="0.25">
      <c r="A5765" s="1">
        <v>45658.125</v>
      </c>
      <c r="B5765" t="s">
        <v>33</v>
      </c>
      <c r="C5765">
        <v>327.27</v>
      </c>
      <c r="D5765">
        <v>80.010000000000005</v>
      </c>
      <c r="E5765" t="s">
        <v>9</v>
      </c>
      <c r="F5765">
        <v>57.14</v>
      </c>
      <c r="G5765" t="s">
        <v>22</v>
      </c>
      <c r="H5765" t="s">
        <v>11</v>
      </c>
    </row>
    <row r="5766" spans="1:8" x14ac:dyDescent="0.25">
      <c r="A5766" s="1">
        <v>45658.166666666664</v>
      </c>
      <c r="B5766" t="s">
        <v>33</v>
      </c>
      <c r="C5766">
        <v>251.76</v>
      </c>
      <c r="D5766">
        <v>78.17</v>
      </c>
      <c r="E5766" t="s">
        <v>9</v>
      </c>
      <c r="F5766">
        <v>56.9</v>
      </c>
      <c r="G5766" t="s">
        <v>22</v>
      </c>
      <c r="H5766" t="s">
        <v>13</v>
      </c>
    </row>
    <row r="5767" spans="1:8" x14ac:dyDescent="0.25">
      <c r="A5767" s="1">
        <v>45658.208333333336</v>
      </c>
      <c r="B5767" t="s">
        <v>33</v>
      </c>
      <c r="C5767">
        <v>233.82</v>
      </c>
      <c r="D5767">
        <v>21.96</v>
      </c>
      <c r="E5767" t="s">
        <v>9</v>
      </c>
      <c r="F5767">
        <v>46.09</v>
      </c>
      <c r="G5767" t="s">
        <v>22</v>
      </c>
      <c r="H5767" t="s">
        <v>13</v>
      </c>
    </row>
    <row r="5768" spans="1:8" x14ac:dyDescent="0.25">
      <c r="A5768" s="1">
        <v>45658.25</v>
      </c>
      <c r="B5768" t="s">
        <v>33</v>
      </c>
      <c r="C5768">
        <v>470.27</v>
      </c>
      <c r="D5768">
        <v>32.4</v>
      </c>
      <c r="E5768" t="s">
        <v>9</v>
      </c>
      <c r="F5768">
        <v>74.819999999999993</v>
      </c>
      <c r="G5768" t="s">
        <v>22</v>
      </c>
      <c r="H5768" t="s">
        <v>12</v>
      </c>
    </row>
    <row r="5769" spans="1:8" x14ac:dyDescent="0.25">
      <c r="A5769" s="1">
        <v>45658.291666666664</v>
      </c>
      <c r="B5769" t="s">
        <v>33</v>
      </c>
      <c r="C5769">
        <v>284.7</v>
      </c>
      <c r="D5769">
        <v>62.56</v>
      </c>
      <c r="E5769" t="s">
        <v>9</v>
      </c>
      <c r="F5769">
        <v>72.05</v>
      </c>
      <c r="G5769" t="s">
        <v>22</v>
      </c>
      <c r="H5769" t="s">
        <v>11</v>
      </c>
    </row>
    <row r="5770" spans="1:8" x14ac:dyDescent="0.25">
      <c r="A5770" s="1">
        <v>45658.333333333336</v>
      </c>
      <c r="B5770" t="s">
        <v>33</v>
      </c>
      <c r="C5770">
        <v>336.12</v>
      </c>
      <c r="D5770">
        <v>88.83</v>
      </c>
      <c r="E5770" t="s">
        <v>14</v>
      </c>
      <c r="F5770">
        <v>67.599999999999994</v>
      </c>
      <c r="G5770" t="s">
        <v>22</v>
      </c>
      <c r="H5770" t="s">
        <v>11</v>
      </c>
    </row>
    <row r="5771" spans="1:8" x14ac:dyDescent="0.25">
      <c r="A5771" s="1">
        <v>45658.375</v>
      </c>
      <c r="B5771" t="s">
        <v>33</v>
      </c>
      <c r="C5771">
        <v>481.26</v>
      </c>
      <c r="D5771">
        <v>93.45</v>
      </c>
      <c r="E5771" t="s">
        <v>14</v>
      </c>
      <c r="F5771">
        <v>68.290000000000006</v>
      </c>
      <c r="G5771" t="s">
        <v>22</v>
      </c>
      <c r="H5771" t="s">
        <v>13</v>
      </c>
    </row>
    <row r="5772" spans="1:8" x14ac:dyDescent="0.25">
      <c r="A5772" s="1">
        <v>45658.416666666664</v>
      </c>
      <c r="B5772" t="s">
        <v>33</v>
      </c>
      <c r="C5772">
        <v>422.83</v>
      </c>
      <c r="D5772">
        <v>34.03</v>
      </c>
      <c r="E5772" t="s">
        <v>9</v>
      </c>
      <c r="F5772">
        <v>61.45</v>
      </c>
      <c r="G5772" t="s">
        <v>22</v>
      </c>
      <c r="H5772" t="s">
        <v>11</v>
      </c>
    </row>
    <row r="5773" spans="1:8" x14ac:dyDescent="0.25">
      <c r="A5773" s="1">
        <v>45658.458333333336</v>
      </c>
      <c r="B5773" t="s">
        <v>33</v>
      </c>
      <c r="C5773">
        <v>137.66999999999999</v>
      </c>
      <c r="D5773">
        <v>89.65</v>
      </c>
      <c r="E5773" t="s">
        <v>14</v>
      </c>
      <c r="F5773">
        <v>36.270000000000003</v>
      </c>
      <c r="G5773" t="s">
        <v>22</v>
      </c>
      <c r="H5773" t="s">
        <v>12</v>
      </c>
    </row>
    <row r="5774" spans="1:8" x14ac:dyDescent="0.25">
      <c r="A5774" s="1">
        <v>45658.5</v>
      </c>
      <c r="B5774" t="s">
        <v>33</v>
      </c>
      <c r="C5774">
        <v>65.58</v>
      </c>
      <c r="D5774">
        <v>91.71</v>
      </c>
      <c r="E5774" t="s">
        <v>14</v>
      </c>
      <c r="F5774">
        <v>49.2</v>
      </c>
      <c r="G5774" t="s">
        <v>22</v>
      </c>
      <c r="H5774" t="s">
        <v>11</v>
      </c>
    </row>
    <row r="5775" spans="1:8" x14ac:dyDescent="0.25">
      <c r="A5775" s="1">
        <v>45658.541666666664</v>
      </c>
      <c r="B5775" t="s">
        <v>33</v>
      </c>
      <c r="C5775">
        <v>117.47</v>
      </c>
      <c r="D5775">
        <v>62.96</v>
      </c>
      <c r="E5775" t="s">
        <v>9</v>
      </c>
      <c r="F5775">
        <v>58.63</v>
      </c>
      <c r="G5775" t="s">
        <v>22</v>
      </c>
      <c r="H5775" t="s">
        <v>11</v>
      </c>
    </row>
    <row r="5776" spans="1:8" x14ac:dyDescent="0.25">
      <c r="A5776" s="1">
        <v>45658.583333333336</v>
      </c>
      <c r="B5776" t="s">
        <v>33</v>
      </c>
      <c r="C5776">
        <v>489.07</v>
      </c>
      <c r="D5776">
        <v>42.31</v>
      </c>
      <c r="E5776" t="s">
        <v>9</v>
      </c>
      <c r="F5776">
        <v>45.49</v>
      </c>
      <c r="G5776" t="s">
        <v>22</v>
      </c>
      <c r="H5776" t="s">
        <v>13</v>
      </c>
    </row>
    <row r="5777" spans="1:8" x14ac:dyDescent="0.25">
      <c r="A5777" s="1">
        <v>45658.625</v>
      </c>
      <c r="B5777" t="s">
        <v>33</v>
      </c>
      <c r="C5777">
        <v>111.33</v>
      </c>
      <c r="D5777">
        <v>75.13</v>
      </c>
      <c r="E5777" t="s">
        <v>9</v>
      </c>
      <c r="F5777">
        <v>49.82</v>
      </c>
      <c r="G5777" t="s">
        <v>22</v>
      </c>
      <c r="H5777" t="s">
        <v>13</v>
      </c>
    </row>
    <row r="5778" spans="1:8" x14ac:dyDescent="0.25">
      <c r="A5778" s="1">
        <v>45658.666666666664</v>
      </c>
      <c r="B5778" t="s">
        <v>33</v>
      </c>
      <c r="C5778">
        <v>232.48</v>
      </c>
      <c r="D5778">
        <v>84.58</v>
      </c>
      <c r="E5778" t="s">
        <v>9</v>
      </c>
      <c r="F5778">
        <v>68.510000000000005</v>
      </c>
      <c r="G5778" t="s">
        <v>22</v>
      </c>
      <c r="H5778" t="s">
        <v>12</v>
      </c>
    </row>
    <row r="5779" spans="1:8" x14ac:dyDescent="0.25">
      <c r="A5779" s="1">
        <v>45658.708333333336</v>
      </c>
      <c r="B5779" t="s">
        <v>33</v>
      </c>
      <c r="C5779">
        <v>171.84</v>
      </c>
      <c r="D5779">
        <v>68.069999999999993</v>
      </c>
      <c r="E5779" t="s">
        <v>9</v>
      </c>
      <c r="F5779">
        <v>32.86</v>
      </c>
      <c r="G5779" t="s">
        <v>22</v>
      </c>
      <c r="H5779" t="s">
        <v>12</v>
      </c>
    </row>
    <row r="5780" spans="1:8" x14ac:dyDescent="0.25">
      <c r="A5780" s="1">
        <v>45658.75</v>
      </c>
      <c r="B5780" t="s">
        <v>33</v>
      </c>
      <c r="C5780">
        <v>339.68</v>
      </c>
      <c r="D5780">
        <v>88.72</v>
      </c>
      <c r="E5780" t="s">
        <v>14</v>
      </c>
      <c r="F5780">
        <v>59.79</v>
      </c>
      <c r="G5780" t="s">
        <v>22</v>
      </c>
      <c r="H5780" t="s">
        <v>13</v>
      </c>
    </row>
    <row r="5781" spans="1:8" x14ac:dyDescent="0.25">
      <c r="A5781" s="1">
        <v>45658.791666666664</v>
      </c>
      <c r="B5781" t="s">
        <v>33</v>
      </c>
      <c r="C5781">
        <v>126.73</v>
      </c>
      <c r="D5781">
        <v>43.97</v>
      </c>
      <c r="E5781" t="s">
        <v>9</v>
      </c>
      <c r="F5781">
        <v>41.98</v>
      </c>
      <c r="G5781" t="s">
        <v>22</v>
      </c>
      <c r="H5781" t="s">
        <v>11</v>
      </c>
    </row>
    <row r="5782" spans="1:8" x14ac:dyDescent="0.25">
      <c r="A5782" s="1">
        <v>45658.833333333336</v>
      </c>
      <c r="B5782" t="s">
        <v>33</v>
      </c>
      <c r="C5782">
        <v>317.79000000000002</v>
      </c>
      <c r="D5782">
        <v>36.32</v>
      </c>
      <c r="E5782" t="s">
        <v>9</v>
      </c>
      <c r="F5782">
        <v>87.45</v>
      </c>
      <c r="G5782" t="s">
        <v>22</v>
      </c>
      <c r="H5782" t="s">
        <v>13</v>
      </c>
    </row>
    <row r="5783" spans="1:8" x14ac:dyDescent="0.25">
      <c r="A5783" s="1">
        <v>45658.875</v>
      </c>
      <c r="B5783" t="s">
        <v>33</v>
      </c>
      <c r="C5783">
        <v>153.46</v>
      </c>
      <c r="D5783">
        <v>90.59</v>
      </c>
      <c r="E5783" t="s">
        <v>14</v>
      </c>
      <c r="F5783">
        <v>80.72</v>
      </c>
      <c r="G5783" t="s">
        <v>22</v>
      </c>
      <c r="H5783" t="s">
        <v>11</v>
      </c>
    </row>
    <row r="5784" spans="1:8" x14ac:dyDescent="0.25">
      <c r="A5784" s="1">
        <v>45658.916666666664</v>
      </c>
      <c r="B5784" t="s">
        <v>33</v>
      </c>
      <c r="C5784">
        <v>84.49</v>
      </c>
      <c r="D5784">
        <v>62.31</v>
      </c>
      <c r="E5784" t="s">
        <v>9</v>
      </c>
      <c r="F5784">
        <v>82.05</v>
      </c>
      <c r="G5784" t="s">
        <v>22</v>
      </c>
      <c r="H5784" t="s">
        <v>12</v>
      </c>
    </row>
    <row r="5785" spans="1:8" x14ac:dyDescent="0.25">
      <c r="A5785" s="1">
        <v>45658.958333333336</v>
      </c>
      <c r="B5785" t="s">
        <v>33</v>
      </c>
      <c r="C5785">
        <v>271.33</v>
      </c>
      <c r="D5785">
        <v>30.2</v>
      </c>
      <c r="E5785" t="s">
        <v>9</v>
      </c>
      <c r="F5785">
        <v>73.56</v>
      </c>
      <c r="G5785" t="s">
        <v>22</v>
      </c>
      <c r="H5785" t="s">
        <v>12</v>
      </c>
    </row>
    <row r="5786" spans="1:8" x14ac:dyDescent="0.25">
      <c r="A5786" s="1">
        <v>45659</v>
      </c>
      <c r="B5786" t="s">
        <v>33</v>
      </c>
      <c r="C5786">
        <v>224.72</v>
      </c>
      <c r="D5786">
        <v>73.02</v>
      </c>
      <c r="E5786" t="s">
        <v>9</v>
      </c>
      <c r="F5786">
        <v>54.65</v>
      </c>
      <c r="G5786" t="s">
        <v>22</v>
      </c>
      <c r="H5786" t="s">
        <v>11</v>
      </c>
    </row>
    <row r="5787" spans="1:8" x14ac:dyDescent="0.25">
      <c r="A5787" s="1">
        <v>45659.041666666664</v>
      </c>
      <c r="B5787" t="s">
        <v>33</v>
      </c>
      <c r="C5787">
        <v>222.02</v>
      </c>
      <c r="D5787">
        <v>40.89</v>
      </c>
      <c r="E5787" t="s">
        <v>9</v>
      </c>
      <c r="F5787">
        <v>70.290000000000006</v>
      </c>
      <c r="G5787" t="s">
        <v>22</v>
      </c>
      <c r="H5787" t="s">
        <v>11</v>
      </c>
    </row>
    <row r="5788" spans="1:8" x14ac:dyDescent="0.25">
      <c r="A5788" s="1">
        <v>45659.083333333336</v>
      </c>
      <c r="B5788" t="s">
        <v>33</v>
      </c>
      <c r="C5788">
        <v>146.58000000000001</v>
      </c>
      <c r="D5788">
        <v>41.52</v>
      </c>
      <c r="E5788" t="s">
        <v>9</v>
      </c>
      <c r="F5788">
        <v>68.67</v>
      </c>
      <c r="G5788" t="s">
        <v>22</v>
      </c>
      <c r="H5788" t="s">
        <v>13</v>
      </c>
    </row>
    <row r="5789" spans="1:8" x14ac:dyDescent="0.25">
      <c r="A5789" s="1">
        <v>45659.125</v>
      </c>
      <c r="B5789" t="s">
        <v>33</v>
      </c>
      <c r="C5789">
        <v>317.22000000000003</v>
      </c>
      <c r="D5789">
        <v>36.950000000000003</v>
      </c>
      <c r="E5789" t="s">
        <v>9</v>
      </c>
      <c r="F5789">
        <v>70.17</v>
      </c>
      <c r="G5789" t="s">
        <v>22</v>
      </c>
      <c r="H5789" t="s">
        <v>12</v>
      </c>
    </row>
    <row r="5790" spans="1:8" x14ac:dyDescent="0.25">
      <c r="A5790" s="1">
        <v>45659.166666666664</v>
      </c>
      <c r="B5790" t="s">
        <v>33</v>
      </c>
      <c r="C5790">
        <v>381.12</v>
      </c>
      <c r="D5790">
        <v>66.290000000000006</v>
      </c>
      <c r="E5790" t="s">
        <v>9</v>
      </c>
      <c r="F5790">
        <v>88.27</v>
      </c>
      <c r="G5790" t="s">
        <v>22</v>
      </c>
      <c r="H5790" t="s">
        <v>11</v>
      </c>
    </row>
    <row r="5791" spans="1:8" x14ac:dyDescent="0.25">
      <c r="A5791" s="1">
        <v>45659.208333333336</v>
      </c>
      <c r="B5791" t="s">
        <v>33</v>
      </c>
      <c r="C5791">
        <v>108.39</v>
      </c>
      <c r="D5791">
        <v>65.41</v>
      </c>
      <c r="E5791" t="s">
        <v>9</v>
      </c>
      <c r="F5791">
        <v>49.68</v>
      </c>
      <c r="G5791" t="s">
        <v>22</v>
      </c>
      <c r="H5791" t="s">
        <v>13</v>
      </c>
    </row>
    <row r="5792" spans="1:8" x14ac:dyDescent="0.25">
      <c r="A5792" s="1">
        <v>45659.25</v>
      </c>
      <c r="B5792" t="s">
        <v>33</v>
      </c>
      <c r="C5792">
        <v>321.3</v>
      </c>
      <c r="D5792">
        <v>16.21</v>
      </c>
      <c r="E5792" t="s">
        <v>9</v>
      </c>
      <c r="F5792">
        <v>37.36</v>
      </c>
      <c r="G5792" t="s">
        <v>22</v>
      </c>
      <c r="H5792" t="s">
        <v>13</v>
      </c>
    </row>
    <row r="5793" spans="1:8" x14ac:dyDescent="0.25">
      <c r="A5793" s="1">
        <v>45659.291666666664</v>
      </c>
      <c r="B5793" t="s">
        <v>33</v>
      </c>
      <c r="C5793">
        <v>203.25</v>
      </c>
      <c r="D5793">
        <v>71.38</v>
      </c>
      <c r="E5793" t="s">
        <v>9</v>
      </c>
      <c r="F5793">
        <v>62.7</v>
      </c>
      <c r="G5793" t="s">
        <v>22</v>
      </c>
      <c r="H5793" t="s">
        <v>12</v>
      </c>
    </row>
    <row r="5794" spans="1:8" x14ac:dyDescent="0.25">
      <c r="A5794" s="1">
        <v>45659.333333333336</v>
      </c>
      <c r="B5794" t="s">
        <v>33</v>
      </c>
      <c r="C5794">
        <v>223.06</v>
      </c>
      <c r="D5794">
        <v>17.489999999999998</v>
      </c>
      <c r="E5794" t="s">
        <v>9</v>
      </c>
      <c r="F5794">
        <v>58.16</v>
      </c>
      <c r="G5794" t="s">
        <v>22</v>
      </c>
      <c r="H5794" t="s">
        <v>13</v>
      </c>
    </row>
    <row r="5795" spans="1:8" x14ac:dyDescent="0.25">
      <c r="A5795" s="1">
        <v>45659.375</v>
      </c>
      <c r="B5795" t="s">
        <v>33</v>
      </c>
      <c r="C5795">
        <v>478.27</v>
      </c>
      <c r="D5795">
        <v>54.63</v>
      </c>
      <c r="E5795" t="s">
        <v>9</v>
      </c>
      <c r="F5795">
        <v>60.15</v>
      </c>
      <c r="G5795" t="s">
        <v>22</v>
      </c>
      <c r="H5795" t="s">
        <v>11</v>
      </c>
    </row>
    <row r="5796" spans="1:8" x14ac:dyDescent="0.25">
      <c r="A5796" s="1">
        <v>45659.416666666664</v>
      </c>
      <c r="B5796" t="s">
        <v>33</v>
      </c>
      <c r="C5796">
        <v>221.61</v>
      </c>
      <c r="D5796">
        <v>89.49</v>
      </c>
      <c r="E5796" t="s">
        <v>14</v>
      </c>
      <c r="F5796">
        <v>43.78</v>
      </c>
      <c r="G5796" t="s">
        <v>22</v>
      </c>
      <c r="H5796" t="s">
        <v>11</v>
      </c>
    </row>
    <row r="5797" spans="1:8" x14ac:dyDescent="0.25">
      <c r="A5797" s="1">
        <v>45659.458333333336</v>
      </c>
      <c r="B5797" t="s">
        <v>33</v>
      </c>
      <c r="C5797">
        <v>403.33</v>
      </c>
      <c r="D5797">
        <v>70.650000000000006</v>
      </c>
      <c r="E5797" t="s">
        <v>9</v>
      </c>
      <c r="F5797">
        <v>77.319999999999993</v>
      </c>
      <c r="G5797" t="s">
        <v>22</v>
      </c>
      <c r="H5797" t="s">
        <v>13</v>
      </c>
    </row>
    <row r="5798" spans="1:8" x14ac:dyDescent="0.25">
      <c r="A5798" s="1">
        <v>45659.5</v>
      </c>
      <c r="B5798" t="s">
        <v>33</v>
      </c>
      <c r="C5798">
        <v>224.65</v>
      </c>
      <c r="D5798">
        <v>55.69</v>
      </c>
      <c r="E5798" t="s">
        <v>9</v>
      </c>
      <c r="F5798">
        <v>58.04</v>
      </c>
      <c r="G5798" t="s">
        <v>22</v>
      </c>
      <c r="H5798" t="s">
        <v>11</v>
      </c>
    </row>
    <row r="5799" spans="1:8" x14ac:dyDescent="0.25">
      <c r="A5799" s="1">
        <v>45659.541666666664</v>
      </c>
      <c r="B5799" t="s">
        <v>33</v>
      </c>
      <c r="C5799">
        <v>293.77</v>
      </c>
      <c r="D5799">
        <v>71.739999999999995</v>
      </c>
      <c r="E5799" t="s">
        <v>9</v>
      </c>
      <c r="F5799">
        <v>69.209999999999994</v>
      </c>
      <c r="G5799" t="s">
        <v>22</v>
      </c>
      <c r="H5799" t="s">
        <v>12</v>
      </c>
    </row>
    <row r="5800" spans="1:8" x14ac:dyDescent="0.25">
      <c r="A5800" s="1">
        <v>45659.583333333336</v>
      </c>
      <c r="B5800" t="s">
        <v>33</v>
      </c>
      <c r="C5800">
        <v>68.489999999999995</v>
      </c>
      <c r="D5800">
        <v>34.450000000000003</v>
      </c>
      <c r="E5800" t="s">
        <v>9</v>
      </c>
      <c r="F5800">
        <v>89.04</v>
      </c>
      <c r="G5800" t="s">
        <v>22</v>
      </c>
      <c r="H5800" t="s">
        <v>11</v>
      </c>
    </row>
    <row r="5801" spans="1:8" x14ac:dyDescent="0.25">
      <c r="A5801" s="1">
        <v>45659.625</v>
      </c>
      <c r="B5801" t="s">
        <v>33</v>
      </c>
      <c r="C5801">
        <v>355.06</v>
      </c>
      <c r="D5801">
        <v>44.13</v>
      </c>
      <c r="E5801" t="s">
        <v>9</v>
      </c>
      <c r="F5801">
        <v>82.09</v>
      </c>
      <c r="G5801" t="s">
        <v>22</v>
      </c>
      <c r="H5801" t="s">
        <v>12</v>
      </c>
    </row>
    <row r="5802" spans="1:8" x14ac:dyDescent="0.25">
      <c r="A5802" s="1">
        <v>45659.666666666664</v>
      </c>
      <c r="B5802" t="s">
        <v>33</v>
      </c>
      <c r="C5802">
        <v>59.76</v>
      </c>
      <c r="D5802">
        <v>69.64</v>
      </c>
      <c r="E5802" t="s">
        <v>9</v>
      </c>
      <c r="F5802">
        <v>41.54</v>
      </c>
      <c r="G5802" t="s">
        <v>22</v>
      </c>
      <c r="H5802" t="s">
        <v>12</v>
      </c>
    </row>
    <row r="5803" spans="1:8" x14ac:dyDescent="0.25">
      <c r="A5803" s="1">
        <v>45659.708333333336</v>
      </c>
      <c r="B5803" t="s">
        <v>33</v>
      </c>
      <c r="C5803">
        <v>168.73</v>
      </c>
      <c r="D5803">
        <v>48.88</v>
      </c>
      <c r="E5803" t="s">
        <v>9</v>
      </c>
      <c r="F5803">
        <v>80.63</v>
      </c>
      <c r="G5803" t="s">
        <v>22</v>
      </c>
      <c r="H5803" t="s">
        <v>12</v>
      </c>
    </row>
    <row r="5804" spans="1:8" x14ac:dyDescent="0.25">
      <c r="A5804" s="1">
        <v>45659.75</v>
      </c>
      <c r="B5804" t="s">
        <v>33</v>
      </c>
      <c r="C5804">
        <v>413.82</v>
      </c>
      <c r="D5804">
        <v>77.41</v>
      </c>
      <c r="E5804" t="s">
        <v>9</v>
      </c>
      <c r="F5804">
        <v>54.87</v>
      </c>
      <c r="G5804" t="s">
        <v>22</v>
      </c>
      <c r="H5804" t="s">
        <v>13</v>
      </c>
    </row>
    <row r="5805" spans="1:8" x14ac:dyDescent="0.25">
      <c r="A5805" s="1">
        <v>45659.791666666664</v>
      </c>
      <c r="B5805" t="s">
        <v>33</v>
      </c>
      <c r="C5805">
        <v>189.06</v>
      </c>
      <c r="D5805">
        <v>58.3</v>
      </c>
      <c r="E5805" t="s">
        <v>9</v>
      </c>
      <c r="F5805">
        <v>37.74</v>
      </c>
      <c r="G5805" t="s">
        <v>22</v>
      </c>
      <c r="H5805" t="s">
        <v>12</v>
      </c>
    </row>
    <row r="5806" spans="1:8" x14ac:dyDescent="0.25">
      <c r="A5806" s="1">
        <v>45659.833333333336</v>
      </c>
      <c r="B5806" t="s">
        <v>33</v>
      </c>
      <c r="C5806">
        <v>453.84</v>
      </c>
      <c r="D5806">
        <v>89.24</v>
      </c>
      <c r="E5806" t="s">
        <v>14</v>
      </c>
      <c r="F5806">
        <v>34.57</v>
      </c>
      <c r="G5806" t="s">
        <v>22</v>
      </c>
      <c r="H5806" t="s">
        <v>13</v>
      </c>
    </row>
    <row r="5807" spans="1:8" x14ac:dyDescent="0.25">
      <c r="A5807" s="1">
        <v>45659.875</v>
      </c>
      <c r="B5807" t="s">
        <v>33</v>
      </c>
      <c r="C5807">
        <v>292.86</v>
      </c>
      <c r="D5807">
        <v>44.17</v>
      </c>
      <c r="E5807" t="s">
        <v>9</v>
      </c>
      <c r="F5807">
        <v>64.13</v>
      </c>
      <c r="G5807" t="s">
        <v>22</v>
      </c>
      <c r="H5807" t="s">
        <v>13</v>
      </c>
    </row>
    <row r="5808" spans="1:8" x14ac:dyDescent="0.25">
      <c r="A5808" s="1">
        <v>45659.916666666664</v>
      </c>
      <c r="B5808" t="s">
        <v>33</v>
      </c>
      <c r="C5808">
        <v>381.41</v>
      </c>
      <c r="D5808">
        <v>26.62</v>
      </c>
      <c r="E5808" t="s">
        <v>9</v>
      </c>
      <c r="F5808">
        <v>46.17</v>
      </c>
      <c r="G5808" t="s">
        <v>22</v>
      </c>
      <c r="H5808" t="s">
        <v>11</v>
      </c>
    </row>
    <row r="5809" spans="1:8" x14ac:dyDescent="0.25">
      <c r="A5809" s="1">
        <v>45659.958333333336</v>
      </c>
      <c r="B5809" t="s">
        <v>33</v>
      </c>
      <c r="C5809">
        <v>195.65</v>
      </c>
      <c r="D5809">
        <v>61.11</v>
      </c>
      <c r="E5809" t="s">
        <v>9</v>
      </c>
      <c r="F5809">
        <v>68.45</v>
      </c>
      <c r="G5809" t="s">
        <v>22</v>
      </c>
      <c r="H5809" t="s">
        <v>13</v>
      </c>
    </row>
    <row r="5810" spans="1:8" x14ac:dyDescent="0.25">
      <c r="A5810" s="1">
        <v>45660</v>
      </c>
      <c r="B5810" t="s">
        <v>33</v>
      </c>
      <c r="C5810">
        <v>419.1</v>
      </c>
      <c r="D5810">
        <v>87.01</v>
      </c>
      <c r="E5810" t="s">
        <v>14</v>
      </c>
      <c r="F5810">
        <v>36.380000000000003</v>
      </c>
      <c r="G5810" t="s">
        <v>22</v>
      </c>
      <c r="H5810" t="s">
        <v>11</v>
      </c>
    </row>
    <row r="5811" spans="1:8" x14ac:dyDescent="0.25">
      <c r="A5811" s="1">
        <v>45660.041666666664</v>
      </c>
      <c r="B5811" t="s">
        <v>33</v>
      </c>
      <c r="C5811">
        <v>250.76</v>
      </c>
      <c r="D5811">
        <v>68.16</v>
      </c>
      <c r="E5811" t="s">
        <v>9</v>
      </c>
      <c r="F5811">
        <v>75.260000000000005</v>
      </c>
      <c r="G5811" t="s">
        <v>22</v>
      </c>
      <c r="H5811" t="s">
        <v>12</v>
      </c>
    </row>
    <row r="5812" spans="1:8" x14ac:dyDescent="0.25">
      <c r="A5812" s="1">
        <v>45660.083333333336</v>
      </c>
      <c r="B5812" t="s">
        <v>33</v>
      </c>
      <c r="C5812">
        <v>53.83</v>
      </c>
      <c r="D5812">
        <v>31.87</v>
      </c>
      <c r="E5812" t="s">
        <v>9</v>
      </c>
      <c r="F5812">
        <v>59.51</v>
      </c>
      <c r="G5812" t="s">
        <v>22</v>
      </c>
      <c r="H5812" t="s">
        <v>12</v>
      </c>
    </row>
    <row r="5813" spans="1:8" x14ac:dyDescent="0.25">
      <c r="A5813" s="1">
        <v>45660.125</v>
      </c>
      <c r="B5813" t="s">
        <v>33</v>
      </c>
      <c r="C5813">
        <v>262.02</v>
      </c>
      <c r="D5813">
        <v>28.04</v>
      </c>
      <c r="E5813" t="s">
        <v>9</v>
      </c>
      <c r="F5813">
        <v>52.7</v>
      </c>
      <c r="G5813" t="s">
        <v>22</v>
      </c>
      <c r="H5813" t="s">
        <v>11</v>
      </c>
    </row>
    <row r="5814" spans="1:8" x14ac:dyDescent="0.25">
      <c r="A5814" s="1">
        <v>45660.166666666664</v>
      </c>
      <c r="B5814" t="s">
        <v>33</v>
      </c>
      <c r="C5814">
        <v>483.96</v>
      </c>
      <c r="D5814">
        <v>73.72</v>
      </c>
      <c r="E5814" t="s">
        <v>9</v>
      </c>
      <c r="F5814">
        <v>79.760000000000005</v>
      </c>
      <c r="G5814" t="s">
        <v>22</v>
      </c>
      <c r="H5814" t="s">
        <v>13</v>
      </c>
    </row>
    <row r="5815" spans="1:8" x14ac:dyDescent="0.25">
      <c r="A5815" s="1">
        <v>45660.208333333336</v>
      </c>
      <c r="B5815" t="s">
        <v>33</v>
      </c>
      <c r="C5815">
        <v>313.76</v>
      </c>
      <c r="D5815">
        <v>25.56</v>
      </c>
      <c r="E5815" t="s">
        <v>9</v>
      </c>
      <c r="F5815">
        <v>47.86</v>
      </c>
      <c r="G5815" t="s">
        <v>22</v>
      </c>
      <c r="H5815" t="s">
        <v>13</v>
      </c>
    </row>
    <row r="5816" spans="1:8" x14ac:dyDescent="0.25">
      <c r="A5816" s="1">
        <v>45660.25</v>
      </c>
      <c r="B5816" t="s">
        <v>33</v>
      </c>
      <c r="C5816">
        <v>376.8</v>
      </c>
      <c r="D5816">
        <v>17.170000000000002</v>
      </c>
      <c r="E5816" t="s">
        <v>9</v>
      </c>
      <c r="F5816">
        <v>61.86</v>
      </c>
      <c r="G5816" t="s">
        <v>22</v>
      </c>
      <c r="H5816" t="s">
        <v>12</v>
      </c>
    </row>
    <row r="5817" spans="1:8" x14ac:dyDescent="0.25">
      <c r="A5817" s="1">
        <v>45660.291666666664</v>
      </c>
      <c r="B5817" t="s">
        <v>33</v>
      </c>
      <c r="C5817">
        <v>430.9</v>
      </c>
      <c r="D5817">
        <v>68.67</v>
      </c>
      <c r="E5817" t="s">
        <v>9</v>
      </c>
      <c r="F5817">
        <v>53.23</v>
      </c>
      <c r="G5817" t="s">
        <v>22</v>
      </c>
      <c r="H5817" t="s">
        <v>13</v>
      </c>
    </row>
    <row r="5818" spans="1:8" x14ac:dyDescent="0.25">
      <c r="A5818" s="1">
        <v>45660.333333333336</v>
      </c>
      <c r="B5818" t="s">
        <v>33</v>
      </c>
      <c r="C5818">
        <v>73.95</v>
      </c>
      <c r="D5818">
        <v>75.58</v>
      </c>
      <c r="E5818" t="s">
        <v>9</v>
      </c>
      <c r="F5818">
        <v>64.59</v>
      </c>
      <c r="G5818" t="s">
        <v>22</v>
      </c>
      <c r="H5818" t="s">
        <v>13</v>
      </c>
    </row>
    <row r="5819" spans="1:8" x14ac:dyDescent="0.25">
      <c r="A5819" s="1">
        <v>45660.375</v>
      </c>
      <c r="B5819" t="s">
        <v>33</v>
      </c>
      <c r="C5819">
        <v>148.13</v>
      </c>
      <c r="D5819">
        <v>81.5</v>
      </c>
      <c r="E5819" t="s">
        <v>9</v>
      </c>
      <c r="F5819">
        <v>35.67</v>
      </c>
      <c r="G5819" t="s">
        <v>22</v>
      </c>
      <c r="H5819" t="s">
        <v>13</v>
      </c>
    </row>
    <row r="5820" spans="1:8" x14ac:dyDescent="0.25">
      <c r="A5820" s="1">
        <v>45660.416666666664</v>
      </c>
      <c r="B5820" t="s">
        <v>33</v>
      </c>
      <c r="C5820">
        <v>210.08</v>
      </c>
      <c r="D5820">
        <v>53.6</v>
      </c>
      <c r="E5820" t="s">
        <v>9</v>
      </c>
      <c r="F5820">
        <v>77.45</v>
      </c>
      <c r="G5820" t="s">
        <v>22</v>
      </c>
      <c r="H5820" t="s">
        <v>11</v>
      </c>
    </row>
    <row r="5821" spans="1:8" x14ac:dyDescent="0.25">
      <c r="A5821" s="1">
        <v>45660.458333333336</v>
      </c>
      <c r="B5821" t="s">
        <v>33</v>
      </c>
      <c r="C5821">
        <v>61.41</v>
      </c>
      <c r="D5821">
        <v>14.77</v>
      </c>
      <c r="E5821" t="s">
        <v>9</v>
      </c>
      <c r="F5821">
        <v>47.47</v>
      </c>
      <c r="G5821" t="s">
        <v>22</v>
      </c>
      <c r="H5821" t="s">
        <v>13</v>
      </c>
    </row>
    <row r="5822" spans="1:8" x14ac:dyDescent="0.25">
      <c r="A5822" s="1">
        <v>45660.5</v>
      </c>
      <c r="B5822" t="s">
        <v>33</v>
      </c>
      <c r="C5822">
        <v>76.78</v>
      </c>
      <c r="D5822">
        <v>89.04</v>
      </c>
      <c r="E5822" t="s">
        <v>14</v>
      </c>
      <c r="F5822">
        <v>49.15</v>
      </c>
      <c r="G5822" t="s">
        <v>22</v>
      </c>
      <c r="H5822" t="s">
        <v>13</v>
      </c>
    </row>
    <row r="5823" spans="1:8" x14ac:dyDescent="0.25">
      <c r="A5823" s="1">
        <v>45660.541666666664</v>
      </c>
      <c r="B5823" t="s">
        <v>33</v>
      </c>
      <c r="C5823">
        <v>478.42</v>
      </c>
      <c r="D5823">
        <v>67.37</v>
      </c>
      <c r="E5823" t="s">
        <v>9</v>
      </c>
      <c r="F5823">
        <v>30.34</v>
      </c>
      <c r="G5823" t="s">
        <v>22</v>
      </c>
      <c r="H5823" t="s">
        <v>11</v>
      </c>
    </row>
    <row r="5824" spans="1:8" x14ac:dyDescent="0.25">
      <c r="A5824" s="1">
        <v>45660.583333333336</v>
      </c>
      <c r="B5824" t="s">
        <v>33</v>
      </c>
      <c r="C5824">
        <v>373.42</v>
      </c>
      <c r="D5824">
        <v>18.09</v>
      </c>
      <c r="E5824" t="s">
        <v>9</v>
      </c>
      <c r="F5824">
        <v>76.930000000000007</v>
      </c>
      <c r="G5824" t="s">
        <v>22</v>
      </c>
      <c r="H5824" t="s">
        <v>11</v>
      </c>
    </row>
    <row r="5825" spans="1:8" x14ac:dyDescent="0.25">
      <c r="A5825" s="1">
        <v>45660.625</v>
      </c>
      <c r="B5825" t="s">
        <v>33</v>
      </c>
      <c r="C5825">
        <v>342.09</v>
      </c>
      <c r="D5825">
        <v>91.47</v>
      </c>
      <c r="E5825" t="s">
        <v>14</v>
      </c>
      <c r="F5825">
        <v>78.64</v>
      </c>
      <c r="G5825" t="s">
        <v>22</v>
      </c>
      <c r="H5825" t="s">
        <v>12</v>
      </c>
    </row>
    <row r="5826" spans="1:8" x14ac:dyDescent="0.25">
      <c r="A5826" s="1">
        <v>45660.666666666664</v>
      </c>
      <c r="B5826" t="s">
        <v>33</v>
      </c>
      <c r="C5826">
        <v>420.94</v>
      </c>
      <c r="D5826">
        <v>36.299999999999997</v>
      </c>
      <c r="E5826" t="s">
        <v>9</v>
      </c>
      <c r="F5826">
        <v>73.84</v>
      </c>
      <c r="G5826" t="s">
        <v>22</v>
      </c>
      <c r="H5826" t="s">
        <v>12</v>
      </c>
    </row>
    <row r="5827" spans="1:8" x14ac:dyDescent="0.25">
      <c r="A5827" s="1">
        <v>45660.708333333336</v>
      </c>
      <c r="B5827" t="s">
        <v>33</v>
      </c>
      <c r="C5827">
        <v>96.16</v>
      </c>
      <c r="D5827">
        <v>73.27</v>
      </c>
      <c r="E5827" t="s">
        <v>9</v>
      </c>
      <c r="F5827">
        <v>32.58</v>
      </c>
      <c r="G5827" t="s">
        <v>22</v>
      </c>
      <c r="H5827" t="s">
        <v>12</v>
      </c>
    </row>
    <row r="5828" spans="1:8" x14ac:dyDescent="0.25">
      <c r="A5828" s="1">
        <v>45660.75</v>
      </c>
      <c r="B5828" t="s">
        <v>33</v>
      </c>
      <c r="C5828">
        <v>355.03</v>
      </c>
      <c r="D5828">
        <v>27.68</v>
      </c>
      <c r="E5828" t="s">
        <v>9</v>
      </c>
      <c r="F5828">
        <v>72.290000000000006</v>
      </c>
      <c r="G5828" t="s">
        <v>22</v>
      </c>
      <c r="H5828" t="s">
        <v>13</v>
      </c>
    </row>
    <row r="5829" spans="1:8" x14ac:dyDescent="0.25">
      <c r="A5829" s="1">
        <v>45660.791666666664</v>
      </c>
      <c r="B5829" t="s">
        <v>33</v>
      </c>
      <c r="C5829">
        <v>186.9</v>
      </c>
      <c r="D5829">
        <v>85.03</v>
      </c>
      <c r="E5829" t="s">
        <v>14</v>
      </c>
      <c r="F5829">
        <v>62.87</v>
      </c>
      <c r="G5829" t="s">
        <v>22</v>
      </c>
      <c r="H5829" t="s">
        <v>12</v>
      </c>
    </row>
    <row r="5830" spans="1:8" x14ac:dyDescent="0.25">
      <c r="A5830" s="1">
        <v>45660.833333333336</v>
      </c>
      <c r="B5830" t="s">
        <v>33</v>
      </c>
      <c r="C5830">
        <v>347.77</v>
      </c>
      <c r="D5830">
        <v>38.32</v>
      </c>
      <c r="E5830" t="s">
        <v>9</v>
      </c>
      <c r="F5830">
        <v>55.97</v>
      </c>
      <c r="G5830" t="s">
        <v>22</v>
      </c>
      <c r="H5830" t="s">
        <v>12</v>
      </c>
    </row>
    <row r="5831" spans="1:8" x14ac:dyDescent="0.25">
      <c r="A5831" s="1">
        <v>45660.875</v>
      </c>
      <c r="B5831" t="s">
        <v>33</v>
      </c>
      <c r="C5831">
        <v>493.47</v>
      </c>
      <c r="D5831">
        <v>16.77</v>
      </c>
      <c r="E5831" t="s">
        <v>9</v>
      </c>
      <c r="F5831">
        <v>32.56</v>
      </c>
      <c r="G5831" t="s">
        <v>22</v>
      </c>
      <c r="H5831" t="s">
        <v>13</v>
      </c>
    </row>
    <row r="5832" spans="1:8" x14ac:dyDescent="0.25">
      <c r="A5832" s="1">
        <v>45660.916666666664</v>
      </c>
      <c r="B5832" t="s">
        <v>33</v>
      </c>
      <c r="C5832">
        <v>346.83</v>
      </c>
      <c r="D5832">
        <v>45.3</v>
      </c>
      <c r="E5832" t="s">
        <v>9</v>
      </c>
      <c r="F5832">
        <v>89.98</v>
      </c>
      <c r="G5832" t="s">
        <v>22</v>
      </c>
      <c r="H5832" t="s">
        <v>12</v>
      </c>
    </row>
    <row r="5833" spans="1:8" x14ac:dyDescent="0.25">
      <c r="A5833" s="1">
        <v>45660.958333333336</v>
      </c>
      <c r="B5833" t="s">
        <v>33</v>
      </c>
      <c r="C5833">
        <v>393.84</v>
      </c>
      <c r="D5833">
        <v>92.34</v>
      </c>
      <c r="E5833" t="s">
        <v>14</v>
      </c>
      <c r="F5833">
        <v>32.14</v>
      </c>
      <c r="G5833" t="s">
        <v>22</v>
      </c>
      <c r="H5833" t="s">
        <v>11</v>
      </c>
    </row>
    <row r="5834" spans="1:8" x14ac:dyDescent="0.25">
      <c r="A5834" s="1">
        <v>45661</v>
      </c>
      <c r="B5834" t="s">
        <v>33</v>
      </c>
      <c r="C5834">
        <v>115.32</v>
      </c>
      <c r="D5834">
        <v>52.79</v>
      </c>
      <c r="E5834" t="s">
        <v>9</v>
      </c>
      <c r="F5834">
        <v>55.16</v>
      </c>
      <c r="G5834" t="s">
        <v>22</v>
      </c>
      <c r="H5834" t="s">
        <v>11</v>
      </c>
    </row>
    <row r="5835" spans="1:8" x14ac:dyDescent="0.25">
      <c r="A5835" s="1">
        <v>45661.041666666664</v>
      </c>
      <c r="B5835" t="s">
        <v>33</v>
      </c>
      <c r="C5835">
        <v>93.09</v>
      </c>
      <c r="D5835">
        <v>60.01</v>
      </c>
      <c r="E5835" t="s">
        <v>9</v>
      </c>
      <c r="F5835">
        <v>46.81</v>
      </c>
      <c r="G5835" t="s">
        <v>22</v>
      </c>
      <c r="H5835" t="s">
        <v>13</v>
      </c>
    </row>
    <row r="5836" spans="1:8" x14ac:dyDescent="0.25">
      <c r="A5836" s="1">
        <v>45661.083333333336</v>
      </c>
      <c r="B5836" t="s">
        <v>33</v>
      </c>
      <c r="C5836">
        <v>432</v>
      </c>
      <c r="D5836">
        <v>46.36</v>
      </c>
      <c r="E5836" t="s">
        <v>9</v>
      </c>
      <c r="F5836">
        <v>89.57</v>
      </c>
      <c r="G5836" t="s">
        <v>22</v>
      </c>
      <c r="H5836" t="s">
        <v>13</v>
      </c>
    </row>
    <row r="5837" spans="1:8" x14ac:dyDescent="0.25">
      <c r="A5837" s="1">
        <v>45661.125</v>
      </c>
      <c r="B5837" t="s">
        <v>33</v>
      </c>
      <c r="C5837">
        <v>404.88</v>
      </c>
      <c r="D5837">
        <v>49.14</v>
      </c>
      <c r="E5837" t="s">
        <v>9</v>
      </c>
      <c r="F5837">
        <v>56</v>
      </c>
      <c r="G5837" t="s">
        <v>22</v>
      </c>
      <c r="H5837" t="s">
        <v>11</v>
      </c>
    </row>
    <row r="5838" spans="1:8" x14ac:dyDescent="0.25">
      <c r="A5838" s="1">
        <v>45661.166666666664</v>
      </c>
      <c r="B5838" t="s">
        <v>33</v>
      </c>
      <c r="C5838">
        <v>429.39</v>
      </c>
      <c r="D5838">
        <v>18.18</v>
      </c>
      <c r="E5838" t="s">
        <v>9</v>
      </c>
      <c r="F5838">
        <v>40.25</v>
      </c>
      <c r="G5838" t="s">
        <v>22</v>
      </c>
      <c r="H5838" t="s">
        <v>13</v>
      </c>
    </row>
    <row r="5839" spans="1:8" x14ac:dyDescent="0.25">
      <c r="A5839" s="1">
        <v>45661.208333333336</v>
      </c>
      <c r="B5839" t="s">
        <v>33</v>
      </c>
      <c r="C5839">
        <v>158.72</v>
      </c>
      <c r="D5839">
        <v>72.72</v>
      </c>
      <c r="E5839" t="s">
        <v>9</v>
      </c>
      <c r="F5839">
        <v>66.44</v>
      </c>
      <c r="G5839" t="s">
        <v>22</v>
      </c>
      <c r="H5839" t="s">
        <v>13</v>
      </c>
    </row>
    <row r="5840" spans="1:8" x14ac:dyDescent="0.25">
      <c r="A5840" s="1">
        <v>45661.25</v>
      </c>
      <c r="B5840" t="s">
        <v>33</v>
      </c>
      <c r="C5840">
        <v>249.1</v>
      </c>
      <c r="D5840">
        <v>34.479999999999997</v>
      </c>
      <c r="E5840" t="s">
        <v>9</v>
      </c>
      <c r="F5840">
        <v>37.590000000000003</v>
      </c>
      <c r="G5840" t="s">
        <v>22</v>
      </c>
      <c r="H5840" t="s">
        <v>11</v>
      </c>
    </row>
    <row r="5841" spans="1:8" x14ac:dyDescent="0.25">
      <c r="A5841" s="1">
        <v>45661.291666666664</v>
      </c>
      <c r="B5841" t="s">
        <v>33</v>
      </c>
      <c r="C5841">
        <v>151.75</v>
      </c>
      <c r="D5841">
        <v>15.53</v>
      </c>
      <c r="E5841" t="s">
        <v>9</v>
      </c>
      <c r="F5841">
        <v>55.11</v>
      </c>
      <c r="G5841" t="s">
        <v>22</v>
      </c>
      <c r="H5841" t="s">
        <v>12</v>
      </c>
    </row>
    <row r="5842" spans="1:8" x14ac:dyDescent="0.25">
      <c r="A5842" s="1">
        <v>45661.333333333336</v>
      </c>
      <c r="B5842" t="s">
        <v>33</v>
      </c>
      <c r="C5842">
        <v>445.81</v>
      </c>
      <c r="D5842">
        <v>87.39</v>
      </c>
      <c r="E5842" t="s">
        <v>14</v>
      </c>
      <c r="F5842">
        <v>61.74</v>
      </c>
      <c r="G5842" t="s">
        <v>22</v>
      </c>
      <c r="H5842" t="s">
        <v>12</v>
      </c>
    </row>
    <row r="5843" spans="1:8" x14ac:dyDescent="0.25">
      <c r="A5843" s="1">
        <v>45661.375</v>
      </c>
      <c r="B5843" t="s">
        <v>33</v>
      </c>
      <c r="C5843">
        <v>327.42</v>
      </c>
      <c r="D5843">
        <v>89.92</v>
      </c>
      <c r="E5843" t="s">
        <v>14</v>
      </c>
      <c r="F5843">
        <v>61.06</v>
      </c>
      <c r="G5843" t="s">
        <v>22</v>
      </c>
      <c r="H5843" t="s">
        <v>12</v>
      </c>
    </row>
    <row r="5844" spans="1:8" x14ac:dyDescent="0.25">
      <c r="A5844" s="1">
        <v>45661.416666666664</v>
      </c>
      <c r="B5844" t="s">
        <v>33</v>
      </c>
      <c r="C5844">
        <v>322.01</v>
      </c>
      <c r="D5844">
        <v>63.99</v>
      </c>
      <c r="E5844" t="s">
        <v>9</v>
      </c>
      <c r="F5844">
        <v>51.77</v>
      </c>
      <c r="G5844" t="s">
        <v>22</v>
      </c>
      <c r="H5844" t="s">
        <v>13</v>
      </c>
    </row>
    <row r="5845" spans="1:8" x14ac:dyDescent="0.25">
      <c r="A5845" s="1">
        <v>45661.458333333336</v>
      </c>
      <c r="B5845" t="s">
        <v>33</v>
      </c>
      <c r="C5845">
        <v>271.01</v>
      </c>
      <c r="D5845">
        <v>48.13</v>
      </c>
      <c r="E5845" t="s">
        <v>9</v>
      </c>
      <c r="F5845">
        <v>69.5</v>
      </c>
      <c r="G5845" t="s">
        <v>22</v>
      </c>
      <c r="H5845" t="s">
        <v>12</v>
      </c>
    </row>
    <row r="5846" spans="1:8" x14ac:dyDescent="0.25">
      <c r="A5846" s="1">
        <v>45661.5</v>
      </c>
      <c r="B5846" t="s">
        <v>33</v>
      </c>
      <c r="C5846">
        <v>437.72</v>
      </c>
      <c r="D5846">
        <v>64.69</v>
      </c>
      <c r="E5846" t="s">
        <v>9</v>
      </c>
      <c r="F5846">
        <v>53.92</v>
      </c>
      <c r="G5846" t="s">
        <v>22</v>
      </c>
      <c r="H5846" t="s">
        <v>12</v>
      </c>
    </row>
    <row r="5847" spans="1:8" x14ac:dyDescent="0.25">
      <c r="A5847" s="1">
        <v>45661.541666666664</v>
      </c>
      <c r="B5847" t="s">
        <v>33</v>
      </c>
      <c r="C5847">
        <v>283.23</v>
      </c>
      <c r="D5847">
        <v>50.7</v>
      </c>
      <c r="E5847" t="s">
        <v>9</v>
      </c>
      <c r="F5847">
        <v>72.64</v>
      </c>
      <c r="G5847" t="s">
        <v>22</v>
      </c>
      <c r="H5847" t="s">
        <v>11</v>
      </c>
    </row>
    <row r="5848" spans="1:8" x14ac:dyDescent="0.25">
      <c r="A5848" s="1">
        <v>45661.583333333336</v>
      </c>
      <c r="B5848" t="s">
        <v>33</v>
      </c>
      <c r="C5848">
        <v>486.82</v>
      </c>
      <c r="D5848">
        <v>61.3</v>
      </c>
      <c r="E5848" t="s">
        <v>9</v>
      </c>
      <c r="F5848">
        <v>57.96</v>
      </c>
      <c r="G5848" t="s">
        <v>22</v>
      </c>
      <c r="H5848" t="s">
        <v>11</v>
      </c>
    </row>
    <row r="5849" spans="1:8" x14ac:dyDescent="0.25">
      <c r="A5849" s="1">
        <v>45661.625</v>
      </c>
      <c r="B5849" t="s">
        <v>33</v>
      </c>
      <c r="C5849">
        <v>75.69</v>
      </c>
      <c r="D5849">
        <v>29.77</v>
      </c>
      <c r="E5849" t="s">
        <v>9</v>
      </c>
      <c r="F5849">
        <v>37.44</v>
      </c>
      <c r="G5849" t="s">
        <v>22</v>
      </c>
      <c r="H5849" t="s">
        <v>12</v>
      </c>
    </row>
    <row r="5850" spans="1:8" x14ac:dyDescent="0.25">
      <c r="A5850" s="1">
        <v>45661.666666666664</v>
      </c>
      <c r="B5850" t="s">
        <v>33</v>
      </c>
      <c r="C5850">
        <v>487.15</v>
      </c>
      <c r="D5850">
        <v>64.09</v>
      </c>
      <c r="E5850" t="s">
        <v>9</v>
      </c>
      <c r="F5850">
        <v>52.82</v>
      </c>
      <c r="G5850" t="s">
        <v>22</v>
      </c>
      <c r="H5850" t="s">
        <v>13</v>
      </c>
    </row>
    <row r="5851" spans="1:8" x14ac:dyDescent="0.25">
      <c r="A5851" s="1">
        <v>45661.708333333336</v>
      </c>
      <c r="B5851" t="s">
        <v>33</v>
      </c>
      <c r="C5851">
        <v>343.82</v>
      </c>
      <c r="D5851">
        <v>92.61</v>
      </c>
      <c r="E5851" t="s">
        <v>14</v>
      </c>
      <c r="F5851">
        <v>40.549999999999997</v>
      </c>
      <c r="G5851" t="s">
        <v>22</v>
      </c>
      <c r="H5851" t="s">
        <v>13</v>
      </c>
    </row>
    <row r="5852" spans="1:8" x14ac:dyDescent="0.25">
      <c r="A5852" s="1">
        <v>45661.75</v>
      </c>
      <c r="B5852" t="s">
        <v>33</v>
      </c>
      <c r="C5852">
        <v>384.31</v>
      </c>
      <c r="D5852">
        <v>54.43</v>
      </c>
      <c r="E5852" t="s">
        <v>9</v>
      </c>
      <c r="F5852">
        <v>76.78</v>
      </c>
      <c r="G5852" t="s">
        <v>22</v>
      </c>
      <c r="H5852" t="s">
        <v>11</v>
      </c>
    </row>
    <row r="5853" spans="1:8" x14ac:dyDescent="0.25">
      <c r="A5853" s="1">
        <v>45661.791666666664</v>
      </c>
      <c r="B5853" t="s">
        <v>33</v>
      </c>
      <c r="C5853">
        <v>197.04</v>
      </c>
      <c r="D5853">
        <v>72.989999999999995</v>
      </c>
      <c r="E5853" t="s">
        <v>9</v>
      </c>
      <c r="F5853">
        <v>69.2</v>
      </c>
      <c r="G5853" t="s">
        <v>22</v>
      </c>
      <c r="H5853" t="s">
        <v>11</v>
      </c>
    </row>
    <row r="5854" spans="1:8" x14ac:dyDescent="0.25">
      <c r="A5854" s="1">
        <v>45661.833333333336</v>
      </c>
      <c r="B5854" t="s">
        <v>33</v>
      </c>
      <c r="C5854">
        <v>243.51</v>
      </c>
      <c r="D5854">
        <v>57.88</v>
      </c>
      <c r="E5854" t="s">
        <v>9</v>
      </c>
      <c r="F5854">
        <v>50.95</v>
      </c>
      <c r="G5854" t="s">
        <v>22</v>
      </c>
      <c r="H5854" t="s">
        <v>11</v>
      </c>
    </row>
    <row r="5855" spans="1:8" x14ac:dyDescent="0.25">
      <c r="A5855" s="1">
        <v>45661.875</v>
      </c>
      <c r="B5855" t="s">
        <v>33</v>
      </c>
      <c r="C5855">
        <v>352.43</v>
      </c>
      <c r="D5855">
        <v>44.55</v>
      </c>
      <c r="E5855" t="s">
        <v>9</v>
      </c>
      <c r="F5855">
        <v>67.88</v>
      </c>
      <c r="G5855" t="s">
        <v>22</v>
      </c>
      <c r="H5855" t="s">
        <v>11</v>
      </c>
    </row>
    <row r="5856" spans="1:8" x14ac:dyDescent="0.25">
      <c r="A5856" s="1">
        <v>45661.916666666664</v>
      </c>
      <c r="B5856" t="s">
        <v>33</v>
      </c>
      <c r="C5856">
        <v>392.45</v>
      </c>
      <c r="D5856">
        <v>44.4</v>
      </c>
      <c r="E5856" t="s">
        <v>9</v>
      </c>
      <c r="F5856">
        <v>64.069999999999993</v>
      </c>
      <c r="G5856" t="s">
        <v>22</v>
      </c>
      <c r="H5856" t="s">
        <v>13</v>
      </c>
    </row>
    <row r="5857" spans="1:8" x14ac:dyDescent="0.25">
      <c r="A5857" s="1">
        <v>45661.958333333336</v>
      </c>
      <c r="B5857" t="s">
        <v>33</v>
      </c>
      <c r="C5857">
        <v>167.55</v>
      </c>
      <c r="D5857">
        <v>58.48</v>
      </c>
      <c r="E5857" t="s">
        <v>9</v>
      </c>
      <c r="F5857">
        <v>67.17</v>
      </c>
      <c r="G5857" t="s">
        <v>22</v>
      </c>
      <c r="H5857" t="s">
        <v>12</v>
      </c>
    </row>
    <row r="5858" spans="1:8" x14ac:dyDescent="0.25">
      <c r="A5858" s="1">
        <v>45662</v>
      </c>
      <c r="B5858" t="s">
        <v>33</v>
      </c>
      <c r="C5858">
        <v>91.28</v>
      </c>
      <c r="D5858">
        <v>27.57</v>
      </c>
      <c r="E5858" t="s">
        <v>9</v>
      </c>
      <c r="F5858">
        <v>52.02</v>
      </c>
      <c r="G5858" t="s">
        <v>22</v>
      </c>
      <c r="H5858" t="s">
        <v>12</v>
      </c>
    </row>
    <row r="5859" spans="1:8" x14ac:dyDescent="0.25">
      <c r="A5859" s="1">
        <v>45662.041666666664</v>
      </c>
      <c r="B5859" t="s">
        <v>33</v>
      </c>
      <c r="C5859">
        <v>478.58</v>
      </c>
      <c r="D5859">
        <v>45.72</v>
      </c>
      <c r="E5859" t="s">
        <v>9</v>
      </c>
      <c r="F5859">
        <v>87.45</v>
      </c>
      <c r="G5859" t="s">
        <v>22</v>
      </c>
      <c r="H5859" t="s">
        <v>11</v>
      </c>
    </row>
    <row r="5860" spans="1:8" x14ac:dyDescent="0.25">
      <c r="A5860" s="1">
        <v>45662.083333333336</v>
      </c>
      <c r="B5860" t="s">
        <v>33</v>
      </c>
      <c r="C5860">
        <v>471.98</v>
      </c>
      <c r="D5860">
        <v>66.81</v>
      </c>
      <c r="E5860" t="s">
        <v>9</v>
      </c>
      <c r="F5860">
        <v>39.51</v>
      </c>
      <c r="G5860" t="s">
        <v>22</v>
      </c>
      <c r="H5860" t="s">
        <v>13</v>
      </c>
    </row>
    <row r="5861" spans="1:8" x14ac:dyDescent="0.25">
      <c r="A5861" s="1">
        <v>45662.125</v>
      </c>
      <c r="B5861" t="s">
        <v>33</v>
      </c>
      <c r="C5861">
        <v>271.44</v>
      </c>
      <c r="D5861">
        <v>19.98</v>
      </c>
      <c r="E5861" t="s">
        <v>9</v>
      </c>
      <c r="F5861">
        <v>69.25</v>
      </c>
      <c r="G5861" t="s">
        <v>22</v>
      </c>
      <c r="H5861" t="s">
        <v>12</v>
      </c>
    </row>
    <row r="5862" spans="1:8" x14ac:dyDescent="0.25">
      <c r="A5862" s="1">
        <v>45662.166666666664</v>
      </c>
      <c r="B5862" t="s">
        <v>33</v>
      </c>
      <c r="C5862">
        <v>240.33</v>
      </c>
      <c r="D5862">
        <v>62.49</v>
      </c>
      <c r="E5862" t="s">
        <v>9</v>
      </c>
      <c r="F5862">
        <v>61.47</v>
      </c>
      <c r="G5862" t="s">
        <v>22</v>
      </c>
      <c r="H5862" t="s">
        <v>11</v>
      </c>
    </row>
    <row r="5863" spans="1:8" x14ac:dyDescent="0.25">
      <c r="A5863" s="1">
        <v>45662.208333333336</v>
      </c>
      <c r="B5863" t="s">
        <v>33</v>
      </c>
      <c r="C5863">
        <v>242.12</v>
      </c>
      <c r="D5863">
        <v>62.31</v>
      </c>
      <c r="E5863" t="s">
        <v>9</v>
      </c>
      <c r="F5863">
        <v>77.37</v>
      </c>
      <c r="G5863" t="s">
        <v>22</v>
      </c>
      <c r="H5863" t="s">
        <v>11</v>
      </c>
    </row>
    <row r="5864" spans="1:8" x14ac:dyDescent="0.25">
      <c r="A5864" s="1">
        <v>45662.25</v>
      </c>
      <c r="B5864" t="s">
        <v>33</v>
      </c>
      <c r="C5864">
        <v>191.84</v>
      </c>
      <c r="D5864">
        <v>67.59</v>
      </c>
      <c r="E5864" t="s">
        <v>9</v>
      </c>
      <c r="F5864">
        <v>39.44</v>
      </c>
      <c r="G5864" t="s">
        <v>22</v>
      </c>
      <c r="H5864" t="s">
        <v>13</v>
      </c>
    </row>
    <row r="5865" spans="1:8" x14ac:dyDescent="0.25">
      <c r="A5865" s="1">
        <v>45662.291666666664</v>
      </c>
      <c r="B5865" t="s">
        <v>33</v>
      </c>
      <c r="C5865">
        <v>262.75</v>
      </c>
      <c r="D5865">
        <v>86.52</v>
      </c>
      <c r="E5865" t="s">
        <v>14</v>
      </c>
      <c r="F5865">
        <v>31.35</v>
      </c>
      <c r="G5865" t="s">
        <v>22</v>
      </c>
      <c r="H5865" t="s">
        <v>13</v>
      </c>
    </row>
    <row r="5866" spans="1:8" x14ac:dyDescent="0.25">
      <c r="A5866" s="1">
        <v>45662.333333333336</v>
      </c>
      <c r="B5866" t="s">
        <v>33</v>
      </c>
      <c r="C5866">
        <v>192.46</v>
      </c>
      <c r="D5866">
        <v>37.53</v>
      </c>
      <c r="E5866" t="s">
        <v>9</v>
      </c>
      <c r="F5866">
        <v>59.43</v>
      </c>
      <c r="G5866" t="s">
        <v>22</v>
      </c>
      <c r="H5866" t="s">
        <v>13</v>
      </c>
    </row>
    <row r="5867" spans="1:8" x14ac:dyDescent="0.25">
      <c r="A5867" s="1">
        <v>45662.375</v>
      </c>
      <c r="B5867" t="s">
        <v>33</v>
      </c>
      <c r="C5867">
        <v>497.14</v>
      </c>
      <c r="D5867">
        <v>27.39</v>
      </c>
      <c r="E5867" t="s">
        <v>9</v>
      </c>
      <c r="F5867">
        <v>76.88</v>
      </c>
      <c r="G5867" t="s">
        <v>22</v>
      </c>
      <c r="H5867" t="s">
        <v>13</v>
      </c>
    </row>
    <row r="5868" spans="1:8" x14ac:dyDescent="0.25">
      <c r="A5868" s="1">
        <v>45662.416666666664</v>
      </c>
      <c r="B5868" t="s">
        <v>33</v>
      </c>
      <c r="C5868">
        <v>223.32</v>
      </c>
      <c r="D5868">
        <v>64</v>
      </c>
      <c r="E5868" t="s">
        <v>9</v>
      </c>
      <c r="F5868">
        <v>30</v>
      </c>
      <c r="G5868" t="s">
        <v>22</v>
      </c>
      <c r="H5868" t="s">
        <v>11</v>
      </c>
    </row>
    <row r="5869" spans="1:8" x14ac:dyDescent="0.25">
      <c r="A5869" s="1">
        <v>45662.458333333336</v>
      </c>
      <c r="B5869" t="s">
        <v>33</v>
      </c>
      <c r="C5869">
        <v>480.89</v>
      </c>
      <c r="D5869">
        <v>28</v>
      </c>
      <c r="E5869" t="s">
        <v>9</v>
      </c>
      <c r="F5869">
        <v>58.77</v>
      </c>
      <c r="G5869" t="s">
        <v>22</v>
      </c>
      <c r="H5869" t="s">
        <v>11</v>
      </c>
    </row>
    <row r="5870" spans="1:8" x14ac:dyDescent="0.25">
      <c r="A5870" s="1">
        <v>45662.5</v>
      </c>
      <c r="B5870" t="s">
        <v>33</v>
      </c>
      <c r="C5870">
        <v>329.33</v>
      </c>
      <c r="D5870">
        <v>61.09</v>
      </c>
      <c r="E5870" t="s">
        <v>9</v>
      </c>
      <c r="F5870">
        <v>42.25</v>
      </c>
      <c r="G5870" t="s">
        <v>22</v>
      </c>
      <c r="H5870" t="s">
        <v>13</v>
      </c>
    </row>
    <row r="5871" spans="1:8" x14ac:dyDescent="0.25">
      <c r="A5871" s="1">
        <v>45662.541666666664</v>
      </c>
      <c r="B5871" t="s">
        <v>33</v>
      </c>
      <c r="C5871">
        <v>258.67</v>
      </c>
      <c r="D5871">
        <v>37.89</v>
      </c>
      <c r="E5871" t="s">
        <v>9</v>
      </c>
      <c r="F5871">
        <v>71.760000000000005</v>
      </c>
      <c r="G5871" t="s">
        <v>22</v>
      </c>
      <c r="H5871" t="s">
        <v>13</v>
      </c>
    </row>
    <row r="5872" spans="1:8" x14ac:dyDescent="0.25">
      <c r="A5872" s="1">
        <v>45662.583333333336</v>
      </c>
      <c r="B5872" t="s">
        <v>33</v>
      </c>
      <c r="C5872">
        <v>432.45</v>
      </c>
      <c r="D5872">
        <v>29.66</v>
      </c>
      <c r="E5872" t="s">
        <v>9</v>
      </c>
      <c r="F5872">
        <v>55.06</v>
      </c>
      <c r="G5872" t="s">
        <v>22</v>
      </c>
      <c r="H5872" t="s">
        <v>13</v>
      </c>
    </row>
    <row r="5873" spans="1:8" x14ac:dyDescent="0.25">
      <c r="A5873" s="1">
        <v>45662.625</v>
      </c>
      <c r="B5873" t="s">
        <v>33</v>
      </c>
      <c r="C5873">
        <v>176.18</v>
      </c>
      <c r="D5873">
        <v>55.4</v>
      </c>
      <c r="E5873" t="s">
        <v>9</v>
      </c>
      <c r="F5873">
        <v>84.91</v>
      </c>
      <c r="G5873" t="s">
        <v>22</v>
      </c>
      <c r="H5873" t="s">
        <v>12</v>
      </c>
    </row>
    <row r="5874" spans="1:8" x14ac:dyDescent="0.25">
      <c r="A5874" s="1">
        <v>45662.666666666664</v>
      </c>
      <c r="B5874" t="s">
        <v>33</v>
      </c>
      <c r="C5874">
        <v>153.29</v>
      </c>
      <c r="D5874">
        <v>25.5</v>
      </c>
      <c r="E5874" t="s">
        <v>9</v>
      </c>
      <c r="F5874">
        <v>50.99</v>
      </c>
      <c r="G5874" t="s">
        <v>22</v>
      </c>
      <c r="H5874" t="s">
        <v>12</v>
      </c>
    </row>
    <row r="5875" spans="1:8" x14ac:dyDescent="0.25">
      <c r="A5875" s="1">
        <v>45662.708333333336</v>
      </c>
      <c r="B5875" t="s">
        <v>33</v>
      </c>
      <c r="C5875">
        <v>63.95</v>
      </c>
      <c r="D5875">
        <v>83.03</v>
      </c>
      <c r="E5875" t="s">
        <v>9</v>
      </c>
      <c r="F5875">
        <v>53.84</v>
      </c>
      <c r="G5875" t="s">
        <v>22</v>
      </c>
      <c r="H5875" t="s">
        <v>13</v>
      </c>
    </row>
    <row r="5876" spans="1:8" x14ac:dyDescent="0.25">
      <c r="A5876" s="1">
        <v>45662.75</v>
      </c>
      <c r="B5876" t="s">
        <v>33</v>
      </c>
      <c r="C5876">
        <v>495.92</v>
      </c>
      <c r="D5876">
        <v>45.09</v>
      </c>
      <c r="E5876" t="s">
        <v>9</v>
      </c>
      <c r="F5876">
        <v>67.86</v>
      </c>
      <c r="G5876" t="s">
        <v>22</v>
      </c>
      <c r="H5876" t="s">
        <v>11</v>
      </c>
    </row>
    <row r="5877" spans="1:8" x14ac:dyDescent="0.25">
      <c r="A5877" s="1">
        <v>45662.791666666664</v>
      </c>
      <c r="B5877" t="s">
        <v>33</v>
      </c>
      <c r="C5877">
        <v>493.17</v>
      </c>
      <c r="D5877">
        <v>78.349999999999994</v>
      </c>
      <c r="E5877" t="s">
        <v>9</v>
      </c>
      <c r="F5877">
        <v>47.75</v>
      </c>
      <c r="G5877" t="s">
        <v>22</v>
      </c>
      <c r="H5877" t="s">
        <v>13</v>
      </c>
    </row>
    <row r="5878" spans="1:8" x14ac:dyDescent="0.25">
      <c r="A5878" s="1">
        <v>45662.833333333336</v>
      </c>
      <c r="B5878" t="s">
        <v>33</v>
      </c>
      <c r="C5878">
        <v>397.35</v>
      </c>
      <c r="D5878">
        <v>77.23</v>
      </c>
      <c r="E5878" t="s">
        <v>9</v>
      </c>
      <c r="F5878">
        <v>43.83</v>
      </c>
      <c r="G5878" t="s">
        <v>22</v>
      </c>
      <c r="H5878" t="s">
        <v>12</v>
      </c>
    </row>
    <row r="5879" spans="1:8" x14ac:dyDescent="0.25">
      <c r="A5879" s="1">
        <v>45662.875</v>
      </c>
      <c r="B5879" t="s">
        <v>33</v>
      </c>
      <c r="C5879">
        <v>464.25</v>
      </c>
      <c r="D5879">
        <v>17.559999999999999</v>
      </c>
      <c r="E5879" t="s">
        <v>9</v>
      </c>
      <c r="F5879">
        <v>74.08</v>
      </c>
      <c r="G5879" t="s">
        <v>22</v>
      </c>
      <c r="H5879" t="s">
        <v>11</v>
      </c>
    </row>
    <row r="5880" spans="1:8" x14ac:dyDescent="0.25">
      <c r="A5880" s="1">
        <v>45662.916666666664</v>
      </c>
      <c r="B5880" t="s">
        <v>33</v>
      </c>
      <c r="C5880">
        <v>427.06</v>
      </c>
      <c r="D5880">
        <v>87.33</v>
      </c>
      <c r="E5880" t="s">
        <v>14</v>
      </c>
      <c r="F5880">
        <v>47.85</v>
      </c>
      <c r="G5880" t="s">
        <v>22</v>
      </c>
      <c r="H5880" t="s">
        <v>11</v>
      </c>
    </row>
    <row r="5881" spans="1:8" x14ac:dyDescent="0.25">
      <c r="A5881" s="1">
        <v>45662.958333333336</v>
      </c>
      <c r="B5881" t="s">
        <v>33</v>
      </c>
      <c r="C5881">
        <v>90.96</v>
      </c>
      <c r="D5881">
        <v>42.62</v>
      </c>
      <c r="E5881" t="s">
        <v>9</v>
      </c>
      <c r="F5881">
        <v>71.040000000000006</v>
      </c>
      <c r="G5881" t="s">
        <v>22</v>
      </c>
      <c r="H5881" t="s">
        <v>13</v>
      </c>
    </row>
    <row r="5882" spans="1:8" x14ac:dyDescent="0.25">
      <c r="A5882" s="1">
        <v>45663</v>
      </c>
      <c r="B5882" t="s">
        <v>33</v>
      </c>
      <c r="C5882">
        <v>349.24</v>
      </c>
      <c r="D5882">
        <v>30.99</v>
      </c>
      <c r="E5882" t="s">
        <v>9</v>
      </c>
      <c r="F5882">
        <v>51.42</v>
      </c>
      <c r="G5882" t="s">
        <v>22</v>
      </c>
      <c r="H5882" t="s">
        <v>12</v>
      </c>
    </row>
    <row r="5883" spans="1:8" x14ac:dyDescent="0.25">
      <c r="A5883" s="1">
        <v>45663.041666666664</v>
      </c>
      <c r="B5883" t="s">
        <v>33</v>
      </c>
      <c r="C5883">
        <v>259.3</v>
      </c>
      <c r="D5883">
        <v>37.94</v>
      </c>
      <c r="E5883" t="s">
        <v>9</v>
      </c>
      <c r="F5883">
        <v>37.46</v>
      </c>
      <c r="G5883" t="s">
        <v>22</v>
      </c>
      <c r="H5883" t="s">
        <v>13</v>
      </c>
    </row>
    <row r="5884" spans="1:8" x14ac:dyDescent="0.25">
      <c r="A5884" s="1">
        <v>45663.083333333336</v>
      </c>
      <c r="B5884" t="s">
        <v>33</v>
      </c>
      <c r="C5884">
        <v>394.39</v>
      </c>
      <c r="D5884">
        <v>61.99</v>
      </c>
      <c r="E5884" t="s">
        <v>9</v>
      </c>
      <c r="F5884">
        <v>44.37</v>
      </c>
      <c r="G5884" t="s">
        <v>22</v>
      </c>
      <c r="H5884" t="s">
        <v>12</v>
      </c>
    </row>
    <row r="5885" spans="1:8" x14ac:dyDescent="0.25">
      <c r="A5885" s="1">
        <v>45663.125</v>
      </c>
      <c r="B5885" t="s">
        <v>33</v>
      </c>
      <c r="C5885">
        <v>200.85</v>
      </c>
      <c r="D5885">
        <v>19.420000000000002</v>
      </c>
      <c r="E5885" t="s">
        <v>9</v>
      </c>
      <c r="F5885">
        <v>76.27</v>
      </c>
      <c r="G5885" t="s">
        <v>22</v>
      </c>
      <c r="H5885" t="s">
        <v>11</v>
      </c>
    </row>
    <row r="5886" spans="1:8" x14ac:dyDescent="0.25">
      <c r="A5886" s="1">
        <v>45663.166666666664</v>
      </c>
      <c r="B5886" t="s">
        <v>33</v>
      </c>
      <c r="C5886">
        <v>84.46</v>
      </c>
      <c r="D5886">
        <v>61.41</v>
      </c>
      <c r="E5886" t="s">
        <v>9</v>
      </c>
      <c r="F5886">
        <v>79.260000000000005</v>
      </c>
      <c r="G5886" t="s">
        <v>22</v>
      </c>
      <c r="H5886" t="s">
        <v>13</v>
      </c>
    </row>
    <row r="5887" spans="1:8" x14ac:dyDescent="0.25">
      <c r="A5887" s="1">
        <v>45663.208333333336</v>
      </c>
      <c r="B5887" t="s">
        <v>33</v>
      </c>
      <c r="C5887">
        <v>319.32</v>
      </c>
      <c r="D5887">
        <v>69.84</v>
      </c>
      <c r="E5887" t="s">
        <v>9</v>
      </c>
      <c r="F5887">
        <v>74.790000000000006</v>
      </c>
      <c r="G5887" t="s">
        <v>22</v>
      </c>
      <c r="H5887" t="s">
        <v>13</v>
      </c>
    </row>
    <row r="5888" spans="1:8" x14ac:dyDescent="0.25">
      <c r="A5888" s="1">
        <v>45663.25</v>
      </c>
      <c r="B5888" t="s">
        <v>33</v>
      </c>
      <c r="C5888">
        <v>71.989999999999995</v>
      </c>
      <c r="D5888">
        <v>62.35</v>
      </c>
      <c r="E5888" t="s">
        <v>9</v>
      </c>
      <c r="F5888">
        <v>68.59</v>
      </c>
      <c r="G5888" t="s">
        <v>22</v>
      </c>
      <c r="H5888" t="s">
        <v>11</v>
      </c>
    </row>
    <row r="5889" spans="1:8" x14ac:dyDescent="0.25">
      <c r="A5889" s="1">
        <v>45663.291666666664</v>
      </c>
      <c r="B5889" t="s">
        <v>33</v>
      </c>
      <c r="C5889">
        <v>249.54</v>
      </c>
      <c r="D5889">
        <v>31.96</v>
      </c>
      <c r="E5889" t="s">
        <v>9</v>
      </c>
      <c r="F5889">
        <v>48.12</v>
      </c>
      <c r="G5889" t="s">
        <v>22</v>
      </c>
      <c r="H5889" t="s">
        <v>12</v>
      </c>
    </row>
    <row r="5890" spans="1:8" x14ac:dyDescent="0.25">
      <c r="A5890" s="1">
        <v>45663.333333333336</v>
      </c>
      <c r="B5890" t="s">
        <v>33</v>
      </c>
      <c r="C5890">
        <v>155.72</v>
      </c>
      <c r="D5890">
        <v>64.13</v>
      </c>
      <c r="E5890" t="s">
        <v>9</v>
      </c>
      <c r="F5890">
        <v>31.06</v>
      </c>
      <c r="G5890" t="s">
        <v>22</v>
      </c>
      <c r="H5890" t="s">
        <v>13</v>
      </c>
    </row>
    <row r="5891" spans="1:8" x14ac:dyDescent="0.25">
      <c r="A5891" s="1">
        <v>45663.375</v>
      </c>
      <c r="B5891" t="s">
        <v>33</v>
      </c>
      <c r="C5891">
        <v>123.57</v>
      </c>
      <c r="D5891">
        <v>85.77</v>
      </c>
      <c r="E5891" t="s">
        <v>14</v>
      </c>
      <c r="F5891">
        <v>81.81</v>
      </c>
      <c r="G5891" t="s">
        <v>22</v>
      </c>
      <c r="H5891" t="s">
        <v>13</v>
      </c>
    </row>
    <row r="5892" spans="1:8" x14ac:dyDescent="0.25">
      <c r="A5892" s="1">
        <v>45663.416666666664</v>
      </c>
      <c r="B5892" t="s">
        <v>33</v>
      </c>
      <c r="C5892">
        <v>290.33999999999997</v>
      </c>
      <c r="D5892">
        <v>35.11</v>
      </c>
      <c r="E5892" t="s">
        <v>9</v>
      </c>
      <c r="F5892">
        <v>57.78</v>
      </c>
      <c r="G5892" t="s">
        <v>22</v>
      </c>
      <c r="H5892" t="s">
        <v>13</v>
      </c>
    </row>
    <row r="5893" spans="1:8" x14ac:dyDescent="0.25">
      <c r="A5893" s="1">
        <v>45663.458333333336</v>
      </c>
      <c r="B5893" t="s">
        <v>33</v>
      </c>
      <c r="C5893">
        <v>351.85</v>
      </c>
      <c r="D5893">
        <v>91.09</v>
      </c>
      <c r="E5893" t="s">
        <v>14</v>
      </c>
      <c r="F5893">
        <v>54.89</v>
      </c>
      <c r="G5893" t="s">
        <v>22</v>
      </c>
      <c r="H5893" t="s">
        <v>12</v>
      </c>
    </row>
    <row r="5894" spans="1:8" x14ac:dyDescent="0.25">
      <c r="A5894" s="1">
        <v>45663.5</v>
      </c>
      <c r="B5894" t="s">
        <v>33</v>
      </c>
      <c r="C5894">
        <v>85.01</v>
      </c>
      <c r="D5894">
        <v>20.59</v>
      </c>
      <c r="E5894" t="s">
        <v>9</v>
      </c>
      <c r="F5894">
        <v>76.69</v>
      </c>
      <c r="G5894" t="s">
        <v>22</v>
      </c>
      <c r="H5894" t="s">
        <v>13</v>
      </c>
    </row>
    <row r="5895" spans="1:8" x14ac:dyDescent="0.25">
      <c r="A5895" s="1">
        <v>45663.541666666664</v>
      </c>
      <c r="B5895" t="s">
        <v>33</v>
      </c>
      <c r="C5895">
        <v>152.43</v>
      </c>
      <c r="D5895">
        <v>74.53</v>
      </c>
      <c r="E5895" t="s">
        <v>9</v>
      </c>
      <c r="F5895">
        <v>40.200000000000003</v>
      </c>
      <c r="G5895" t="s">
        <v>22</v>
      </c>
      <c r="H5895" t="s">
        <v>13</v>
      </c>
    </row>
    <row r="5896" spans="1:8" x14ac:dyDescent="0.25">
      <c r="A5896" s="1">
        <v>45663.583333333336</v>
      </c>
      <c r="B5896" t="s">
        <v>33</v>
      </c>
      <c r="C5896">
        <v>357.76</v>
      </c>
      <c r="D5896">
        <v>33.4</v>
      </c>
      <c r="E5896" t="s">
        <v>9</v>
      </c>
      <c r="F5896">
        <v>65.75</v>
      </c>
      <c r="G5896" t="s">
        <v>22</v>
      </c>
      <c r="H5896" t="s">
        <v>13</v>
      </c>
    </row>
    <row r="5897" spans="1:8" x14ac:dyDescent="0.25">
      <c r="A5897" s="1">
        <v>45663.625</v>
      </c>
      <c r="B5897" t="s">
        <v>33</v>
      </c>
      <c r="C5897">
        <v>193.25</v>
      </c>
      <c r="D5897">
        <v>77.09</v>
      </c>
      <c r="E5897" t="s">
        <v>9</v>
      </c>
      <c r="F5897">
        <v>34.85</v>
      </c>
      <c r="G5897" t="s">
        <v>22</v>
      </c>
      <c r="H5897" t="s">
        <v>12</v>
      </c>
    </row>
    <row r="5898" spans="1:8" x14ac:dyDescent="0.25">
      <c r="A5898" s="1">
        <v>45663.666666666664</v>
      </c>
      <c r="B5898" t="s">
        <v>33</v>
      </c>
      <c r="C5898">
        <v>422.47</v>
      </c>
      <c r="D5898">
        <v>84.06</v>
      </c>
      <c r="E5898" t="s">
        <v>9</v>
      </c>
      <c r="F5898">
        <v>64.180000000000007</v>
      </c>
      <c r="G5898" t="s">
        <v>22</v>
      </c>
      <c r="H5898" t="s">
        <v>11</v>
      </c>
    </row>
    <row r="5899" spans="1:8" x14ac:dyDescent="0.25">
      <c r="A5899" s="1">
        <v>45663.708333333336</v>
      </c>
      <c r="B5899" t="s">
        <v>33</v>
      </c>
      <c r="C5899">
        <v>428.93</v>
      </c>
      <c r="D5899">
        <v>55.92</v>
      </c>
      <c r="E5899" t="s">
        <v>9</v>
      </c>
      <c r="F5899">
        <v>77.13</v>
      </c>
      <c r="G5899" t="s">
        <v>22</v>
      </c>
      <c r="H5899" t="s">
        <v>11</v>
      </c>
    </row>
    <row r="5900" spans="1:8" x14ac:dyDescent="0.25">
      <c r="A5900" s="1">
        <v>45663.75</v>
      </c>
      <c r="B5900" t="s">
        <v>33</v>
      </c>
      <c r="C5900">
        <v>99.98</v>
      </c>
      <c r="D5900">
        <v>79.569999999999993</v>
      </c>
      <c r="E5900" t="s">
        <v>9</v>
      </c>
      <c r="F5900">
        <v>75.64</v>
      </c>
      <c r="G5900" t="s">
        <v>22</v>
      </c>
      <c r="H5900" t="s">
        <v>12</v>
      </c>
    </row>
    <row r="5901" spans="1:8" x14ac:dyDescent="0.25">
      <c r="A5901" s="1">
        <v>45663.791666666664</v>
      </c>
      <c r="B5901" t="s">
        <v>33</v>
      </c>
      <c r="C5901">
        <v>135.69</v>
      </c>
      <c r="D5901">
        <v>36</v>
      </c>
      <c r="E5901" t="s">
        <v>9</v>
      </c>
      <c r="F5901">
        <v>47.75</v>
      </c>
      <c r="G5901" t="s">
        <v>22</v>
      </c>
      <c r="H5901" t="s">
        <v>12</v>
      </c>
    </row>
    <row r="5902" spans="1:8" x14ac:dyDescent="0.25">
      <c r="A5902" s="1">
        <v>45663.833333333336</v>
      </c>
      <c r="B5902" t="s">
        <v>33</v>
      </c>
      <c r="C5902">
        <v>110.24</v>
      </c>
      <c r="D5902">
        <v>45.21</v>
      </c>
      <c r="E5902" t="s">
        <v>9</v>
      </c>
      <c r="F5902">
        <v>40.93</v>
      </c>
      <c r="G5902" t="s">
        <v>22</v>
      </c>
      <c r="H5902" t="s">
        <v>13</v>
      </c>
    </row>
    <row r="5903" spans="1:8" x14ac:dyDescent="0.25">
      <c r="A5903" s="1">
        <v>45663.875</v>
      </c>
      <c r="B5903" t="s">
        <v>33</v>
      </c>
      <c r="C5903">
        <v>411.07</v>
      </c>
      <c r="D5903">
        <v>46.22</v>
      </c>
      <c r="E5903" t="s">
        <v>9</v>
      </c>
      <c r="F5903">
        <v>46.2</v>
      </c>
      <c r="G5903" t="s">
        <v>22</v>
      </c>
      <c r="H5903" t="s">
        <v>13</v>
      </c>
    </row>
    <row r="5904" spans="1:8" x14ac:dyDescent="0.25">
      <c r="A5904" s="1">
        <v>45663.916666666664</v>
      </c>
      <c r="B5904" t="s">
        <v>33</v>
      </c>
      <c r="C5904">
        <v>304.64999999999998</v>
      </c>
      <c r="D5904">
        <v>16.920000000000002</v>
      </c>
      <c r="E5904" t="s">
        <v>9</v>
      </c>
      <c r="F5904">
        <v>35.11</v>
      </c>
      <c r="G5904" t="s">
        <v>22</v>
      </c>
      <c r="H5904" t="s">
        <v>12</v>
      </c>
    </row>
    <row r="5905" spans="1:8" x14ac:dyDescent="0.25">
      <c r="A5905" s="1">
        <v>45663.958333333336</v>
      </c>
      <c r="B5905" t="s">
        <v>33</v>
      </c>
      <c r="C5905">
        <v>128.74</v>
      </c>
      <c r="D5905">
        <v>75</v>
      </c>
      <c r="E5905" t="s">
        <v>9</v>
      </c>
      <c r="F5905">
        <v>65.349999999999994</v>
      </c>
      <c r="G5905" t="s">
        <v>22</v>
      </c>
      <c r="H5905" t="s">
        <v>12</v>
      </c>
    </row>
    <row r="5906" spans="1:8" x14ac:dyDescent="0.25">
      <c r="A5906" s="1">
        <v>45664</v>
      </c>
      <c r="B5906" t="s">
        <v>33</v>
      </c>
      <c r="C5906">
        <v>389.13</v>
      </c>
      <c r="D5906">
        <v>50.25</v>
      </c>
      <c r="E5906" t="s">
        <v>9</v>
      </c>
      <c r="F5906">
        <v>70.94</v>
      </c>
      <c r="G5906" t="s">
        <v>22</v>
      </c>
      <c r="H5906" t="s">
        <v>13</v>
      </c>
    </row>
    <row r="5907" spans="1:8" x14ac:dyDescent="0.25">
      <c r="A5907" s="1">
        <v>45664.041666666664</v>
      </c>
      <c r="B5907" t="s">
        <v>33</v>
      </c>
      <c r="C5907">
        <v>99.79</v>
      </c>
      <c r="D5907">
        <v>82.04</v>
      </c>
      <c r="E5907" t="s">
        <v>9</v>
      </c>
      <c r="F5907">
        <v>70.89</v>
      </c>
      <c r="G5907" t="s">
        <v>22</v>
      </c>
      <c r="H5907" t="s">
        <v>11</v>
      </c>
    </row>
    <row r="5908" spans="1:8" x14ac:dyDescent="0.25">
      <c r="A5908" s="1">
        <v>45664.083333333336</v>
      </c>
      <c r="B5908" t="s">
        <v>33</v>
      </c>
      <c r="C5908">
        <v>84.69</v>
      </c>
      <c r="D5908">
        <v>17.64</v>
      </c>
      <c r="E5908" t="s">
        <v>9</v>
      </c>
      <c r="F5908">
        <v>36.4</v>
      </c>
      <c r="G5908" t="s">
        <v>22</v>
      </c>
      <c r="H5908" t="s">
        <v>11</v>
      </c>
    </row>
    <row r="5909" spans="1:8" x14ac:dyDescent="0.25">
      <c r="A5909" s="1">
        <v>45664.125</v>
      </c>
      <c r="B5909" t="s">
        <v>33</v>
      </c>
      <c r="C5909">
        <v>455.66</v>
      </c>
      <c r="D5909">
        <v>89.98</v>
      </c>
      <c r="E5909" t="s">
        <v>14</v>
      </c>
      <c r="F5909">
        <v>58.91</v>
      </c>
      <c r="G5909" t="s">
        <v>22</v>
      </c>
      <c r="H5909" t="s">
        <v>12</v>
      </c>
    </row>
    <row r="5910" spans="1:8" x14ac:dyDescent="0.25">
      <c r="A5910" s="1">
        <v>45664.166666666664</v>
      </c>
      <c r="B5910" t="s">
        <v>33</v>
      </c>
      <c r="C5910">
        <v>414.94</v>
      </c>
      <c r="D5910">
        <v>54.64</v>
      </c>
      <c r="E5910" t="s">
        <v>9</v>
      </c>
      <c r="F5910">
        <v>71.91</v>
      </c>
      <c r="G5910" t="s">
        <v>22</v>
      </c>
      <c r="H5910" t="s">
        <v>13</v>
      </c>
    </row>
    <row r="5911" spans="1:8" x14ac:dyDescent="0.25">
      <c r="A5911" s="1">
        <v>45664.208333333336</v>
      </c>
      <c r="B5911" t="s">
        <v>33</v>
      </c>
      <c r="C5911">
        <v>54.38</v>
      </c>
      <c r="D5911">
        <v>42.93</v>
      </c>
      <c r="E5911" t="s">
        <v>9</v>
      </c>
      <c r="F5911">
        <v>39.15</v>
      </c>
      <c r="G5911" t="s">
        <v>22</v>
      </c>
      <c r="H5911" t="s">
        <v>13</v>
      </c>
    </row>
    <row r="5912" spans="1:8" x14ac:dyDescent="0.25">
      <c r="A5912" s="1">
        <v>45664.25</v>
      </c>
      <c r="B5912" t="s">
        <v>33</v>
      </c>
      <c r="C5912">
        <v>421.41</v>
      </c>
      <c r="D5912">
        <v>28.33</v>
      </c>
      <c r="E5912" t="s">
        <v>9</v>
      </c>
      <c r="F5912">
        <v>67.63</v>
      </c>
      <c r="G5912" t="s">
        <v>22</v>
      </c>
      <c r="H5912" t="s">
        <v>12</v>
      </c>
    </row>
    <row r="5913" spans="1:8" x14ac:dyDescent="0.25">
      <c r="A5913" s="1">
        <v>45664.291666666664</v>
      </c>
      <c r="B5913" t="s">
        <v>33</v>
      </c>
      <c r="C5913">
        <v>446.41</v>
      </c>
      <c r="D5913">
        <v>30.13</v>
      </c>
      <c r="E5913" t="s">
        <v>9</v>
      </c>
      <c r="F5913">
        <v>51.13</v>
      </c>
      <c r="G5913" t="s">
        <v>22</v>
      </c>
      <c r="H5913" t="s">
        <v>11</v>
      </c>
    </row>
    <row r="5914" spans="1:8" x14ac:dyDescent="0.25">
      <c r="A5914" s="1">
        <v>45664.333333333336</v>
      </c>
      <c r="B5914" t="s">
        <v>33</v>
      </c>
      <c r="C5914">
        <v>450.27</v>
      </c>
      <c r="D5914">
        <v>18.5</v>
      </c>
      <c r="E5914" t="s">
        <v>9</v>
      </c>
      <c r="F5914">
        <v>79.400000000000006</v>
      </c>
      <c r="G5914" t="s">
        <v>22</v>
      </c>
      <c r="H5914" t="s">
        <v>13</v>
      </c>
    </row>
    <row r="5915" spans="1:8" x14ac:dyDescent="0.25">
      <c r="A5915" s="1">
        <v>45664.375</v>
      </c>
      <c r="B5915" t="s">
        <v>33</v>
      </c>
      <c r="C5915">
        <v>344.29</v>
      </c>
      <c r="D5915">
        <v>71.22</v>
      </c>
      <c r="E5915" t="s">
        <v>9</v>
      </c>
      <c r="F5915">
        <v>72.400000000000006</v>
      </c>
      <c r="G5915" t="s">
        <v>22</v>
      </c>
      <c r="H5915" t="s">
        <v>11</v>
      </c>
    </row>
    <row r="5916" spans="1:8" x14ac:dyDescent="0.25">
      <c r="A5916" s="1">
        <v>45664.416666666664</v>
      </c>
      <c r="B5916" t="s">
        <v>33</v>
      </c>
      <c r="C5916">
        <v>285.38</v>
      </c>
      <c r="D5916">
        <v>71.19</v>
      </c>
      <c r="E5916" t="s">
        <v>9</v>
      </c>
      <c r="F5916">
        <v>66.14</v>
      </c>
      <c r="G5916" t="s">
        <v>22</v>
      </c>
      <c r="H5916" t="s">
        <v>12</v>
      </c>
    </row>
    <row r="5917" spans="1:8" x14ac:dyDescent="0.25">
      <c r="A5917" s="1">
        <v>45664.458333333336</v>
      </c>
      <c r="B5917" t="s">
        <v>33</v>
      </c>
      <c r="C5917">
        <v>473.05</v>
      </c>
      <c r="D5917">
        <v>55.63</v>
      </c>
      <c r="E5917" t="s">
        <v>9</v>
      </c>
      <c r="F5917">
        <v>88.19</v>
      </c>
      <c r="G5917" t="s">
        <v>22</v>
      </c>
      <c r="H5917" t="s">
        <v>11</v>
      </c>
    </row>
    <row r="5918" spans="1:8" x14ac:dyDescent="0.25">
      <c r="A5918" s="1">
        <v>45664.5</v>
      </c>
      <c r="B5918" t="s">
        <v>33</v>
      </c>
      <c r="C5918">
        <v>430.57</v>
      </c>
      <c r="D5918">
        <v>66.38</v>
      </c>
      <c r="E5918" t="s">
        <v>9</v>
      </c>
      <c r="F5918">
        <v>31.73</v>
      </c>
      <c r="G5918" t="s">
        <v>22</v>
      </c>
      <c r="H5918" t="s">
        <v>13</v>
      </c>
    </row>
    <row r="5919" spans="1:8" x14ac:dyDescent="0.25">
      <c r="A5919" s="1">
        <v>45664.541666666664</v>
      </c>
      <c r="B5919" t="s">
        <v>33</v>
      </c>
      <c r="C5919">
        <v>56.51</v>
      </c>
      <c r="D5919">
        <v>20.260000000000002</v>
      </c>
      <c r="E5919" t="s">
        <v>9</v>
      </c>
      <c r="F5919">
        <v>64.89</v>
      </c>
      <c r="G5919" t="s">
        <v>22</v>
      </c>
      <c r="H5919" t="s">
        <v>12</v>
      </c>
    </row>
    <row r="5920" spans="1:8" x14ac:dyDescent="0.25">
      <c r="A5920" s="1">
        <v>45664.583333333336</v>
      </c>
      <c r="B5920" t="s">
        <v>33</v>
      </c>
      <c r="C5920">
        <v>436.06</v>
      </c>
      <c r="D5920">
        <v>73.33</v>
      </c>
      <c r="E5920" t="s">
        <v>9</v>
      </c>
      <c r="F5920">
        <v>52.71</v>
      </c>
      <c r="G5920" t="s">
        <v>22</v>
      </c>
      <c r="H5920" t="s">
        <v>11</v>
      </c>
    </row>
    <row r="5921" spans="1:8" x14ac:dyDescent="0.25">
      <c r="A5921" s="1">
        <v>45664.625</v>
      </c>
      <c r="B5921" t="s">
        <v>33</v>
      </c>
      <c r="C5921">
        <v>330.42</v>
      </c>
      <c r="D5921">
        <v>62.37</v>
      </c>
      <c r="E5921" t="s">
        <v>9</v>
      </c>
      <c r="F5921">
        <v>87.34</v>
      </c>
      <c r="G5921" t="s">
        <v>22</v>
      </c>
      <c r="H5921" t="s">
        <v>12</v>
      </c>
    </row>
    <row r="5922" spans="1:8" x14ac:dyDescent="0.25">
      <c r="A5922" s="1">
        <v>45664.666666666664</v>
      </c>
      <c r="B5922" t="s">
        <v>33</v>
      </c>
      <c r="C5922">
        <v>209.76</v>
      </c>
      <c r="D5922">
        <v>56.52</v>
      </c>
      <c r="E5922" t="s">
        <v>9</v>
      </c>
      <c r="F5922">
        <v>77.17</v>
      </c>
      <c r="G5922" t="s">
        <v>22</v>
      </c>
      <c r="H5922" t="s">
        <v>12</v>
      </c>
    </row>
    <row r="5923" spans="1:8" x14ac:dyDescent="0.25">
      <c r="A5923" s="1">
        <v>45664.708333333336</v>
      </c>
      <c r="B5923" t="s">
        <v>33</v>
      </c>
      <c r="C5923">
        <v>187.59</v>
      </c>
      <c r="D5923">
        <v>55.17</v>
      </c>
      <c r="E5923" t="s">
        <v>9</v>
      </c>
      <c r="F5923">
        <v>37.94</v>
      </c>
      <c r="G5923" t="s">
        <v>22</v>
      </c>
      <c r="H5923" t="s">
        <v>11</v>
      </c>
    </row>
    <row r="5924" spans="1:8" x14ac:dyDescent="0.25">
      <c r="A5924" s="1">
        <v>45664.75</v>
      </c>
      <c r="B5924" t="s">
        <v>33</v>
      </c>
      <c r="C5924">
        <v>79.900000000000006</v>
      </c>
      <c r="D5924">
        <v>36.25</v>
      </c>
      <c r="E5924" t="s">
        <v>9</v>
      </c>
      <c r="F5924">
        <v>39.18</v>
      </c>
      <c r="G5924" t="s">
        <v>22</v>
      </c>
      <c r="H5924" t="s">
        <v>11</v>
      </c>
    </row>
    <row r="5925" spans="1:8" x14ac:dyDescent="0.25">
      <c r="A5925" s="1">
        <v>45664.791666666664</v>
      </c>
      <c r="B5925" t="s">
        <v>33</v>
      </c>
      <c r="C5925">
        <v>133.11000000000001</v>
      </c>
      <c r="D5925">
        <v>38.97</v>
      </c>
      <c r="E5925" t="s">
        <v>9</v>
      </c>
      <c r="F5925">
        <v>59.21</v>
      </c>
      <c r="G5925" t="s">
        <v>22</v>
      </c>
      <c r="H5925" t="s">
        <v>11</v>
      </c>
    </row>
    <row r="5926" spans="1:8" x14ac:dyDescent="0.25">
      <c r="A5926" s="1">
        <v>45664.833333333336</v>
      </c>
      <c r="B5926" t="s">
        <v>33</v>
      </c>
      <c r="C5926">
        <v>393.54</v>
      </c>
      <c r="D5926">
        <v>46.44</v>
      </c>
      <c r="E5926" t="s">
        <v>9</v>
      </c>
      <c r="F5926">
        <v>54.04</v>
      </c>
      <c r="G5926" t="s">
        <v>22</v>
      </c>
      <c r="H5926" t="s">
        <v>13</v>
      </c>
    </row>
    <row r="5927" spans="1:8" x14ac:dyDescent="0.25">
      <c r="A5927" s="1">
        <v>45664.875</v>
      </c>
      <c r="B5927" t="s">
        <v>33</v>
      </c>
      <c r="C5927">
        <v>118.57</v>
      </c>
      <c r="D5927">
        <v>83.88</v>
      </c>
      <c r="E5927" t="s">
        <v>9</v>
      </c>
      <c r="F5927">
        <v>55.24</v>
      </c>
      <c r="G5927" t="s">
        <v>22</v>
      </c>
      <c r="H5927" t="s">
        <v>13</v>
      </c>
    </row>
    <row r="5928" spans="1:8" x14ac:dyDescent="0.25">
      <c r="A5928" s="1">
        <v>45664.916666666664</v>
      </c>
      <c r="B5928" t="s">
        <v>33</v>
      </c>
      <c r="C5928">
        <v>366.33</v>
      </c>
      <c r="D5928">
        <v>87.4</v>
      </c>
      <c r="E5928" t="s">
        <v>14</v>
      </c>
      <c r="F5928">
        <v>87.81</v>
      </c>
      <c r="G5928" t="s">
        <v>22</v>
      </c>
      <c r="H5928" t="s">
        <v>12</v>
      </c>
    </row>
    <row r="5929" spans="1:8" x14ac:dyDescent="0.25">
      <c r="A5929" s="1">
        <v>45664.958333333336</v>
      </c>
      <c r="B5929" t="s">
        <v>33</v>
      </c>
      <c r="C5929">
        <v>487.13</v>
      </c>
      <c r="D5929">
        <v>79.900000000000006</v>
      </c>
      <c r="E5929" t="s">
        <v>9</v>
      </c>
      <c r="F5929">
        <v>35.64</v>
      </c>
      <c r="G5929" t="s">
        <v>22</v>
      </c>
      <c r="H5929" t="s">
        <v>13</v>
      </c>
    </row>
    <row r="5930" spans="1:8" x14ac:dyDescent="0.25">
      <c r="A5930" s="1">
        <v>45665</v>
      </c>
      <c r="B5930" t="s">
        <v>33</v>
      </c>
      <c r="C5930">
        <v>351.5</v>
      </c>
      <c r="D5930">
        <v>80.47</v>
      </c>
      <c r="E5930" t="s">
        <v>9</v>
      </c>
      <c r="F5930">
        <v>36.97</v>
      </c>
      <c r="G5930" t="s">
        <v>22</v>
      </c>
      <c r="H5930" t="s">
        <v>11</v>
      </c>
    </row>
    <row r="5931" spans="1:8" x14ac:dyDescent="0.25">
      <c r="A5931" s="1">
        <v>45665.041666666664</v>
      </c>
      <c r="B5931" t="s">
        <v>33</v>
      </c>
      <c r="C5931">
        <v>225.25</v>
      </c>
      <c r="D5931">
        <v>68.23</v>
      </c>
      <c r="E5931" t="s">
        <v>9</v>
      </c>
      <c r="F5931">
        <v>36.39</v>
      </c>
      <c r="G5931" t="s">
        <v>22</v>
      </c>
      <c r="H5931" t="s">
        <v>11</v>
      </c>
    </row>
    <row r="5932" spans="1:8" x14ac:dyDescent="0.25">
      <c r="A5932" s="1">
        <v>45665.083333333336</v>
      </c>
      <c r="B5932" t="s">
        <v>33</v>
      </c>
      <c r="C5932">
        <v>249.21</v>
      </c>
      <c r="D5932">
        <v>31.5</v>
      </c>
      <c r="E5932" t="s">
        <v>9</v>
      </c>
      <c r="F5932">
        <v>48.02</v>
      </c>
      <c r="G5932" t="s">
        <v>22</v>
      </c>
      <c r="H5932" t="s">
        <v>11</v>
      </c>
    </row>
    <row r="5933" spans="1:8" x14ac:dyDescent="0.25">
      <c r="A5933" s="1">
        <v>45665.125</v>
      </c>
      <c r="B5933" t="s">
        <v>33</v>
      </c>
      <c r="C5933">
        <v>161.34</v>
      </c>
      <c r="D5933">
        <v>93.61</v>
      </c>
      <c r="E5933" t="s">
        <v>14</v>
      </c>
      <c r="F5933">
        <v>77.819999999999993</v>
      </c>
      <c r="G5933" t="s">
        <v>22</v>
      </c>
      <c r="H5933" t="s">
        <v>13</v>
      </c>
    </row>
    <row r="5934" spans="1:8" x14ac:dyDescent="0.25">
      <c r="A5934" s="1">
        <v>45665.166666666664</v>
      </c>
      <c r="B5934" t="s">
        <v>33</v>
      </c>
      <c r="C5934">
        <v>351.93</v>
      </c>
      <c r="D5934">
        <v>72.73</v>
      </c>
      <c r="E5934" t="s">
        <v>9</v>
      </c>
      <c r="F5934">
        <v>75.25</v>
      </c>
      <c r="G5934" t="s">
        <v>22</v>
      </c>
      <c r="H5934" t="s">
        <v>11</v>
      </c>
    </row>
    <row r="5935" spans="1:8" x14ac:dyDescent="0.25">
      <c r="A5935" s="1">
        <v>45665.208333333336</v>
      </c>
      <c r="B5935" t="s">
        <v>33</v>
      </c>
      <c r="C5935">
        <v>197.46</v>
      </c>
      <c r="D5935">
        <v>39.54</v>
      </c>
      <c r="E5935" t="s">
        <v>9</v>
      </c>
      <c r="F5935">
        <v>32.14</v>
      </c>
      <c r="G5935" t="s">
        <v>22</v>
      </c>
      <c r="H5935" t="s">
        <v>11</v>
      </c>
    </row>
    <row r="5936" spans="1:8" x14ac:dyDescent="0.25">
      <c r="A5936" s="1">
        <v>45665.25</v>
      </c>
      <c r="B5936" t="s">
        <v>33</v>
      </c>
      <c r="C5936">
        <v>320.99</v>
      </c>
      <c r="D5936">
        <v>18.23</v>
      </c>
      <c r="E5936" t="s">
        <v>9</v>
      </c>
      <c r="F5936">
        <v>53.8</v>
      </c>
      <c r="G5936" t="s">
        <v>22</v>
      </c>
      <c r="H5936" t="s">
        <v>12</v>
      </c>
    </row>
    <row r="5937" spans="1:8" x14ac:dyDescent="0.25">
      <c r="A5937" s="1">
        <v>45665.291666666664</v>
      </c>
      <c r="B5937" t="s">
        <v>33</v>
      </c>
      <c r="C5937">
        <v>386.84</v>
      </c>
      <c r="D5937">
        <v>19.149999999999999</v>
      </c>
      <c r="E5937" t="s">
        <v>9</v>
      </c>
      <c r="F5937">
        <v>41.14</v>
      </c>
      <c r="G5937" t="s">
        <v>22</v>
      </c>
      <c r="H5937" t="s">
        <v>12</v>
      </c>
    </row>
    <row r="5938" spans="1:8" x14ac:dyDescent="0.25">
      <c r="A5938" s="1">
        <v>45665.333333333336</v>
      </c>
      <c r="B5938" t="s">
        <v>33</v>
      </c>
      <c r="C5938">
        <v>200.76</v>
      </c>
      <c r="D5938">
        <v>70.47</v>
      </c>
      <c r="E5938" t="s">
        <v>9</v>
      </c>
      <c r="F5938">
        <v>47.39</v>
      </c>
      <c r="G5938" t="s">
        <v>22</v>
      </c>
      <c r="H5938" t="s">
        <v>11</v>
      </c>
    </row>
    <row r="5939" spans="1:8" x14ac:dyDescent="0.25">
      <c r="A5939" s="1">
        <v>45665.375</v>
      </c>
      <c r="B5939" t="s">
        <v>33</v>
      </c>
      <c r="C5939">
        <v>277.16000000000003</v>
      </c>
      <c r="D5939">
        <v>49.5</v>
      </c>
      <c r="E5939" t="s">
        <v>9</v>
      </c>
      <c r="F5939">
        <v>38.29</v>
      </c>
      <c r="G5939" t="s">
        <v>22</v>
      </c>
      <c r="H5939" t="s">
        <v>12</v>
      </c>
    </row>
    <row r="5940" spans="1:8" x14ac:dyDescent="0.25">
      <c r="A5940" s="1">
        <v>45665.416666666664</v>
      </c>
      <c r="B5940" t="s">
        <v>33</v>
      </c>
      <c r="C5940">
        <v>209.13</v>
      </c>
      <c r="D5940">
        <v>63.72</v>
      </c>
      <c r="E5940" t="s">
        <v>9</v>
      </c>
      <c r="F5940">
        <v>59.43</v>
      </c>
      <c r="G5940" t="s">
        <v>22</v>
      </c>
      <c r="H5940" t="s">
        <v>12</v>
      </c>
    </row>
    <row r="5941" spans="1:8" x14ac:dyDescent="0.25">
      <c r="A5941" s="1">
        <v>45665.458333333336</v>
      </c>
      <c r="B5941" t="s">
        <v>33</v>
      </c>
      <c r="C5941">
        <v>390.9</v>
      </c>
      <c r="D5941">
        <v>74.319999999999993</v>
      </c>
      <c r="E5941" t="s">
        <v>9</v>
      </c>
      <c r="F5941">
        <v>31.19</v>
      </c>
      <c r="G5941" t="s">
        <v>22</v>
      </c>
      <c r="H5941" t="s">
        <v>12</v>
      </c>
    </row>
    <row r="5942" spans="1:8" x14ac:dyDescent="0.25">
      <c r="A5942" s="1">
        <v>45665.5</v>
      </c>
      <c r="B5942" t="s">
        <v>33</v>
      </c>
      <c r="C5942">
        <v>270.97000000000003</v>
      </c>
      <c r="D5942">
        <v>68.27</v>
      </c>
      <c r="E5942" t="s">
        <v>9</v>
      </c>
      <c r="F5942">
        <v>43.27</v>
      </c>
      <c r="G5942" t="s">
        <v>22</v>
      </c>
      <c r="H5942" t="s">
        <v>11</v>
      </c>
    </row>
    <row r="5943" spans="1:8" x14ac:dyDescent="0.25">
      <c r="A5943" s="1">
        <v>45665.541666666664</v>
      </c>
      <c r="B5943" t="s">
        <v>33</v>
      </c>
      <c r="C5943">
        <v>326.75</v>
      </c>
      <c r="D5943">
        <v>24.69</v>
      </c>
      <c r="E5943" t="s">
        <v>9</v>
      </c>
      <c r="F5943">
        <v>45.24</v>
      </c>
      <c r="G5943" t="s">
        <v>22</v>
      </c>
      <c r="H5943" t="s">
        <v>13</v>
      </c>
    </row>
    <row r="5944" spans="1:8" x14ac:dyDescent="0.25">
      <c r="A5944" s="1">
        <v>45665.583333333336</v>
      </c>
      <c r="B5944" t="s">
        <v>33</v>
      </c>
      <c r="C5944">
        <v>438.78</v>
      </c>
      <c r="D5944">
        <v>16.02</v>
      </c>
      <c r="E5944" t="s">
        <v>9</v>
      </c>
      <c r="F5944">
        <v>49.12</v>
      </c>
      <c r="G5944" t="s">
        <v>22</v>
      </c>
      <c r="H5944" t="s">
        <v>12</v>
      </c>
    </row>
    <row r="5945" spans="1:8" x14ac:dyDescent="0.25">
      <c r="A5945" s="1">
        <v>45665.625</v>
      </c>
      <c r="B5945" t="s">
        <v>33</v>
      </c>
      <c r="C5945">
        <v>401.63</v>
      </c>
      <c r="D5945">
        <v>88.92</v>
      </c>
      <c r="E5945" t="s">
        <v>14</v>
      </c>
      <c r="F5945">
        <v>63.77</v>
      </c>
      <c r="G5945" t="s">
        <v>22</v>
      </c>
      <c r="H5945" t="s">
        <v>11</v>
      </c>
    </row>
    <row r="5946" spans="1:8" x14ac:dyDescent="0.25">
      <c r="A5946" s="1">
        <v>45665.666666666664</v>
      </c>
      <c r="B5946" t="s">
        <v>33</v>
      </c>
      <c r="C5946">
        <v>301.17</v>
      </c>
      <c r="D5946">
        <v>76.41</v>
      </c>
      <c r="E5946" t="s">
        <v>9</v>
      </c>
      <c r="F5946">
        <v>73.099999999999994</v>
      </c>
      <c r="G5946" t="s">
        <v>22</v>
      </c>
      <c r="H5946" t="s">
        <v>12</v>
      </c>
    </row>
    <row r="5947" spans="1:8" x14ac:dyDescent="0.25">
      <c r="A5947" s="1">
        <v>45665.708333333336</v>
      </c>
      <c r="B5947" t="s">
        <v>33</v>
      </c>
      <c r="C5947">
        <v>401.82</v>
      </c>
      <c r="D5947">
        <v>84.04</v>
      </c>
      <c r="E5947" t="s">
        <v>9</v>
      </c>
      <c r="F5947">
        <v>74.98</v>
      </c>
      <c r="G5947" t="s">
        <v>22</v>
      </c>
      <c r="H5947" t="s">
        <v>11</v>
      </c>
    </row>
    <row r="5948" spans="1:8" x14ac:dyDescent="0.25">
      <c r="A5948" s="1">
        <v>45665.75</v>
      </c>
      <c r="B5948" t="s">
        <v>33</v>
      </c>
      <c r="C5948">
        <v>479.98</v>
      </c>
      <c r="D5948">
        <v>63.7</v>
      </c>
      <c r="E5948" t="s">
        <v>9</v>
      </c>
      <c r="F5948">
        <v>73.67</v>
      </c>
      <c r="G5948" t="s">
        <v>22</v>
      </c>
      <c r="H5948" t="s">
        <v>12</v>
      </c>
    </row>
    <row r="5949" spans="1:8" x14ac:dyDescent="0.25">
      <c r="A5949" s="1">
        <v>45665.791666666664</v>
      </c>
      <c r="B5949" t="s">
        <v>33</v>
      </c>
      <c r="C5949">
        <v>148.28</v>
      </c>
      <c r="D5949">
        <v>18.7</v>
      </c>
      <c r="E5949" t="s">
        <v>9</v>
      </c>
      <c r="F5949">
        <v>85.51</v>
      </c>
      <c r="G5949" t="s">
        <v>22</v>
      </c>
      <c r="H5949" t="s">
        <v>13</v>
      </c>
    </row>
    <row r="5950" spans="1:8" x14ac:dyDescent="0.25">
      <c r="A5950" s="1">
        <v>45665.833333333336</v>
      </c>
      <c r="B5950" t="s">
        <v>33</v>
      </c>
      <c r="C5950">
        <v>449.37</v>
      </c>
      <c r="D5950">
        <v>66.430000000000007</v>
      </c>
      <c r="E5950" t="s">
        <v>9</v>
      </c>
      <c r="F5950">
        <v>63.62</v>
      </c>
      <c r="G5950" t="s">
        <v>22</v>
      </c>
      <c r="H5950" t="s">
        <v>11</v>
      </c>
    </row>
    <row r="5951" spans="1:8" x14ac:dyDescent="0.25">
      <c r="A5951" s="1">
        <v>45665.875</v>
      </c>
      <c r="B5951" t="s">
        <v>33</v>
      </c>
      <c r="C5951">
        <v>99.97</v>
      </c>
      <c r="D5951">
        <v>54.48</v>
      </c>
      <c r="E5951" t="s">
        <v>9</v>
      </c>
      <c r="F5951">
        <v>78.67</v>
      </c>
      <c r="G5951" t="s">
        <v>22</v>
      </c>
      <c r="H5951" t="s">
        <v>12</v>
      </c>
    </row>
    <row r="5952" spans="1:8" x14ac:dyDescent="0.25">
      <c r="A5952" s="1">
        <v>45665.916666666664</v>
      </c>
      <c r="B5952" t="s">
        <v>33</v>
      </c>
      <c r="C5952">
        <v>472.23</v>
      </c>
      <c r="D5952">
        <v>93.13</v>
      </c>
      <c r="E5952" t="s">
        <v>14</v>
      </c>
      <c r="F5952">
        <v>89.72</v>
      </c>
      <c r="G5952" t="s">
        <v>22</v>
      </c>
      <c r="H5952" t="s">
        <v>12</v>
      </c>
    </row>
    <row r="5953" spans="1:8" x14ac:dyDescent="0.25">
      <c r="A5953" s="1">
        <v>45665.958333333336</v>
      </c>
      <c r="B5953" t="s">
        <v>33</v>
      </c>
      <c r="C5953">
        <v>472.77</v>
      </c>
      <c r="D5953">
        <v>24.87</v>
      </c>
      <c r="E5953" t="s">
        <v>9</v>
      </c>
      <c r="F5953">
        <v>73.58</v>
      </c>
      <c r="G5953" t="s">
        <v>22</v>
      </c>
      <c r="H5953" t="s">
        <v>13</v>
      </c>
    </row>
    <row r="5954" spans="1:8" x14ac:dyDescent="0.25">
      <c r="A5954" s="1">
        <v>45666</v>
      </c>
      <c r="B5954" t="s">
        <v>33</v>
      </c>
      <c r="C5954">
        <v>459.13</v>
      </c>
      <c r="D5954">
        <v>87.24</v>
      </c>
      <c r="E5954" t="s">
        <v>14</v>
      </c>
      <c r="F5954">
        <v>79.849999999999994</v>
      </c>
      <c r="G5954" t="s">
        <v>22</v>
      </c>
      <c r="H5954" t="s">
        <v>11</v>
      </c>
    </row>
    <row r="5955" spans="1:8" x14ac:dyDescent="0.25">
      <c r="A5955" s="1">
        <v>45666.041666666664</v>
      </c>
      <c r="B5955" t="s">
        <v>33</v>
      </c>
      <c r="C5955">
        <v>356.99</v>
      </c>
      <c r="D5955">
        <v>29.68</v>
      </c>
      <c r="E5955" t="s">
        <v>9</v>
      </c>
      <c r="F5955">
        <v>53.98</v>
      </c>
      <c r="G5955" t="s">
        <v>22</v>
      </c>
      <c r="H5955" t="s">
        <v>13</v>
      </c>
    </row>
    <row r="5956" spans="1:8" x14ac:dyDescent="0.25">
      <c r="A5956" s="1">
        <v>45666.083333333336</v>
      </c>
      <c r="B5956" t="s">
        <v>33</v>
      </c>
      <c r="C5956">
        <v>154.80000000000001</v>
      </c>
      <c r="D5956">
        <v>52.74</v>
      </c>
      <c r="E5956" t="s">
        <v>9</v>
      </c>
      <c r="F5956">
        <v>63.92</v>
      </c>
      <c r="G5956" t="s">
        <v>22</v>
      </c>
      <c r="H5956" t="s">
        <v>13</v>
      </c>
    </row>
    <row r="5957" spans="1:8" x14ac:dyDescent="0.25">
      <c r="A5957" s="1">
        <v>45666.125</v>
      </c>
      <c r="B5957" t="s">
        <v>33</v>
      </c>
      <c r="C5957">
        <v>177.69</v>
      </c>
      <c r="D5957">
        <v>24.93</v>
      </c>
      <c r="E5957" t="s">
        <v>9</v>
      </c>
      <c r="F5957">
        <v>47.27</v>
      </c>
      <c r="G5957" t="s">
        <v>22</v>
      </c>
      <c r="H5957" t="s">
        <v>11</v>
      </c>
    </row>
    <row r="5958" spans="1:8" x14ac:dyDescent="0.25">
      <c r="A5958" s="1">
        <v>45666.166666666664</v>
      </c>
      <c r="B5958" t="s">
        <v>33</v>
      </c>
      <c r="C5958">
        <v>311.85000000000002</v>
      </c>
      <c r="D5958">
        <v>81.52</v>
      </c>
      <c r="E5958" t="s">
        <v>9</v>
      </c>
      <c r="F5958">
        <v>45.82</v>
      </c>
      <c r="G5958" t="s">
        <v>22</v>
      </c>
      <c r="H5958" t="s">
        <v>11</v>
      </c>
    </row>
    <row r="5959" spans="1:8" x14ac:dyDescent="0.25">
      <c r="A5959" s="1">
        <v>45666.208333333336</v>
      </c>
      <c r="B5959" t="s">
        <v>33</v>
      </c>
      <c r="C5959">
        <v>162.19</v>
      </c>
      <c r="D5959">
        <v>41.95</v>
      </c>
      <c r="E5959" t="s">
        <v>9</v>
      </c>
      <c r="F5959">
        <v>68.17</v>
      </c>
      <c r="G5959" t="s">
        <v>22</v>
      </c>
      <c r="H5959" t="s">
        <v>11</v>
      </c>
    </row>
    <row r="5960" spans="1:8" x14ac:dyDescent="0.25">
      <c r="A5960" s="1">
        <v>45666.25</v>
      </c>
      <c r="B5960" t="s">
        <v>33</v>
      </c>
      <c r="C5960">
        <v>260.27999999999997</v>
      </c>
      <c r="D5960">
        <v>44.51</v>
      </c>
      <c r="E5960" t="s">
        <v>9</v>
      </c>
      <c r="F5960">
        <v>63.34</v>
      </c>
      <c r="G5960" t="s">
        <v>22</v>
      </c>
      <c r="H5960" t="s">
        <v>12</v>
      </c>
    </row>
    <row r="5961" spans="1:8" x14ac:dyDescent="0.25">
      <c r="A5961" s="1">
        <v>45666.291666666664</v>
      </c>
      <c r="B5961" t="s">
        <v>33</v>
      </c>
      <c r="C5961">
        <v>271.68</v>
      </c>
      <c r="D5961">
        <v>82.17</v>
      </c>
      <c r="E5961" t="s">
        <v>9</v>
      </c>
      <c r="F5961">
        <v>71.88</v>
      </c>
      <c r="G5961" t="s">
        <v>22</v>
      </c>
      <c r="H5961" t="s">
        <v>11</v>
      </c>
    </row>
    <row r="5962" spans="1:8" x14ac:dyDescent="0.25">
      <c r="A5962" s="1">
        <v>45666.333333333336</v>
      </c>
      <c r="B5962" t="s">
        <v>33</v>
      </c>
      <c r="C5962">
        <v>335.61</v>
      </c>
      <c r="D5962">
        <v>91.54</v>
      </c>
      <c r="E5962" t="s">
        <v>14</v>
      </c>
      <c r="F5962">
        <v>69.13</v>
      </c>
      <c r="G5962" t="s">
        <v>22</v>
      </c>
      <c r="H5962" t="s">
        <v>11</v>
      </c>
    </row>
    <row r="5963" spans="1:8" x14ac:dyDescent="0.25">
      <c r="A5963" s="1">
        <v>45666.375</v>
      </c>
      <c r="B5963" t="s">
        <v>33</v>
      </c>
      <c r="C5963">
        <v>82.24</v>
      </c>
      <c r="D5963">
        <v>43.48</v>
      </c>
      <c r="E5963" t="s">
        <v>9</v>
      </c>
      <c r="F5963">
        <v>31.57</v>
      </c>
      <c r="G5963" t="s">
        <v>22</v>
      </c>
      <c r="H5963" t="s">
        <v>11</v>
      </c>
    </row>
    <row r="5964" spans="1:8" x14ac:dyDescent="0.25">
      <c r="A5964" s="1">
        <v>45666.416666666664</v>
      </c>
      <c r="B5964" t="s">
        <v>33</v>
      </c>
      <c r="C5964">
        <v>99.67</v>
      </c>
      <c r="D5964">
        <v>78.87</v>
      </c>
      <c r="E5964" t="s">
        <v>9</v>
      </c>
      <c r="F5964">
        <v>50.77</v>
      </c>
      <c r="G5964" t="s">
        <v>22</v>
      </c>
      <c r="H5964" t="s">
        <v>12</v>
      </c>
    </row>
    <row r="5965" spans="1:8" x14ac:dyDescent="0.25">
      <c r="A5965" s="1">
        <v>45666.458333333336</v>
      </c>
      <c r="B5965" t="s">
        <v>33</v>
      </c>
      <c r="C5965">
        <v>294.43</v>
      </c>
      <c r="D5965">
        <v>85.46</v>
      </c>
      <c r="E5965" t="s">
        <v>14</v>
      </c>
      <c r="F5965">
        <v>88.34</v>
      </c>
      <c r="G5965" t="s">
        <v>22</v>
      </c>
      <c r="H5965" t="s">
        <v>13</v>
      </c>
    </row>
    <row r="5966" spans="1:8" x14ac:dyDescent="0.25">
      <c r="A5966" s="1">
        <v>45666.5</v>
      </c>
      <c r="B5966" t="s">
        <v>33</v>
      </c>
      <c r="C5966">
        <v>103.94</v>
      </c>
      <c r="D5966">
        <v>77.069999999999993</v>
      </c>
      <c r="E5966" t="s">
        <v>9</v>
      </c>
      <c r="F5966">
        <v>52.23</v>
      </c>
      <c r="G5966" t="s">
        <v>22</v>
      </c>
      <c r="H5966" t="s">
        <v>11</v>
      </c>
    </row>
    <row r="5967" spans="1:8" x14ac:dyDescent="0.25">
      <c r="A5967" s="1">
        <v>45666.541666666664</v>
      </c>
      <c r="B5967" t="s">
        <v>33</v>
      </c>
      <c r="C5967">
        <v>170.16</v>
      </c>
      <c r="D5967">
        <v>79.92</v>
      </c>
      <c r="E5967" t="s">
        <v>9</v>
      </c>
      <c r="F5967">
        <v>88.82</v>
      </c>
      <c r="G5967" t="s">
        <v>22</v>
      </c>
      <c r="H5967" t="s">
        <v>12</v>
      </c>
    </row>
    <row r="5968" spans="1:8" x14ac:dyDescent="0.25">
      <c r="A5968" s="1">
        <v>45666.583333333336</v>
      </c>
      <c r="B5968" t="s">
        <v>33</v>
      </c>
      <c r="C5968">
        <v>67.489999999999995</v>
      </c>
      <c r="D5968">
        <v>56.08</v>
      </c>
      <c r="E5968" t="s">
        <v>9</v>
      </c>
      <c r="F5968">
        <v>39.97</v>
      </c>
      <c r="G5968" t="s">
        <v>22</v>
      </c>
      <c r="H5968" t="s">
        <v>13</v>
      </c>
    </row>
    <row r="5969" spans="1:8" x14ac:dyDescent="0.25">
      <c r="A5969" s="1">
        <v>45666.625</v>
      </c>
      <c r="B5969" t="s">
        <v>33</v>
      </c>
      <c r="C5969">
        <v>141.55000000000001</v>
      </c>
      <c r="D5969">
        <v>87.21</v>
      </c>
      <c r="E5969" t="s">
        <v>14</v>
      </c>
      <c r="F5969">
        <v>75.27</v>
      </c>
      <c r="G5969" t="s">
        <v>22</v>
      </c>
      <c r="H5969" t="s">
        <v>12</v>
      </c>
    </row>
    <row r="5970" spans="1:8" x14ac:dyDescent="0.25">
      <c r="A5970" s="1">
        <v>45666.666666666664</v>
      </c>
      <c r="B5970" t="s">
        <v>33</v>
      </c>
      <c r="C5970">
        <v>271.93</v>
      </c>
      <c r="D5970">
        <v>44.35</v>
      </c>
      <c r="E5970" t="s">
        <v>9</v>
      </c>
      <c r="F5970">
        <v>35.130000000000003</v>
      </c>
      <c r="G5970" t="s">
        <v>22</v>
      </c>
      <c r="H5970" t="s">
        <v>11</v>
      </c>
    </row>
    <row r="5971" spans="1:8" x14ac:dyDescent="0.25">
      <c r="A5971" s="1">
        <v>45666.708333333336</v>
      </c>
      <c r="B5971" t="s">
        <v>33</v>
      </c>
      <c r="C5971">
        <v>52.64</v>
      </c>
      <c r="D5971">
        <v>51.06</v>
      </c>
      <c r="E5971" t="s">
        <v>9</v>
      </c>
      <c r="F5971">
        <v>67.95</v>
      </c>
      <c r="G5971" t="s">
        <v>22</v>
      </c>
      <c r="H5971" t="s">
        <v>12</v>
      </c>
    </row>
    <row r="5972" spans="1:8" x14ac:dyDescent="0.25">
      <c r="A5972" s="1">
        <v>45666.75</v>
      </c>
      <c r="B5972" t="s">
        <v>33</v>
      </c>
      <c r="C5972">
        <v>106.79</v>
      </c>
      <c r="D5972">
        <v>77.040000000000006</v>
      </c>
      <c r="E5972" t="s">
        <v>9</v>
      </c>
      <c r="F5972">
        <v>49.44</v>
      </c>
      <c r="G5972" t="s">
        <v>22</v>
      </c>
      <c r="H5972" t="s">
        <v>12</v>
      </c>
    </row>
    <row r="5973" spans="1:8" x14ac:dyDescent="0.25">
      <c r="A5973" s="1">
        <v>45666.791666666664</v>
      </c>
      <c r="B5973" t="s">
        <v>33</v>
      </c>
      <c r="C5973">
        <v>253.1</v>
      </c>
      <c r="D5973">
        <v>86.77</v>
      </c>
      <c r="E5973" t="s">
        <v>14</v>
      </c>
      <c r="F5973">
        <v>47.94</v>
      </c>
      <c r="G5973" t="s">
        <v>22</v>
      </c>
      <c r="H5973" t="s">
        <v>13</v>
      </c>
    </row>
    <row r="5974" spans="1:8" x14ac:dyDescent="0.25">
      <c r="A5974" s="1">
        <v>45666.833333333336</v>
      </c>
      <c r="B5974" t="s">
        <v>33</v>
      </c>
      <c r="C5974">
        <v>460.72</v>
      </c>
      <c r="D5974">
        <v>61.93</v>
      </c>
      <c r="E5974" t="s">
        <v>9</v>
      </c>
      <c r="F5974">
        <v>43.06</v>
      </c>
      <c r="G5974" t="s">
        <v>22</v>
      </c>
      <c r="H5974" t="s">
        <v>12</v>
      </c>
    </row>
    <row r="5975" spans="1:8" x14ac:dyDescent="0.25">
      <c r="A5975" s="1">
        <v>45666.875</v>
      </c>
      <c r="B5975" t="s">
        <v>33</v>
      </c>
      <c r="C5975">
        <v>224.83</v>
      </c>
      <c r="D5975">
        <v>76.709999999999994</v>
      </c>
      <c r="E5975" t="s">
        <v>9</v>
      </c>
      <c r="F5975">
        <v>37.76</v>
      </c>
      <c r="G5975" t="s">
        <v>22</v>
      </c>
      <c r="H5975" t="s">
        <v>13</v>
      </c>
    </row>
    <row r="5976" spans="1:8" x14ac:dyDescent="0.25">
      <c r="A5976" s="1">
        <v>45666.916666666664</v>
      </c>
      <c r="B5976" t="s">
        <v>33</v>
      </c>
      <c r="C5976">
        <v>404.33</v>
      </c>
      <c r="D5976">
        <v>30.22</v>
      </c>
      <c r="E5976" t="s">
        <v>9</v>
      </c>
      <c r="F5976">
        <v>49.3</v>
      </c>
      <c r="G5976" t="s">
        <v>22</v>
      </c>
      <c r="H5976" t="s">
        <v>12</v>
      </c>
    </row>
    <row r="5977" spans="1:8" x14ac:dyDescent="0.25">
      <c r="A5977" s="1">
        <v>45666.958333333336</v>
      </c>
      <c r="B5977" t="s">
        <v>33</v>
      </c>
      <c r="C5977">
        <v>367.3</v>
      </c>
      <c r="D5977">
        <v>54.75</v>
      </c>
      <c r="E5977" t="s">
        <v>9</v>
      </c>
      <c r="F5977">
        <v>30.68</v>
      </c>
      <c r="G5977" t="s">
        <v>22</v>
      </c>
      <c r="H5977" t="s">
        <v>11</v>
      </c>
    </row>
    <row r="5978" spans="1:8" x14ac:dyDescent="0.25">
      <c r="A5978" s="1">
        <v>45667</v>
      </c>
      <c r="B5978" t="s">
        <v>33</v>
      </c>
      <c r="C5978">
        <v>186.51</v>
      </c>
      <c r="D5978">
        <v>84.81</v>
      </c>
      <c r="E5978" t="s">
        <v>9</v>
      </c>
      <c r="F5978">
        <v>61.08</v>
      </c>
      <c r="G5978" t="s">
        <v>22</v>
      </c>
      <c r="H5978" t="s">
        <v>11</v>
      </c>
    </row>
    <row r="5979" spans="1:8" x14ac:dyDescent="0.25">
      <c r="A5979" s="1">
        <v>45667.041666666664</v>
      </c>
      <c r="B5979" t="s">
        <v>33</v>
      </c>
      <c r="C5979">
        <v>377.9</v>
      </c>
      <c r="D5979">
        <v>19.72</v>
      </c>
      <c r="E5979" t="s">
        <v>9</v>
      </c>
      <c r="F5979">
        <v>31.36</v>
      </c>
      <c r="G5979" t="s">
        <v>22</v>
      </c>
      <c r="H5979" t="s">
        <v>13</v>
      </c>
    </row>
    <row r="5980" spans="1:8" x14ac:dyDescent="0.25">
      <c r="A5980" s="1">
        <v>45667.083333333336</v>
      </c>
      <c r="B5980" t="s">
        <v>33</v>
      </c>
      <c r="C5980">
        <v>406.03</v>
      </c>
      <c r="D5980">
        <v>27.01</v>
      </c>
      <c r="E5980" t="s">
        <v>9</v>
      </c>
      <c r="F5980">
        <v>80.2</v>
      </c>
      <c r="G5980" t="s">
        <v>22</v>
      </c>
      <c r="H5980" t="s">
        <v>13</v>
      </c>
    </row>
    <row r="5981" spans="1:8" x14ac:dyDescent="0.25">
      <c r="A5981" s="1">
        <v>45667.125</v>
      </c>
      <c r="B5981" t="s">
        <v>33</v>
      </c>
      <c r="C5981">
        <v>265.74</v>
      </c>
      <c r="D5981">
        <v>94.14</v>
      </c>
      <c r="E5981" t="s">
        <v>14</v>
      </c>
      <c r="F5981">
        <v>73.05</v>
      </c>
      <c r="G5981" t="s">
        <v>22</v>
      </c>
      <c r="H5981" t="s">
        <v>13</v>
      </c>
    </row>
    <row r="5982" spans="1:8" x14ac:dyDescent="0.25">
      <c r="A5982" s="1">
        <v>45667.166666666664</v>
      </c>
      <c r="B5982" t="s">
        <v>33</v>
      </c>
      <c r="C5982">
        <v>254.06</v>
      </c>
      <c r="D5982">
        <v>25.41</v>
      </c>
      <c r="E5982" t="s">
        <v>9</v>
      </c>
      <c r="F5982">
        <v>73.64</v>
      </c>
      <c r="G5982" t="s">
        <v>22</v>
      </c>
      <c r="H5982" t="s">
        <v>13</v>
      </c>
    </row>
    <row r="5983" spans="1:8" x14ac:dyDescent="0.25">
      <c r="A5983" s="1">
        <v>45667.208333333336</v>
      </c>
      <c r="B5983" t="s">
        <v>33</v>
      </c>
      <c r="C5983">
        <v>69.58</v>
      </c>
      <c r="D5983">
        <v>15.1</v>
      </c>
      <c r="E5983" t="s">
        <v>9</v>
      </c>
      <c r="F5983">
        <v>49.48</v>
      </c>
      <c r="G5983" t="s">
        <v>22</v>
      </c>
      <c r="H5983" t="s">
        <v>12</v>
      </c>
    </row>
    <row r="5984" spans="1:8" x14ac:dyDescent="0.25">
      <c r="A5984" s="1">
        <v>45667.25</v>
      </c>
      <c r="B5984" t="s">
        <v>33</v>
      </c>
      <c r="C5984">
        <v>411.7</v>
      </c>
      <c r="D5984">
        <v>94.78</v>
      </c>
      <c r="E5984" t="s">
        <v>14</v>
      </c>
      <c r="F5984">
        <v>33.68</v>
      </c>
      <c r="G5984" t="s">
        <v>22</v>
      </c>
      <c r="H5984" t="s">
        <v>11</v>
      </c>
    </row>
    <row r="5985" spans="1:8" x14ac:dyDescent="0.25">
      <c r="A5985" s="1">
        <v>45667.291666666664</v>
      </c>
      <c r="B5985" t="s">
        <v>33</v>
      </c>
      <c r="C5985">
        <v>87.5</v>
      </c>
      <c r="D5985">
        <v>89.35</v>
      </c>
      <c r="E5985" t="s">
        <v>14</v>
      </c>
      <c r="F5985">
        <v>56.72</v>
      </c>
      <c r="G5985" t="s">
        <v>22</v>
      </c>
      <c r="H5985" t="s">
        <v>12</v>
      </c>
    </row>
    <row r="5986" spans="1:8" x14ac:dyDescent="0.25">
      <c r="A5986" s="1">
        <v>45667.333333333336</v>
      </c>
      <c r="B5986" t="s">
        <v>33</v>
      </c>
      <c r="C5986">
        <v>472.9</v>
      </c>
      <c r="D5986">
        <v>46.06</v>
      </c>
      <c r="E5986" t="s">
        <v>9</v>
      </c>
      <c r="F5986">
        <v>59.78</v>
      </c>
      <c r="G5986" t="s">
        <v>22</v>
      </c>
      <c r="H5986" t="s">
        <v>11</v>
      </c>
    </row>
    <row r="5987" spans="1:8" x14ac:dyDescent="0.25">
      <c r="A5987" s="1">
        <v>45667.375</v>
      </c>
      <c r="B5987" t="s">
        <v>33</v>
      </c>
      <c r="C5987">
        <v>427.82</v>
      </c>
      <c r="D5987">
        <v>54.09</v>
      </c>
      <c r="E5987" t="s">
        <v>9</v>
      </c>
      <c r="F5987">
        <v>32.01</v>
      </c>
      <c r="G5987" t="s">
        <v>22</v>
      </c>
      <c r="H5987" t="s">
        <v>13</v>
      </c>
    </row>
    <row r="5988" spans="1:8" x14ac:dyDescent="0.25">
      <c r="A5988" s="1">
        <v>45667.416666666664</v>
      </c>
      <c r="B5988" t="s">
        <v>33</v>
      </c>
      <c r="C5988">
        <v>108.88</v>
      </c>
      <c r="D5988">
        <v>63</v>
      </c>
      <c r="E5988" t="s">
        <v>9</v>
      </c>
      <c r="F5988">
        <v>89.96</v>
      </c>
      <c r="G5988" t="s">
        <v>22</v>
      </c>
      <c r="H5988" t="s">
        <v>11</v>
      </c>
    </row>
    <row r="5989" spans="1:8" x14ac:dyDescent="0.25">
      <c r="A5989" s="1">
        <v>45667.458333333336</v>
      </c>
      <c r="B5989" t="s">
        <v>33</v>
      </c>
      <c r="C5989">
        <v>271.81</v>
      </c>
      <c r="D5989">
        <v>67.62</v>
      </c>
      <c r="E5989" t="s">
        <v>9</v>
      </c>
      <c r="F5989">
        <v>73.61</v>
      </c>
      <c r="G5989" t="s">
        <v>22</v>
      </c>
      <c r="H5989" t="s">
        <v>13</v>
      </c>
    </row>
    <row r="5990" spans="1:8" x14ac:dyDescent="0.25">
      <c r="A5990" s="1">
        <v>45667.5</v>
      </c>
      <c r="B5990" t="s">
        <v>33</v>
      </c>
      <c r="C5990">
        <v>360.4</v>
      </c>
      <c r="D5990">
        <v>20.52</v>
      </c>
      <c r="E5990" t="s">
        <v>9</v>
      </c>
      <c r="F5990">
        <v>44.19</v>
      </c>
      <c r="G5990" t="s">
        <v>22</v>
      </c>
      <c r="H5990" t="s">
        <v>13</v>
      </c>
    </row>
    <row r="5991" spans="1:8" x14ac:dyDescent="0.25">
      <c r="A5991" s="1">
        <v>45667.541666666664</v>
      </c>
      <c r="B5991" t="s">
        <v>33</v>
      </c>
      <c r="C5991">
        <v>426.57</v>
      </c>
      <c r="D5991">
        <v>45.37</v>
      </c>
      <c r="E5991" t="s">
        <v>9</v>
      </c>
      <c r="F5991">
        <v>61.73</v>
      </c>
      <c r="G5991" t="s">
        <v>22</v>
      </c>
      <c r="H5991" t="s">
        <v>13</v>
      </c>
    </row>
    <row r="5992" spans="1:8" x14ac:dyDescent="0.25">
      <c r="A5992" s="1">
        <v>45667.583333333336</v>
      </c>
      <c r="B5992" t="s">
        <v>33</v>
      </c>
      <c r="C5992">
        <v>314.43</v>
      </c>
      <c r="D5992">
        <v>42.04</v>
      </c>
      <c r="E5992" t="s">
        <v>9</v>
      </c>
      <c r="F5992">
        <v>54.34</v>
      </c>
      <c r="G5992" t="s">
        <v>22</v>
      </c>
      <c r="H5992" t="s">
        <v>11</v>
      </c>
    </row>
    <row r="5993" spans="1:8" x14ac:dyDescent="0.25">
      <c r="A5993" s="1">
        <v>45667.625</v>
      </c>
      <c r="B5993" t="s">
        <v>33</v>
      </c>
      <c r="C5993">
        <v>97.2</v>
      </c>
      <c r="D5993">
        <v>50.56</v>
      </c>
      <c r="E5993" t="s">
        <v>9</v>
      </c>
      <c r="F5993">
        <v>37.520000000000003</v>
      </c>
      <c r="G5993" t="s">
        <v>22</v>
      </c>
      <c r="H5993" t="s">
        <v>12</v>
      </c>
    </row>
    <row r="5994" spans="1:8" x14ac:dyDescent="0.25">
      <c r="A5994" s="1">
        <v>45667.666666666664</v>
      </c>
      <c r="B5994" t="s">
        <v>33</v>
      </c>
      <c r="C5994">
        <v>127.21</v>
      </c>
      <c r="D5994">
        <v>62.08</v>
      </c>
      <c r="E5994" t="s">
        <v>9</v>
      </c>
      <c r="F5994">
        <v>76.72</v>
      </c>
      <c r="G5994" t="s">
        <v>22</v>
      </c>
      <c r="H5994" t="s">
        <v>13</v>
      </c>
    </row>
    <row r="5995" spans="1:8" x14ac:dyDescent="0.25">
      <c r="A5995" s="1">
        <v>45667.708333333336</v>
      </c>
      <c r="B5995" t="s">
        <v>33</v>
      </c>
      <c r="C5995">
        <v>353.31</v>
      </c>
      <c r="D5995">
        <v>88.83</v>
      </c>
      <c r="E5995" t="s">
        <v>14</v>
      </c>
      <c r="F5995">
        <v>68.64</v>
      </c>
      <c r="G5995" t="s">
        <v>22</v>
      </c>
      <c r="H5995" t="s">
        <v>11</v>
      </c>
    </row>
    <row r="5996" spans="1:8" x14ac:dyDescent="0.25">
      <c r="A5996" s="1">
        <v>45667.75</v>
      </c>
      <c r="B5996" t="s">
        <v>33</v>
      </c>
      <c r="C5996">
        <v>495.09</v>
      </c>
      <c r="D5996">
        <v>15.08</v>
      </c>
      <c r="E5996" t="s">
        <v>9</v>
      </c>
      <c r="F5996">
        <v>48.37</v>
      </c>
      <c r="G5996" t="s">
        <v>22</v>
      </c>
      <c r="H5996" t="s">
        <v>13</v>
      </c>
    </row>
    <row r="5997" spans="1:8" x14ac:dyDescent="0.25">
      <c r="A5997" s="1">
        <v>45667.791666666664</v>
      </c>
      <c r="B5997" t="s">
        <v>33</v>
      </c>
      <c r="C5997">
        <v>192.36</v>
      </c>
      <c r="D5997">
        <v>46.89</v>
      </c>
      <c r="E5997" t="s">
        <v>9</v>
      </c>
      <c r="F5997">
        <v>85.25</v>
      </c>
      <c r="G5997" t="s">
        <v>22</v>
      </c>
      <c r="H5997" t="s">
        <v>11</v>
      </c>
    </row>
    <row r="5998" spans="1:8" x14ac:dyDescent="0.25">
      <c r="A5998" s="1">
        <v>45667.833333333336</v>
      </c>
      <c r="B5998" t="s">
        <v>33</v>
      </c>
      <c r="C5998">
        <v>257.89999999999998</v>
      </c>
      <c r="D5998">
        <v>91.27</v>
      </c>
      <c r="E5998" t="s">
        <v>14</v>
      </c>
      <c r="F5998">
        <v>89.13</v>
      </c>
      <c r="G5998" t="s">
        <v>22</v>
      </c>
      <c r="H5998" t="s">
        <v>11</v>
      </c>
    </row>
    <row r="5999" spans="1:8" x14ac:dyDescent="0.25">
      <c r="A5999" s="1">
        <v>45667.875</v>
      </c>
      <c r="B5999" t="s">
        <v>33</v>
      </c>
      <c r="C5999">
        <v>439.09</v>
      </c>
      <c r="D5999">
        <v>14.38</v>
      </c>
      <c r="E5999" t="s">
        <v>9</v>
      </c>
      <c r="F5999">
        <v>34</v>
      </c>
      <c r="G5999" t="s">
        <v>22</v>
      </c>
      <c r="H5999" t="s">
        <v>13</v>
      </c>
    </row>
    <row r="6000" spans="1:8" x14ac:dyDescent="0.25">
      <c r="A6000" s="1">
        <v>45667.916666666664</v>
      </c>
      <c r="B6000" t="s">
        <v>33</v>
      </c>
      <c r="C6000">
        <v>318.95999999999998</v>
      </c>
      <c r="D6000">
        <v>85.1</v>
      </c>
      <c r="E6000" t="s">
        <v>14</v>
      </c>
      <c r="F6000">
        <v>34.79</v>
      </c>
      <c r="G6000" t="s">
        <v>22</v>
      </c>
      <c r="H6000" t="s">
        <v>13</v>
      </c>
    </row>
    <row r="6001" spans="1:8" x14ac:dyDescent="0.25">
      <c r="A6001" s="1">
        <v>45667.958333333336</v>
      </c>
      <c r="B6001" t="s">
        <v>33</v>
      </c>
      <c r="C6001">
        <v>116.34</v>
      </c>
      <c r="D6001">
        <v>38.799999999999997</v>
      </c>
      <c r="E6001" t="s">
        <v>9</v>
      </c>
      <c r="F6001">
        <v>57.88</v>
      </c>
      <c r="G6001" t="s">
        <v>22</v>
      </c>
      <c r="H6001" t="s">
        <v>13</v>
      </c>
    </row>
    <row r="6002" spans="1:8" x14ac:dyDescent="0.25">
      <c r="A6002" s="1">
        <v>45668</v>
      </c>
      <c r="B6002" t="s">
        <v>33</v>
      </c>
      <c r="C6002">
        <v>175.25</v>
      </c>
      <c r="D6002">
        <v>70.66</v>
      </c>
      <c r="E6002" t="s">
        <v>9</v>
      </c>
      <c r="F6002">
        <v>72.349999999999994</v>
      </c>
      <c r="G6002" t="s">
        <v>22</v>
      </c>
      <c r="H6002" t="s">
        <v>12</v>
      </c>
    </row>
    <row r="6003" spans="1:8" x14ac:dyDescent="0.25">
      <c r="A6003" s="1">
        <v>45668.041666666664</v>
      </c>
      <c r="B6003" t="s">
        <v>33</v>
      </c>
      <c r="C6003">
        <v>419.86</v>
      </c>
      <c r="D6003">
        <v>93.94</v>
      </c>
      <c r="E6003" t="s">
        <v>14</v>
      </c>
      <c r="F6003">
        <v>57.83</v>
      </c>
      <c r="G6003" t="s">
        <v>22</v>
      </c>
      <c r="H6003" t="s">
        <v>12</v>
      </c>
    </row>
    <row r="6004" spans="1:8" x14ac:dyDescent="0.25">
      <c r="A6004" s="1">
        <v>45668.083333333336</v>
      </c>
      <c r="B6004" t="s">
        <v>33</v>
      </c>
      <c r="C6004">
        <v>338.28</v>
      </c>
      <c r="D6004">
        <v>91.26</v>
      </c>
      <c r="E6004" t="s">
        <v>14</v>
      </c>
      <c r="F6004">
        <v>57.95</v>
      </c>
      <c r="G6004" t="s">
        <v>22</v>
      </c>
      <c r="H6004" t="s">
        <v>11</v>
      </c>
    </row>
    <row r="6005" spans="1:8" x14ac:dyDescent="0.25">
      <c r="A6005" s="1">
        <v>45668.125</v>
      </c>
      <c r="B6005" t="s">
        <v>33</v>
      </c>
      <c r="C6005">
        <v>472.14</v>
      </c>
      <c r="D6005">
        <v>87.13</v>
      </c>
      <c r="E6005" t="s">
        <v>14</v>
      </c>
      <c r="F6005">
        <v>84.59</v>
      </c>
      <c r="G6005" t="s">
        <v>22</v>
      </c>
      <c r="H6005" t="s">
        <v>11</v>
      </c>
    </row>
    <row r="6006" spans="1:8" x14ac:dyDescent="0.25">
      <c r="A6006" s="1">
        <v>45668.166666666664</v>
      </c>
      <c r="B6006" t="s">
        <v>33</v>
      </c>
      <c r="C6006">
        <v>257.08</v>
      </c>
      <c r="D6006">
        <v>35.869999999999997</v>
      </c>
      <c r="E6006" t="s">
        <v>9</v>
      </c>
      <c r="F6006">
        <v>79.91</v>
      </c>
      <c r="G6006" t="s">
        <v>22</v>
      </c>
      <c r="H6006" t="s">
        <v>11</v>
      </c>
    </row>
    <row r="6007" spans="1:8" x14ac:dyDescent="0.25">
      <c r="A6007" s="1">
        <v>45668.208333333336</v>
      </c>
      <c r="B6007" t="s">
        <v>33</v>
      </c>
      <c r="C6007">
        <v>109.51</v>
      </c>
      <c r="D6007">
        <v>24.87</v>
      </c>
      <c r="E6007" t="s">
        <v>9</v>
      </c>
      <c r="F6007">
        <v>31.41</v>
      </c>
      <c r="G6007" t="s">
        <v>22</v>
      </c>
      <c r="H6007" t="s">
        <v>11</v>
      </c>
    </row>
    <row r="6008" spans="1:8" x14ac:dyDescent="0.25">
      <c r="A6008" s="1">
        <v>45668.25</v>
      </c>
      <c r="B6008" t="s">
        <v>33</v>
      </c>
      <c r="C6008">
        <v>145.13</v>
      </c>
      <c r="D6008">
        <v>66.61</v>
      </c>
      <c r="E6008" t="s">
        <v>9</v>
      </c>
      <c r="F6008">
        <v>43.55</v>
      </c>
      <c r="G6008" t="s">
        <v>22</v>
      </c>
      <c r="H6008" t="s">
        <v>13</v>
      </c>
    </row>
    <row r="6009" spans="1:8" x14ac:dyDescent="0.25">
      <c r="A6009" s="1">
        <v>45668.291666666664</v>
      </c>
      <c r="B6009" t="s">
        <v>33</v>
      </c>
      <c r="C6009">
        <v>407.01</v>
      </c>
      <c r="D6009">
        <v>53.56</v>
      </c>
      <c r="E6009" t="s">
        <v>9</v>
      </c>
      <c r="F6009">
        <v>38.53</v>
      </c>
      <c r="G6009" t="s">
        <v>22</v>
      </c>
      <c r="H6009" t="s">
        <v>11</v>
      </c>
    </row>
    <row r="6010" spans="1:8" x14ac:dyDescent="0.25">
      <c r="A6010" s="1">
        <v>45668.333333333336</v>
      </c>
      <c r="B6010" t="s">
        <v>33</v>
      </c>
      <c r="C6010">
        <v>389.07</v>
      </c>
      <c r="D6010">
        <v>93.7</v>
      </c>
      <c r="E6010" t="s">
        <v>14</v>
      </c>
      <c r="F6010">
        <v>36.81</v>
      </c>
      <c r="G6010" t="s">
        <v>22</v>
      </c>
      <c r="H6010" t="s">
        <v>11</v>
      </c>
    </row>
    <row r="6011" spans="1:8" x14ac:dyDescent="0.25">
      <c r="A6011" s="1">
        <v>45668.375</v>
      </c>
      <c r="B6011" t="s">
        <v>33</v>
      </c>
      <c r="C6011">
        <v>417.31</v>
      </c>
      <c r="D6011">
        <v>26.69</v>
      </c>
      <c r="E6011" t="s">
        <v>9</v>
      </c>
      <c r="F6011">
        <v>88.64</v>
      </c>
      <c r="G6011" t="s">
        <v>22</v>
      </c>
      <c r="H6011" t="s">
        <v>11</v>
      </c>
    </row>
    <row r="6012" spans="1:8" x14ac:dyDescent="0.25">
      <c r="A6012" s="1">
        <v>45668.416666666664</v>
      </c>
      <c r="B6012" t="s">
        <v>33</v>
      </c>
      <c r="C6012">
        <v>336.11</v>
      </c>
      <c r="D6012">
        <v>62.37</v>
      </c>
      <c r="E6012" t="s">
        <v>9</v>
      </c>
      <c r="F6012">
        <v>89.85</v>
      </c>
      <c r="G6012" t="s">
        <v>22</v>
      </c>
      <c r="H6012" t="s">
        <v>11</v>
      </c>
    </row>
    <row r="6013" spans="1:8" x14ac:dyDescent="0.25">
      <c r="A6013" s="1">
        <v>45668.458333333336</v>
      </c>
      <c r="B6013" t="s">
        <v>33</v>
      </c>
      <c r="C6013">
        <v>154.44999999999999</v>
      </c>
      <c r="D6013">
        <v>25.66</v>
      </c>
      <c r="E6013" t="s">
        <v>9</v>
      </c>
      <c r="F6013">
        <v>73.459999999999994</v>
      </c>
      <c r="G6013" t="s">
        <v>22</v>
      </c>
      <c r="H6013" t="s">
        <v>11</v>
      </c>
    </row>
    <row r="6014" spans="1:8" x14ac:dyDescent="0.25">
      <c r="A6014" s="1">
        <v>45668.5</v>
      </c>
      <c r="B6014" t="s">
        <v>33</v>
      </c>
      <c r="C6014">
        <v>486.54</v>
      </c>
      <c r="D6014">
        <v>91.78</v>
      </c>
      <c r="E6014" t="s">
        <v>14</v>
      </c>
      <c r="F6014">
        <v>43.27</v>
      </c>
      <c r="G6014" t="s">
        <v>22</v>
      </c>
      <c r="H6014" t="s">
        <v>11</v>
      </c>
    </row>
    <row r="6015" spans="1:8" x14ac:dyDescent="0.25">
      <c r="A6015" s="1">
        <v>45668.541666666664</v>
      </c>
      <c r="B6015" t="s">
        <v>33</v>
      </c>
      <c r="C6015">
        <v>214.72</v>
      </c>
      <c r="D6015">
        <v>39.130000000000003</v>
      </c>
      <c r="E6015" t="s">
        <v>9</v>
      </c>
      <c r="F6015">
        <v>48.34</v>
      </c>
      <c r="G6015" t="s">
        <v>22</v>
      </c>
      <c r="H6015" t="s">
        <v>11</v>
      </c>
    </row>
    <row r="6016" spans="1:8" x14ac:dyDescent="0.25">
      <c r="A6016" s="1">
        <v>45668.583333333336</v>
      </c>
      <c r="B6016" t="s">
        <v>33</v>
      </c>
      <c r="C6016">
        <v>412.52</v>
      </c>
      <c r="D6016">
        <v>89.87</v>
      </c>
      <c r="E6016" t="s">
        <v>14</v>
      </c>
      <c r="F6016">
        <v>34.07</v>
      </c>
      <c r="G6016" t="s">
        <v>22</v>
      </c>
      <c r="H6016" t="s">
        <v>13</v>
      </c>
    </row>
    <row r="6017" spans="1:8" x14ac:dyDescent="0.25">
      <c r="A6017" s="1">
        <v>45668.625</v>
      </c>
      <c r="B6017" t="s">
        <v>33</v>
      </c>
      <c r="C6017">
        <v>289.93</v>
      </c>
      <c r="D6017">
        <v>36.700000000000003</v>
      </c>
      <c r="E6017" t="s">
        <v>9</v>
      </c>
      <c r="F6017">
        <v>62.52</v>
      </c>
      <c r="G6017" t="s">
        <v>22</v>
      </c>
      <c r="H6017" t="s">
        <v>11</v>
      </c>
    </row>
    <row r="6018" spans="1:8" x14ac:dyDescent="0.25">
      <c r="A6018" s="1">
        <v>45668.666666666664</v>
      </c>
      <c r="B6018" t="s">
        <v>33</v>
      </c>
      <c r="C6018">
        <v>225.13</v>
      </c>
      <c r="D6018">
        <v>91.13</v>
      </c>
      <c r="E6018" t="s">
        <v>14</v>
      </c>
      <c r="F6018">
        <v>56.23</v>
      </c>
      <c r="G6018" t="s">
        <v>22</v>
      </c>
      <c r="H6018" t="s">
        <v>11</v>
      </c>
    </row>
    <row r="6019" spans="1:8" x14ac:dyDescent="0.25">
      <c r="A6019" s="1">
        <v>45668.708333333336</v>
      </c>
      <c r="B6019" t="s">
        <v>33</v>
      </c>
      <c r="C6019">
        <v>386.88</v>
      </c>
      <c r="D6019">
        <v>72.73</v>
      </c>
      <c r="E6019" t="s">
        <v>9</v>
      </c>
      <c r="F6019">
        <v>64.98</v>
      </c>
      <c r="G6019" t="s">
        <v>22</v>
      </c>
      <c r="H6019" t="s">
        <v>12</v>
      </c>
    </row>
    <row r="6020" spans="1:8" x14ac:dyDescent="0.25">
      <c r="A6020" s="1">
        <v>45668.75</v>
      </c>
      <c r="B6020" t="s">
        <v>33</v>
      </c>
      <c r="C6020">
        <v>222.67</v>
      </c>
      <c r="D6020">
        <v>25.83</v>
      </c>
      <c r="E6020" t="s">
        <v>9</v>
      </c>
      <c r="F6020">
        <v>32.659999999999997</v>
      </c>
      <c r="G6020" t="s">
        <v>22</v>
      </c>
      <c r="H6020" t="s">
        <v>13</v>
      </c>
    </row>
    <row r="6021" spans="1:8" x14ac:dyDescent="0.25">
      <c r="A6021" s="1">
        <v>45668.791666666664</v>
      </c>
      <c r="B6021" t="s">
        <v>33</v>
      </c>
      <c r="C6021">
        <v>109.41</v>
      </c>
      <c r="D6021">
        <v>80.38</v>
      </c>
      <c r="E6021" t="s">
        <v>9</v>
      </c>
      <c r="F6021">
        <v>52.95</v>
      </c>
      <c r="G6021" t="s">
        <v>22</v>
      </c>
      <c r="H6021" t="s">
        <v>11</v>
      </c>
    </row>
    <row r="6022" spans="1:8" x14ac:dyDescent="0.25">
      <c r="A6022" s="1">
        <v>45668.833333333336</v>
      </c>
      <c r="B6022" t="s">
        <v>33</v>
      </c>
      <c r="C6022">
        <v>473.69</v>
      </c>
      <c r="D6022">
        <v>64.150000000000006</v>
      </c>
      <c r="E6022" t="s">
        <v>9</v>
      </c>
      <c r="F6022">
        <v>73.540000000000006</v>
      </c>
      <c r="G6022" t="s">
        <v>22</v>
      </c>
      <c r="H6022" t="s">
        <v>13</v>
      </c>
    </row>
    <row r="6023" spans="1:8" x14ac:dyDescent="0.25">
      <c r="A6023" s="1">
        <v>45668.875</v>
      </c>
      <c r="B6023" t="s">
        <v>33</v>
      </c>
      <c r="C6023">
        <v>452.72</v>
      </c>
      <c r="D6023">
        <v>85.26</v>
      </c>
      <c r="E6023" t="s">
        <v>14</v>
      </c>
      <c r="F6023">
        <v>74.959999999999994</v>
      </c>
      <c r="G6023" t="s">
        <v>22</v>
      </c>
      <c r="H6023" t="s">
        <v>12</v>
      </c>
    </row>
    <row r="6024" spans="1:8" x14ac:dyDescent="0.25">
      <c r="A6024" s="1">
        <v>45668.916666666664</v>
      </c>
      <c r="B6024" t="s">
        <v>33</v>
      </c>
      <c r="C6024">
        <v>453.96</v>
      </c>
      <c r="D6024">
        <v>73.63</v>
      </c>
      <c r="E6024" t="s">
        <v>9</v>
      </c>
      <c r="F6024">
        <v>50.38</v>
      </c>
      <c r="G6024" t="s">
        <v>22</v>
      </c>
      <c r="H6024" t="s">
        <v>12</v>
      </c>
    </row>
    <row r="6025" spans="1:8" x14ac:dyDescent="0.25">
      <c r="A6025" s="1">
        <v>45668.958333333336</v>
      </c>
      <c r="B6025" t="s">
        <v>33</v>
      </c>
      <c r="C6025">
        <v>429.37</v>
      </c>
      <c r="D6025">
        <v>44.62</v>
      </c>
      <c r="E6025" t="s">
        <v>9</v>
      </c>
      <c r="F6025">
        <v>79.900000000000006</v>
      </c>
      <c r="G6025" t="s">
        <v>22</v>
      </c>
      <c r="H6025" t="s">
        <v>13</v>
      </c>
    </row>
    <row r="6026" spans="1:8" x14ac:dyDescent="0.25">
      <c r="A6026" s="1">
        <v>45669</v>
      </c>
      <c r="B6026" t="s">
        <v>33</v>
      </c>
      <c r="C6026">
        <v>477.58</v>
      </c>
      <c r="D6026">
        <v>68.739999999999995</v>
      </c>
      <c r="E6026" t="s">
        <v>9</v>
      </c>
      <c r="F6026">
        <v>81.099999999999994</v>
      </c>
      <c r="G6026" t="s">
        <v>22</v>
      </c>
      <c r="H6026" t="s">
        <v>11</v>
      </c>
    </row>
    <row r="6027" spans="1:8" x14ac:dyDescent="0.25">
      <c r="A6027" s="1">
        <v>45669.041666666664</v>
      </c>
      <c r="B6027" t="s">
        <v>33</v>
      </c>
      <c r="C6027">
        <v>74.39</v>
      </c>
      <c r="D6027">
        <v>69.8</v>
      </c>
      <c r="E6027" t="s">
        <v>9</v>
      </c>
      <c r="F6027">
        <v>67.27</v>
      </c>
      <c r="G6027" t="s">
        <v>22</v>
      </c>
      <c r="H6027" t="s">
        <v>13</v>
      </c>
    </row>
    <row r="6028" spans="1:8" x14ac:dyDescent="0.25">
      <c r="A6028" s="1">
        <v>45669.083333333336</v>
      </c>
      <c r="B6028" t="s">
        <v>33</v>
      </c>
      <c r="C6028">
        <v>81.92</v>
      </c>
      <c r="D6028">
        <v>63.43</v>
      </c>
      <c r="E6028" t="s">
        <v>9</v>
      </c>
      <c r="F6028">
        <v>36.130000000000003</v>
      </c>
      <c r="G6028" t="s">
        <v>22</v>
      </c>
      <c r="H6028" t="s">
        <v>13</v>
      </c>
    </row>
    <row r="6029" spans="1:8" x14ac:dyDescent="0.25">
      <c r="A6029" s="1">
        <v>45669.125</v>
      </c>
      <c r="B6029" t="s">
        <v>33</v>
      </c>
      <c r="C6029">
        <v>426.54</v>
      </c>
      <c r="D6029">
        <v>90.25</v>
      </c>
      <c r="E6029" t="s">
        <v>14</v>
      </c>
      <c r="F6029">
        <v>48.47</v>
      </c>
      <c r="G6029" t="s">
        <v>22</v>
      </c>
      <c r="H6029" t="s">
        <v>13</v>
      </c>
    </row>
    <row r="6030" spans="1:8" x14ac:dyDescent="0.25">
      <c r="A6030" s="1">
        <v>45669.166666666664</v>
      </c>
      <c r="B6030" t="s">
        <v>33</v>
      </c>
      <c r="C6030">
        <v>336.03</v>
      </c>
      <c r="D6030">
        <v>67.8</v>
      </c>
      <c r="E6030" t="s">
        <v>9</v>
      </c>
      <c r="F6030">
        <v>84.54</v>
      </c>
      <c r="G6030" t="s">
        <v>22</v>
      </c>
      <c r="H6030" t="s">
        <v>11</v>
      </c>
    </row>
    <row r="6031" spans="1:8" x14ac:dyDescent="0.25">
      <c r="A6031" s="1">
        <v>45669.208333333336</v>
      </c>
      <c r="B6031" t="s">
        <v>33</v>
      </c>
      <c r="C6031">
        <v>458.51</v>
      </c>
      <c r="D6031">
        <v>56.66</v>
      </c>
      <c r="E6031" t="s">
        <v>9</v>
      </c>
      <c r="F6031">
        <v>63.97</v>
      </c>
      <c r="G6031" t="s">
        <v>22</v>
      </c>
      <c r="H6031" t="s">
        <v>13</v>
      </c>
    </row>
    <row r="6032" spans="1:8" x14ac:dyDescent="0.25">
      <c r="A6032" s="1">
        <v>45669.25</v>
      </c>
      <c r="B6032" t="s">
        <v>33</v>
      </c>
      <c r="C6032">
        <v>111.02</v>
      </c>
      <c r="D6032">
        <v>17.13</v>
      </c>
      <c r="E6032" t="s">
        <v>9</v>
      </c>
      <c r="F6032">
        <v>44.64</v>
      </c>
      <c r="G6032" t="s">
        <v>22</v>
      </c>
      <c r="H6032" t="s">
        <v>11</v>
      </c>
    </row>
    <row r="6033" spans="1:8" x14ac:dyDescent="0.25">
      <c r="A6033" s="1">
        <v>45669.291666666664</v>
      </c>
      <c r="B6033" t="s">
        <v>33</v>
      </c>
      <c r="C6033">
        <v>164.8</v>
      </c>
      <c r="D6033">
        <v>16.52</v>
      </c>
      <c r="E6033" t="s">
        <v>9</v>
      </c>
      <c r="F6033">
        <v>50.18</v>
      </c>
      <c r="G6033" t="s">
        <v>22</v>
      </c>
      <c r="H6033" t="s">
        <v>12</v>
      </c>
    </row>
    <row r="6034" spans="1:8" x14ac:dyDescent="0.25">
      <c r="A6034" s="1">
        <v>45669.333333333336</v>
      </c>
      <c r="B6034" t="s">
        <v>33</v>
      </c>
      <c r="C6034">
        <v>69.180000000000007</v>
      </c>
      <c r="D6034">
        <v>63.39</v>
      </c>
      <c r="E6034" t="s">
        <v>9</v>
      </c>
      <c r="F6034">
        <v>61.4</v>
      </c>
      <c r="G6034" t="s">
        <v>22</v>
      </c>
      <c r="H6034" t="s">
        <v>12</v>
      </c>
    </row>
    <row r="6035" spans="1:8" x14ac:dyDescent="0.25">
      <c r="A6035" s="1">
        <v>45669.375</v>
      </c>
      <c r="B6035" t="s">
        <v>33</v>
      </c>
      <c r="C6035">
        <v>367.77</v>
      </c>
      <c r="D6035">
        <v>82.72</v>
      </c>
      <c r="E6035" t="s">
        <v>9</v>
      </c>
      <c r="F6035">
        <v>62.18</v>
      </c>
      <c r="G6035" t="s">
        <v>22</v>
      </c>
      <c r="H6035" t="s">
        <v>12</v>
      </c>
    </row>
    <row r="6036" spans="1:8" x14ac:dyDescent="0.25">
      <c r="A6036" s="1">
        <v>45669.416666666664</v>
      </c>
      <c r="B6036" t="s">
        <v>33</v>
      </c>
      <c r="C6036">
        <v>216.74</v>
      </c>
      <c r="D6036">
        <v>92.19</v>
      </c>
      <c r="E6036" t="s">
        <v>14</v>
      </c>
      <c r="F6036">
        <v>39.61</v>
      </c>
      <c r="G6036" t="s">
        <v>22</v>
      </c>
      <c r="H6036" t="s">
        <v>13</v>
      </c>
    </row>
    <row r="6037" spans="1:8" x14ac:dyDescent="0.25">
      <c r="A6037" s="1">
        <v>45669.458333333336</v>
      </c>
      <c r="B6037" t="s">
        <v>33</v>
      </c>
      <c r="C6037">
        <v>317.18</v>
      </c>
      <c r="D6037">
        <v>23.38</v>
      </c>
      <c r="E6037" t="s">
        <v>9</v>
      </c>
      <c r="F6037">
        <v>48.77</v>
      </c>
      <c r="G6037" t="s">
        <v>22</v>
      </c>
      <c r="H6037" t="s">
        <v>11</v>
      </c>
    </row>
    <row r="6038" spans="1:8" x14ac:dyDescent="0.25">
      <c r="A6038" s="1">
        <v>45669.5</v>
      </c>
      <c r="B6038" t="s">
        <v>33</v>
      </c>
      <c r="C6038">
        <v>90.25</v>
      </c>
      <c r="D6038">
        <v>67.55</v>
      </c>
      <c r="E6038" t="s">
        <v>9</v>
      </c>
      <c r="F6038">
        <v>68.069999999999993</v>
      </c>
      <c r="G6038" t="s">
        <v>22</v>
      </c>
      <c r="H6038" t="s">
        <v>11</v>
      </c>
    </row>
    <row r="6039" spans="1:8" x14ac:dyDescent="0.25">
      <c r="A6039" s="1">
        <v>45669.541666666664</v>
      </c>
      <c r="B6039" t="s">
        <v>33</v>
      </c>
      <c r="C6039">
        <v>217.31</v>
      </c>
      <c r="D6039">
        <v>17.47</v>
      </c>
      <c r="E6039" t="s">
        <v>9</v>
      </c>
      <c r="F6039">
        <v>77.64</v>
      </c>
      <c r="G6039" t="s">
        <v>22</v>
      </c>
      <c r="H6039" t="s">
        <v>13</v>
      </c>
    </row>
    <row r="6040" spans="1:8" x14ac:dyDescent="0.25">
      <c r="A6040" s="1">
        <v>45669.583333333336</v>
      </c>
      <c r="B6040" t="s">
        <v>33</v>
      </c>
      <c r="C6040">
        <v>111.53</v>
      </c>
      <c r="D6040">
        <v>68.88</v>
      </c>
      <c r="E6040" t="s">
        <v>9</v>
      </c>
      <c r="F6040">
        <v>33.54</v>
      </c>
      <c r="G6040" t="s">
        <v>22</v>
      </c>
      <c r="H6040" t="s">
        <v>11</v>
      </c>
    </row>
    <row r="6041" spans="1:8" x14ac:dyDescent="0.25">
      <c r="A6041" s="1">
        <v>45669.625</v>
      </c>
      <c r="B6041" t="s">
        <v>33</v>
      </c>
      <c r="C6041">
        <v>83.19</v>
      </c>
      <c r="D6041">
        <v>23.05</v>
      </c>
      <c r="E6041" t="s">
        <v>9</v>
      </c>
      <c r="F6041">
        <v>78.31</v>
      </c>
      <c r="G6041" t="s">
        <v>22</v>
      </c>
      <c r="H6041" t="s">
        <v>11</v>
      </c>
    </row>
    <row r="6042" spans="1:8" x14ac:dyDescent="0.25">
      <c r="A6042" s="1">
        <v>45669.666666666664</v>
      </c>
      <c r="B6042" t="s">
        <v>33</v>
      </c>
      <c r="C6042">
        <v>441.71</v>
      </c>
      <c r="D6042">
        <v>71.459999999999994</v>
      </c>
      <c r="E6042" t="s">
        <v>9</v>
      </c>
      <c r="F6042">
        <v>61.16</v>
      </c>
      <c r="G6042" t="s">
        <v>22</v>
      </c>
      <c r="H6042" t="s">
        <v>13</v>
      </c>
    </row>
    <row r="6043" spans="1:8" x14ac:dyDescent="0.25">
      <c r="A6043" s="1">
        <v>45669.708333333336</v>
      </c>
      <c r="B6043" t="s">
        <v>33</v>
      </c>
      <c r="C6043">
        <v>492.63</v>
      </c>
      <c r="D6043">
        <v>39.61</v>
      </c>
      <c r="E6043" t="s">
        <v>9</v>
      </c>
      <c r="F6043">
        <v>39.94</v>
      </c>
      <c r="G6043" t="s">
        <v>22</v>
      </c>
      <c r="H6043" t="s">
        <v>13</v>
      </c>
    </row>
    <row r="6044" spans="1:8" x14ac:dyDescent="0.25">
      <c r="A6044" s="1">
        <v>45669.75</v>
      </c>
      <c r="B6044" t="s">
        <v>33</v>
      </c>
      <c r="C6044">
        <v>456.09</v>
      </c>
      <c r="D6044">
        <v>37.96</v>
      </c>
      <c r="E6044" t="s">
        <v>9</v>
      </c>
      <c r="F6044">
        <v>30.55</v>
      </c>
      <c r="G6044" t="s">
        <v>22</v>
      </c>
      <c r="H6044" t="s">
        <v>11</v>
      </c>
    </row>
    <row r="6045" spans="1:8" x14ac:dyDescent="0.25">
      <c r="A6045" s="1">
        <v>45669.791666666664</v>
      </c>
      <c r="B6045" t="s">
        <v>33</v>
      </c>
      <c r="C6045">
        <v>475.14</v>
      </c>
      <c r="D6045">
        <v>63.86</v>
      </c>
      <c r="E6045" t="s">
        <v>9</v>
      </c>
      <c r="F6045">
        <v>71.53</v>
      </c>
      <c r="G6045" t="s">
        <v>22</v>
      </c>
      <c r="H6045" t="s">
        <v>11</v>
      </c>
    </row>
    <row r="6046" spans="1:8" x14ac:dyDescent="0.25">
      <c r="A6046" s="1">
        <v>45669.833333333336</v>
      </c>
      <c r="B6046" t="s">
        <v>33</v>
      </c>
      <c r="C6046">
        <v>393.37</v>
      </c>
      <c r="D6046">
        <v>30.36</v>
      </c>
      <c r="E6046" t="s">
        <v>9</v>
      </c>
      <c r="F6046">
        <v>80.42</v>
      </c>
      <c r="G6046" t="s">
        <v>22</v>
      </c>
      <c r="H6046" t="s">
        <v>12</v>
      </c>
    </row>
    <row r="6047" spans="1:8" x14ac:dyDescent="0.25">
      <c r="A6047" s="1">
        <v>45669.875</v>
      </c>
      <c r="B6047" t="s">
        <v>33</v>
      </c>
      <c r="C6047">
        <v>212.95</v>
      </c>
      <c r="D6047">
        <v>84.04</v>
      </c>
      <c r="E6047" t="s">
        <v>9</v>
      </c>
      <c r="F6047">
        <v>49.1</v>
      </c>
      <c r="G6047" t="s">
        <v>22</v>
      </c>
      <c r="H6047" t="s">
        <v>13</v>
      </c>
    </row>
    <row r="6048" spans="1:8" x14ac:dyDescent="0.25">
      <c r="A6048" s="1">
        <v>45669.916666666664</v>
      </c>
      <c r="B6048" t="s">
        <v>33</v>
      </c>
      <c r="C6048">
        <v>406.2</v>
      </c>
      <c r="D6048">
        <v>76.42</v>
      </c>
      <c r="E6048" t="s">
        <v>9</v>
      </c>
      <c r="F6048">
        <v>71.81</v>
      </c>
      <c r="G6048" t="s">
        <v>22</v>
      </c>
      <c r="H6048" t="s">
        <v>12</v>
      </c>
    </row>
    <row r="6049" spans="1:8" x14ac:dyDescent="0.25">
      <c r="A6049" s="1">
        <v>45669.958333333336</v>
      </c>
      <c r="B6049" t="s">
        <v>33</v>
      </c>
      <c r="C6049">
        <v>134.61000000000001</v>
      </c>
      <c r="D6049">
        <v>23.05</v>
      </c>
      <c r="E6049" t="s">
        <v>9</v>
      </c>
      <c r="F6049">
        <v>69.650000000000006</v>
      </c>
      <c r="G6049" t="s">
        <v>22</v>
      </c>
      <c r="H6049" t="s">
        <v>12</v>
      </c>
    </row>
    <row r="6050" spans="1:8" x14ac:dyDescent="0.25">
      <c r="A6050" s="1">
        <v>45670</v>
      </c>
      <c r="B6050" t="s">
        <v>33</v>
      </c>
      <c r="C6050">
        <v>119.04</v>
      </c>
      <c r="D6050">
        <v>47.57</v>
      </c>
      <c r="E6050" t="s">
        <v>9</v>
      </c>
      <c r="F6050">
        <v>81.150000000000006</v>
      </c>
      <c r="G6050" t="s">
        <v>22</v>
      </c>
      <c r="H6050" t="s">
        <v>12</v>
      </c>
    </row>
    <row r="6051" spans="1:8" x14ac:dyDescent="0.25">
      <c r="A6051" s="1">
        <v>45670.041666666664</v>
      </c>
      <c r="B6051" t="s">
        <v>33</v>
      </c>
      <c r="C6051">
        <v>349.44</v>
      </c>
      <c r="D6051">
        <v>88.68</v>
      </c>
      <c r="E6051" t="s">
        <v>14</v>
      </c>
      <c r="F6051">
        <v>37.92</v>
      </c>
      <c r="G6051" t="s">
        <v>22</v>
      </c>
      <c r="H6051" t="s">
        <v>11</v>
      </c>
    </row>
    <row r="6052" spans="1:8" x14ac:dyDescent="0.25">
      <c r="A6052" s="1">
        <v>45670.083333333336</v>
      </c>
      <c r="B6052" t="s">
        <v>33</v>
      </c>
      <c r="C6052">
        <v>236.43</v>
      </c>
      <c r="D6052">
        <v>29.66</v>
      </c>
      <c r="E6052" t="s">
        <v>9</v>
      </c>
      <c r="F6052">
        <v>75.13</v>
      </c>
      <c r="G6052" t="s">
        <v>22</v>
      </c>
      <c r="H6052" t="s">
        <v>11</v>
      </c>
    </row>
    <row r="6053" spans="1:8" x14ac:dyDescent="0.25">
      <c r="A6053" s="1">
        <v>45670.125</v>
      </c>
      <c r="B6053" t="s">
        <v>33</v>
      </c>
      <c r="C6053">
        <v>147.88999999999999</v>
      </c>
      <c r="D6053">
        <v>14.94</v>
      </c>
      <c r="E6053" t="s">
        <v>9</v>
      </c>
      <c r="F6053">
        <v>54.88</v>
      </c>
      <c r="G6053" t="s">
        <v>22</v>
      </c>
      <c r="H6053" t="s">
        <v>13</v>
      </c>
    </row>
    <row r="6054" spans="1:8" x14ac:dyDescent="0.25">
      <c r="A6054" s="1">
        <v>45670.166666666664</v>
      </c>
      <c r="B6054" t="s">
        <v>33</v>
      </c>
      <c r="C6054">
        <v>407.04</v>
      </c>
      <c r="D6054">
        <v>58.23</v>
      </c>
      <c r="E6054" t="s">
        <v>9</v>
      </c>
      <c r="F6054">
        <v>64.84</v>
      </c>
      <c r="G6054" t="s">
        <v>22</v>
      </c>
      <c r="H6054" t="s">
        <v>12</v>
      </c>
    </row>
    <row r="6055" spans="1:8" x14ac:dyDescent="0.25">
      <c r="A6055" s="1">
        <v>45670.208333333336</v>
      </c>
      <c r="B6055" t="s">
        <v>33</v>
      </c>
      <c r="C6055">
        <v>160.61000000000001</v>
      </c>
      <c r="D6055">
        <v>26.6</v>
      </c>
      <c r="E6055" t="s">
        <v>9</v>
      </c>
      <c r="F6055">
        <v>38.11</v>
      </c>
      <c r="G6055" t="s">
        <v>22</v>
      </c>
      <c r="H6055" t="s">
        <v>13</v>
      </c>
    </row>
    <row r="6056" spans="1:8" x14ac:dyDescent="0.25">
      <c r="A6056" s="1">
        <v>45670.25</v>
      </c>
      <c r="B6056" t="s">
        <v>33</v>
      </c>
      <c r="C6056">
        <v>446.21</v>
      </c>
      <c r="D6056">
        <v>33.08</v>
      </c>
      <c r="E6056" t="s">
        <v>9</v>
      </c>
      <c r="F6056">
        <v>45.84</v>
      </c>
      <c r="G6056" t="s">
        <v>22</v>
      </c>
      <c r="H6056" t="s">
        <v>12</v>
      </c>
    </row>
    <row r="6057" spans="1:8" x14ac:dyDescent="0.25">
      <c r="A6057" s="1">
        <v>45670.291666666664</v>
      </c>
      <c r="B6057" t="s">
        <v>33</v>
      </c>
      <c r="C6057">
        <v>341.49</v>
      </c>
      <c r="D6057">
        <v>59.13</v>
      </c>
      <c r="E6057" t="s">
        <v>9</v>
      </c>
      <c r="F6057">
        <v>52.88</v>
      </c>
      <c r="G6057" t="s">
        <v>22</v>
      </c>
      <c r="H6057" t="s">
        <v>12</v>
      </c>
    </row>
    <row r="6058" spans="1:8" x14ac:dyDescent="0.25">
      <c r="A6058" s="1">
        <v>45670.333333333336</v>
      </c>
      <c r="B6058" t="s">
        <v>33</v>
      </c>
      <c r="C6058">
        <v>491.61</v>
      </c>
      <c r="D6058">
        <v>89.08</v>
      </c>
      <c r="E6058" t="s">
        <v>14</v>
      </c>
      <c r="F6058">
        <v>88.32</v>
      </c>
      <c r="G6058" t="s">
        <v>22</v>
      </c>
      <c r="H6058" t="s">
        <v>12</v>
      </c>
    </row>
    <row r="6059" spans="1:8" x14ac:dyDescent="0.25">
      <c r="A6059" s="1">
        <v>45670.375</v>
      </c>
      <c r="B6059" t="s">
        <v>33</v>
      </c>
      <c r="C6059">
        <v>68.73</v>
      </c>
      <c r="D6059">
        <v>49.37</v>
      </c>
      <c r="E6059" t="s">
        <v>9</v>
      </c>
      <c r="F6059">
        <v>66.09</v>
      </c>
      <c r="G6059" t="s">
        <v>22</v>
      </c>
      <c r="H6059" t="s">
        <v>11</v>
      </c>
    </row>
    <row r="6060" spans="1:8" x14ac:dyDescent="0.25">
      <c r="A6060" s="1">
        <v>45670.416666666664</v>
      </c>
      <c r="B6060" t="s">
        <v>33</v>
      </c>
      <c r="C6060">
        <v>226.08</v>
      </c>
      <c r="D6060">
        <v>55.24</v>
      </c>
      <c r="E6060" t="s">
        <v>9</v>
      </c>
      <c r="F6060">
        <v>36.49</v>
      </c>
      <c r="G6060" t="s">
        <v>22</v>
      </c>
      <c r="H6060" t="s">
        <v>11</v>
      </c>
    </row>
    <row r="6061" spans="1:8" x14ac:dyDescent="0.25">
      <c r="A6061" s="1">
        <v>45670.458333333336</v>
      </c>
      <c r="B6061" t="s">
        <v>33</v>
      </c>
      <c r="C6061">
        <v>109.99</v>
      </c>
      <c r="D6061">
        <v>50.2</v>
      </c>
      <c r="E6061" t="s">
        <v>9</v>
      </c>
      <c r="F6061">
        <v>65.92</v>
      </c>
      <c r="G6061" t="s">
        <v>22</v>
      </c>
      <c r="H6061" t="s">
        <v>12</v>
      </c>
    </row>
    <row r="6062" spans="1:8" x14ac:dyDescent="0.25">
      <c r="A6062" s="1">
        <v>45670.5</v>
      </c>
      <c r="B6062" t="s">
        <v>33</v>
      </c>
      <c r="C6062">
        <v>421.74</v>
      </c>
      <c r="D6062">
        <v>34.74</v>
      </c>
      <c r="E6062" t="s">
        <v>9</v>
      </c>
      <c r="F6062">
        <v>44.47</v>
      </c>
      <c r="G6062" t="s">
        <v>22</v>
      </c>
      <c r="H6062" t="s">
        <v>11</v>
      </c>
    </row>
    <row r="6063" spans="1:8" x14ac:dyDescent="0.25">
      <c r="A6063" s="1">
        <v>45670.541666666664</v>
      </c>
      <c r="B6063" t="s">
        <v>33</v>
      </c>
      <c r="C6063">
        <v>169.07</v>
      </c>
      <c r="D6063">
        <v>86.4</v>
      </c>
      <c r="E6063" t="s">
        <v>14</v>
      </c>
      <c r="F6063">
        <v>35.76</v>
      </c>
      <c r="G6063" t="s">
        <v>22</v>
      </c>
      <c r="H6063" t="s">
        <v>11</v>
      </c>
    </row>
    <row r="6064" spans="1:8" x14ac:dyDescent="0.25">
      <c r="A6064" s="1">
        <v>45670.583333333336</v>
      </c>
      <c r="B6064" t="s">
        <v>33</v>
      </c>
      <c r="C6064">
        <v>205.65</v>
      </c>
      <c r="D6064">
        <v>65.790000000000006</v>
      </c>
      <c r="E6064" t="s">
        <v>9</v>
      </c>
      <c r="F6064">
        <v>47.46</v>
      </c>
      <c r="G6064" t="s">
        <v>22</v>
      </c>
      <c r="H6064" t="s">
        <v>11</v>
      </c>
    </row>
    <row r="6065" spans="1:8" x14ac:dyDescent="0.25">
      <c r="A6065" s="1">
        <v>45670.625</v>
      </c>
      <c r="B6065" t="s">
        <v>33</v>
      </c>
      <c r="C6065">
        <v>340.2</v>
      </c>
      <c r="D6065">
        <v>24.89</v>
      </c>
      <c r="E6065" t="s">
        <v>9</v>
      </c>
      <c r="F6065">
        <v>87.24</v>
      </c>
      <c r="G6065" t="s">
        <v>22</v>
      </c>
      <c r="H6065" t="s">
        <v>13</v>
      </c>
    </row>
    <row r="6066" spans="1:8" x14ac:dyDescent="0.25">
      <c r="A6066" s="1">
        <v>45670.666666666664</v>
      </c>
      <c r="B6066" t="s">
        <v>33</v>
      </c>
      <c r="C6066">
        <v>276.58999999999997</v>
      </c>
      <c r="D6066">
        <v>53.56</v>
      </c>
      <c r="E6066" t="s">
        <v>9</v>
      </c>
      <c r="F6066">
        <v>56.26</v>
      </c>
      <c r="G6066" t="s">
        <v>22</v>
      </c>
      <c r="H6066" t="s">
        <v>11</v>
      </c>
    </row>
    <row r="6067" spans="1:8" x14ac:dyDescent="0.25">
      <c r="A6067" s="1">
        <v>45670.708333333336</v>
      </c>
      <c r="B6067" t="s">
        <v>33</v>
      </c>
      <c r="C6067">
        <v>145.69999999999999</v>
      </c>
      <c r="D6067">
        <v>62.92</v>
      </c>
      <c r="E6067" t="s">
        <v>9</v>
      </c>
      <c r="F6067">
        <v>87.27</v>
      </c>
      <c r="G6067" t="s">
        <v>22</v>
      </c>
      <c r="H6067" t="s">
        <v>12</v>
      </c>
    </row>
    <row r="6068" spans="1:8" x14ac:dyDescent="0.25">
      <c r="A6068" s="1">
        <v>45670.75</v>
      </c>
      <c r="B6068" t="s">
        <v>33</v>
      </c>
      <c r="C6068">
        <v>235.96</v>
      </c>
      <c r="D6068">
        <v>19.170000000000002</v>
      </c>
      <c r="E6068" t="s">
        <v>9</v>
      </c>
      <c r="F6068">
        <v>71.430000000000007</v>
      </c>
      <c r="G6068" t="s">
        <v>22</v>
      </c>
      <c r="H6068" t="s">
        <v>11</v>
      </c>
    </row>
    <row r="6069" spans="1:8" x14ac:dyDescent="0.25">
      <c r="A6069" s="1">
        <v>45670.791666666664</v>
      </c>
      <c r="B6069" t="s">
        <v>33</v>
      </c>
      <c r="C6069">
        <v>373.98</v>
      </c>
      <c r="D6069">
        <v>62.58</v>
      </c>
      <c r="E6069" t="s">
        <v>9</v>
      </c>
      <c r="F6069">
        <v>39.69</v>
      </c>
      <c r="G6069" t="s">
        <v>22</v>
      </c>
      <c r="H6069" t="s">
        <v>12</v>
      </c>
    </row>
    <row r="6070" spans="1:8" x14ac:dyDescent="0.25">
      <c r="A6070" s="1">
        <v>45670.833333333336</v>
      </c>
      <c r="B6070" t="s">
        <v>33</v>
      </c>
      <c r="C6070">
        <v>373.84</v>
      </c>
      <c r="D6070">
        <v>52.84</v>
      </c>
      <c r="E6070" t="s">
        <v>9</v>
      </c>
      <c r="F6070">
        <v>61.39</v>
      </c>
      <c r="G6070" t="s">
        <v>22</v>
      </c>
      <c r="H6070" t="s">
        <v>12</v>
      </c>
    </row>
    <row r="6071" spans="1:8" x14ac:dyDescent="0.25">
      <c r="A6071" s="1">
        <v>45670.875</v>
      </c>
      <c r="B6071" t="s">
        <v>33</v>
      </c>
      <c r="C6071">
        <v>268.35000000000002</v>
      </c>
      <c r="D6071">
        <v>88.61</v>
      </c>
      <c r="E6071" t="s">
        <v>14</v>
      </c>
      <c r="F6071">
        <v>63.15</v>
      </c>
      <c r="G6071" t="s">
        <v>22</v>
      </c>
      <c r="H6071" t="s">
        <v>12</v>
      </c>
    </row>
    <row r="6072" spans="1:8" x14ac:dyDescent="0.25">
      <c r="A6072" s="1">
        <v>45670.916666666664</v>
      </c>
      <c r="B6072" t="s">
        <v>33</v>
      </c>
      <c r="C6072">
        <v>301.23</v>
      </c>
      <c r="D6072">
        <v>71.510000000000005</v>
      </c>
      <c r="E6072" t="s">
        <v>9</v>
      </c>
      <c r="F6072">
        <v>73.02</v>
      </c>
      <c r="G6072" t="s">
        <v>22</v>
      </c>
      <c r="H6072" t="s">
        <v>13</v>
      </c>
    </row>
    <row r="6073" spans="1:8" x14ac:dyDescent="0.25">
      <c r="A6073" s="1">
        <v>45670.958333333336</v>
      </c>
      <c r="B6073" t="s">
        <v>33</v>
      </c>
      <c r="C6073">
        <v>52.24</v>
      </c>
      <c r="D6073">
        <v>59.04</v>
      </c>
      <c r="E6073" t="s">
        <v>9</v>
      </c>
      <c r="F6073">
        <v>51.83</v>
      </c>
      <c r="G6073" t="s">
        <v>22</v>
      </c>
      <c r="H6073" t="s">
        <v>12</v>
      </c>
    </row>
    <row r="6074" spans="1:8" x14ac:dyDescent="0.25">
      <c r="A6074" s="1">
        <v>45671</v>
      </c>
      <c r="B6074" t="s">
        <v>33</v>
      </c>
      <c r="C6074">
        <v>95.93</v>
      </c>
      <c r="D6074">
        <v>73.09</v>
      </c>
      <c r="E6074" t="s">
        <v>9</v>
      </c>
      <c r="F6074">
        <v>61.63</v>
      </c>
      <c r="G6074" t="s">
        <v>22</v>
      </c>
      <c r="H6074" t="s">
        <v>13</v>
      </c>
    </row>
    <row r="6075" spans="1:8" x14ac:dyDescent="0.25">
      <c r="A6075" s="1">
        <v>45671.041666666664</v>
      </c>
      <c r="B6075" t="s">
        <v>33</v>
      </c>
      <c r="C6075">
        <v>337.76</v>
      </c>
      <c r="D6075">
        <v>65.819999999999993</v>
      </c>
      <c r="E6075" t="s">
        <v>9</v>
      </c>
      <c r="F6075">
        <v>70.260000000000005</v>
      </c>
      <c r="G6075" t="s">
        <v>22</v>
      </c>
      <c r="H6075" t="s">
        <v>12</v>
      </c>
    </row>
    <row r="6076" spans="1:8" x14ac:dyDescent="0.25">
      <c r="A6076" s="1">
        <v>45671.083333333336</v>
      </c>
      <c r="B6076" t="s">
        <v>33</v>
      </c>
      <c r="C6076">
        <v>327.39999999999998</v>
      </c>
      <c r="D6076">
        <v>82.62</v>
      </c>
      <c r="E6076" t="s">
        <v>9</v>
      </c>
      <c r="F6076">
        <v>52.87</v>
      </c>
      <c r="G6076" t="s">
        <v>22</v>
      </c>
      <c r="H6076" t="s">
        <v>11</v>
      </c>
    </row>
    <row r="6077" spans="1:8" x14ac:dyDescent="0.25">
      <c r="A6077" s="1">
        <v>45671.125</v>
      </c>
      <c r="B6077" t="s">
        <v>33</v>
      </c>
      <c r="C6077">
        <v>477.86</v>
      </c>
      <c r="D6077">
        <v>82.24</v>
      </c>
      <c r="E6077" t="s">
        <v>9</v>
      </c>
      <c r="F6077">
        <v>46.51</v>
      </c>
      <c r="G6077" t="s">
        <v>22</v>
      </c>
      <c r="H6077" t="s">
        <v>13</v>
      </c>
    </row>
    <row r="6078" spans="1:8" x14ac:dyDescent="0.25">
      <c r="A6078" s="1">
        <v>45671.166666666664</v>
      </c>
      <c r="B6078" t="s">
        <v>33</v>
      </c>
      <c r="C6078">
        <v>444.52</v>
      </c>
      <c r="D6078">
        <v>56.39</v>
      </c>
      <c r="E6078" t="s">
        <v>9</v>
      </c>
      <c r="F6078">
        <v>32.15</v>
      </c>
      <c r="G6078" t="s">
        <v>22</v>
      </c>
      <c r="H6078" t="s">
        <v>11</v>
      </c>
    </row>
    <row r="6079" spans="1:8" x14ac:dyDescent="0.25">
      <c r="A6079" s="1">
        <v>45671.208333333336</v>
      </c>
      <c r="B6079" t="s">
        <v>33</v>
      </c>
      <c r="C6079">
        <v>59.94</v>
      </c>
      <c r="D6079">
        <v>64.2</v>
      </c>
      <c r="E6079" t="s">
        <v>9</v>
      </c>
      <c r="F6079">
        <v>85.8</v>
      </c>
      <c r="G6079" t="s">
        <v>22</v>
      </c>
      <c r="H6079" t="s">
        <v>11</v>
      </c>
    </row>
    <row r="6080" spans="1:8" x14ac:dyDescent="0.25">
      <c r="A6080" s="1">
        <v>45671.25</v>
      </c>
      <c r="B6080" t="s">
        <v>33</v>
      </c>
      <c r="C6080">
        <v>489.32</v>
      </c>
      <c r="D6080">
        <v>39.81</v>
      </c>
      <c r="E6080" t="s">
        <v>9</v>
      </c>
      <c r="F6080">
        <v>61.95</v>
      </c>
      <c r="G6080" t="s">
        <v>22</v>
      </c>
      <c r="H6080" t="s">
        <v>11</v>
      </c>
    </row>
    <row r="6081" spans="1:8" x14ac:dyDescent="0.25">
      <c r="A6081" s="1">
        <v>45671.291666666664</v>
      </c>
      <c r="B6081" t="s">
        <v>33</v>
      </c>
      <c r="C6081">
        <v>121.43</v>
      </c>
      <c r="D6081">
        <v>92.07</v>
      </c>
      <c r="E6081" t="s">
        <v>14</v>
      </c>
      <c r="F6081">
        <v>45.36</v>
      </c>
      <c r="G6081" t="s">
        <v>22</v>
      </c>
      <c r="H6081" t="s">
        <v>13</v>
      </c>
    </row>
    <row r="6082" spans="1:8" x14ac:dyDescent="0.25">
      <c r="A6082" s="1">
        <v>45671.333333333336</v>
      </c>
      <c r="B6082" t="s">
        <v>33</v>
      </c>
      <c r="C6082">
        <v>192.13</v>
      </c>
      <c r="D6082">
        <v>70.069999999999993</v>
      </c>
      <c r="E6082" t="s">
        <v>9</v>
      </c>
      <c r="F6082">
        <v>79.14</v>
      </c>
      <c r="G6082" t="s">
        <v>22</v>
      </c>
      <c r="H6082" t="s">
        <v>13</v>
      </c>
    </row>
    <row r="6083" spans="1:8" x14ac:dyDescent="0.25">
      <c r="A6083" s="1">
        <v>45671.375</v>
      </c>
      <c r="B6083" t="s">
        <v>33</v>
      </c>
      <c r="C6083">
        <v>333.32</v>
      </c>
      <c r="D6083">
        <v>56.48</v>
      </c>
      <c r="E6083" t="s">
        <v>9</v>
      </c>
      <c r="F6083">
        <v>72.040000000000006</v>
      </c>
      <c r="G6083" t="s">
        <v>22</v>
      </c>
      <c r="H6083" t="s">
        <v>12</v>
      </c>
    </row>
    <row r="6084" spans="1:8" x14ac:dyDescent="0.25">
      <c r="A6084" s="1">
        <v>45671.416666666664</v>
      </c>
      <c r="B6084" t="s">
        <v>33</v>
      </c>
      <c r="C6084">
        <v>132.18</v>
      </c>
      <c r="D6084">
        <v>38.68</v>
      </c>
      <c r="E6084" t="s">
        <v>9</v>
      </c>
      <c r="F6084">
        <v>68.17</v>
      </c>
      <c r="G6084" t="s">
        <v>22</v>
      </c>
      <c r="H6084" t="s">
        <v>13</v>
      </c>
    </row>
    <row r="6085" spans="1:8" x14ac:dyDescent="0.25">
      <c r="A6085" s="1">
        <v>45671.458333333336</v>
      </c>
      <c r="B6085" t="s">
        <v>33</v>
      </c>
      <c r="C6085">
        <v>413.22</v>
      </c>
      <c r="D6085">
        <v>78.78</v>
      </c>
      <c r="E6085" t="s">
        <v>9</v>
      </c>
      <c r="F6085">
        <v>40.19</v>
      </c>
      <c r="G6085" t="s">
        <v>22</v>
      </c>
      <c r="H6085" t="s">
        <v>12</v>
      </c>
    </row>
    <row r="6086" spans="1:8" x14ac:dyDescent="0.25">
      <c r="A6086" s="1">
        <v>45671.5</v>
      </c>
      <c r="B6086" t="s">
        <v>33</v>
      </c>
      <c r="C6086">
        <v>482.39</v>
      </c>
      <c r="D6086">
        <v>46.85</v>
      </c>
      <c r="E6086" t="s">
        <v>9</v>
      </c>
      <c r="F6086">
        <v>43.49</v>
      </c>
      <c r="G6086" t="s">
        <v>22</v>
      </c>
      <c r="H6086" t="s">
        <v>12</v>
      </c>
    </row>
    <row r="6087" spans="1:8" x14ac:dyDescent="0.25">
      <c r="A6087" s="1">
        <v>45671.541666666664</v>
      </c>
      <c r="B6087" t="s">
        <v>33</v>
      </c>
      <c r="C6087">
        <v>156.78</v>
      </c>
      <c r="D6087">
        <v>70.7</v>
      </c>
      <c r="E6087" t="s">
        <v>9</v>
      </c>
      <c r="F6087">
        <v>84.7</v>
      </c>
      <c r="G6087" t="s">
        <v>22</v>
      </c>
      <c r="H6087" t="s">
        <v>13</v>
      </c>
    </row>
    <row r="6088" spans="1:8" x14ac:dyDescent="0.25">
      <c r="A6088" s="1">
        <v>45671.583333333336</v>
      </c>
      <c r="B6088" t="s">
        <v>33</v>
      </c>
      <c r="C6088">
        <v>191.65</v>
      </c>
      <c r="D6088">
        <v>21.78</v>
      </c>
      <c r="E6088" t="s">
        <v>9</v>
      </c>
      <c r="F6088">
        <v>85.7</v>
      </c>
      <c r="G6088" t="s">
        <v>22</v>
      </c>
      <c r="H6088" t="s">
        <v>12</v>
      </c>
    </row>
    <row r="6089" spans="1:8" x14ac:dyDescent="0.25">
      <c r="A6089" s="1">
        <v>45671.625</v>
      </c>
      <c r="B6089" t="s">
        <v>33</v>
      </c>
      <c r="C6089">
        <v>362.33</v>
      </c>
      <c r="D6089">
        <v>55.76</v>
      </c>
      <c r="E6089" t="s">
        <v>9</v>
      </c>
      <c r="F6089">
        <v>83.84</v>
      </c>
      <c r="G6089" t="s">
        <v>22</v>
      </c>
      <c r="H6089" t="s">
        <v>11</v>
      </c>
    </row>
    <row r="6090" spans="1:8" x14ac:dyDescent="0.25">
      <c r="A6090" s="1">
        <v>45671.666666666664</v>
      </c>
      <c r="B6090" t="s">
        <v>33</v>
      </c>
      <c r="C6090">
        <v>185.8</v>
      </c>
      <c r="D6090">
        <v>31.26</v>
      </c>
      <c r="E6090" t="s">
        <v>9</v>
      </c>
      <c r="F6090">
        <v>41.24</v>
      </c>
      <c r="G6090" t="s">
        <v>22</v>
      </c>
      <c r="H6090" t="s">
        <v>12</v>
      </c>
    </row>
    <row r="6091" spans="1:8" x14ac:dyDescent="0.25">
      <c r="A6091" s="1">
        <v>45671.708333333336</v>
      </c>
      <c r="B6091" t="s">
        <v>33</v>
      </c>
      <c r="C6091">
        <v>368.06</v>
      </c>
      <c r="D6091">
        <v>44.06</v>
      </c>
      <c r="E6091" t="s">
        <v>9</v>
      </c>
      <c r="F6091">
        <v>59.64</v>
      </c>
      <c r="G6091" t="s">
        <v>22</v>
      </c>
      <c r="H6091" t="s">
        <v>13</v>
      </c>
    </row>
    <row r="6092" spans="1:8" x14ac:dyDescent="0.25">
      <c r="A6092" s="1">
        <v>45671.75</v>
      </c>
      <c r="B6092" t="s">
        <v>33</v>
      </c>
      <c r="C6092">
        <v>341.56</v>
      </c>
      <c r="D6092">
        <v>19.96</v>
      </c>
      <c r="E6092" t="s">
        <v>9</v>
      </c>
      <c r="F6092">
        <v>47.24</v>
      </c>
      <c r="G6092" t="s">
        <v>22</v>
      </c>
      <c r="H6092" t="s">
        <v>11</v>
      </c>
    </row>
    <row r="6093" spans="1:8" x14ac:dyDescent="0.25">
      <c r="A6093" s="1">
        <v>45671.791666666664</v>
      </c>
      <c r="B6093" t="s">
        <v>33</v>
      </c>
      <c r="C6093">
        <v>193.35</v>
      </c>
      <c r="D6093">
        <v>47.86</v>
      </c>
      <c r="E6093" t="s">
        <v>9</v>
      </c>
      <c r="F6093">
        <v>72.77</v>
      </c>
      <c r="G6093" t="s">
        <v>22</v>
      </c>
      <c r="H6093" t="s">
        <v>12</v>
      </c>
    </row>
    <row r="6094" spans="1:8" x14ac:dyDescent="0.25">
      <c r="A6094" s="1">
        <v>45671.833333333336</v>
      </c>
      <c r="B6094" t="s">
        <v>33</v>
      </c>
      <c r="C6094">
        <v>407.94</v>
      </c>
      <c r="D6094">
        <v>56.23</v>
      </c>
      <c r="E6094" t="s">
        <v>9</v>
      </c>
      <c r="F6094">
        <v>35.47</v>
      </c>
      <c r="G6094" t="s">
        <v>22</v>
      </c>
      <c r="H6094" t="s">
        <v>13</v>
      </c>
    </row>
    <row r="6095" spans="1:8" x14ac:dyDescent="0.25">
      <c r="A6095" s="1">
        <v>45671.875</v>
      </c>
      <c r="B6095" t="s">
        <v>33</v>
      </c>
      <c r="C6095">
        <v>481.57</v>
      </c>
      <c r="D6095">
        <v>44.51</v>
      </c>
      <c r="E6095" t="s">
        <v>9</v>
      </c>
      <c r="F6095">
        <v>61.63</v>
      </c>
      <c r="G6095" t="s">
        <v>22</v>
      </c>
      <c r="H6095" t="s">
        <v>13</v>
      </c>
    </row>
    <row r="6096" spans="1:8" x14ac:dyDescent="0.25">
      <c r="A6096" s="1">
        <v>45671.916666666664</v>
      </c>
      <c r="B6096" t="s">
        <v>33</v>
      </c>
      <c r="C6096">
        <v>247.62</v>
      </c>
      <c r="D6096">
        <v>36.28</v>
      </c>
      <c r="E6096" t="s">
        <v>9</v>
      </c>
      <c r="F6096">
        <v>86.63</v>
      </c>
      <c r="G6096" t="s">
        <v>22</v>
      </c>
      <c r="H6096" t="s">
        <v>12</v>
      </c>
    </row>
    <row r="6097" spans="1:8" x14ac:dyDescent="0.25">
      <c r="A6097" s="1">
        <v>45671.958333333336</v>
      </c>
      <c r="B6097" t="s">
        <v>33</v>
      </c>
      <c r="C6097">
        <v>437.9</v>
      </c>
      <c r="D6097">
        <v>44.2</v>
      </c>
      <c r="E6097" t="s">
        <v>9</v>
      </c>
      <c r="F6097">
        <v>52.49</v>
      </c>
      <c r="G6097" t="s">
        <v>22</v>
      </c>
      <c r="H6097" t="s">
        <v>11</v>
      </c>
    </row>
    <row r="6098" spans="1:8" x14ac:dyDescent="0.25">
      <c r="A6098" s="1">
        <v>45672</v>
      </c>
      <c r="B6098" t="s">
        <v>33</v>
      </c>
      <c r="C6098">
        <v>182.78</v>
      </c>
      <c r="D6098">
        <v>23.49</v>
      </c>
      <c r="E6098" t="s">
        <v>9</v>
      </c>
      <c r="F6098">
        <v>45.45</v>
      </c>
      <c r="G6098" t="s">
        <v>22</v>
      </c>
      <c r="H6098" t="s">
        <v>13</v>
      </c>
    </row>
    <row r="6099" spans="1:8" x14ac:dyDescent="0.25">
      <c r="A6099" s="1">
        <v>45672.041666666664</v>
      </c>
      <c r="B6099" t="s">
        <v>33</v>
      </c>
      <c r="C6099">
        <v>424.82</v>
      </c>
      <c r="D6099">
        <v>55.53</v>
      </c>
      <c r="E6099" t="s">
        <v>9</v>
      </c>
      <c r="F6099">
        <v>39.43</v>
      </c>
      <c r="G6099" t="s">
        <v>22</v>
      </c>
      <c r="H6099" t="s">
        <v>11</v>
      </c>
    </row>
    <row r="6100" spans="1:8" x14ac:dyDescent="0.25">
      <c r="A6100" s="1">
        <v>45672.083333333336</v>
      </c>
      <c r="B6100" t="s">
        <v>33</v>
      </c>
      <c r="C6100">
        <v>78.44</v>
      </c>
      <c r="D6100">
        <v>34.86</v>
      </c>
      <c r="E6100" t="s">
        <v>9</v>
      </c>
      <c r="F6100">
        <v>59.96</v>
      </c>
      <c r="G6100" t="s">
        <v>22</v>
      </c>
      <c r="H6100" t="s">
        <v>13</v>
      </c>
    </row>
    <row r="6101" spans="1:8" x14ac:dyDescent="0.25">
      <c r="A6101" s="1">
        <v>45672.125</v>
      </c>
      <c r="B6101" t="s">
        <v>33</v>
      </c>
      <c r="C6101">
        <v>76.14</v>
      </c>
      <c r="D6101">
        <v>18.84</v>
      </c>
      <c r="E6101" t="s">
        <v>9</v>
      </c>
      <c r="F6101">
        <v>52.24</v>
      </c>
      <c r="G6101" t="s">
        <v>22</v>
      </c>
      <c r="H6101" t="s">
        <v>11</v>
      </c>
    </row>
    <row r="6102" spans="1:8" x14ac:dyDescent="0.25">
      <c r="A6102" s="1">
        <v>45672.166666666664</v>
      </c>
      <c r="B6102" t="s">
        <v>33</v>
      </c>
      <c r="C6102">
        <v>187.95</v>
      </c>
      <c r="D6102">
        <v>93.99</v>
      </c>
      <c r="E6102" t="s">
        <v>14</v>
      </c>
      <c r="F6102">
        <v>70.88</v>
      </c>
      <c r="G6102" t="s">
        <v>22</v>
      </c>
      <c r="H6102" t="s">
        <v>12</v>
      </c>
    </row>
    <row r="6103" spans="1:8" x14ac:dyDescent="0.25">
      <c r="A6103" s="1">
        <v>45672.208333333336</v>
      </c>
      <c r="B6103" t="s">
        <v>33</v>
      </c>
      <c r="C6103">
        <v>367.15</v>
      </c>
      <c r="D6103">
        <v>44.37</v>
      </c>
      <c r="E6103" t="s">
        <v>9</v>
      </c>
      <c r="F6103">
        <v>37.93</v>
      </c>
      <c r="G6103" t="s">
        <v>22</v>
      </c>
      <c r="H6103" t="s">
        <v>12</v>
      </c>
    </row>
    <row r="6104" spans="1:8" x14ac:dyDescent="0.25">
      <c r="A6104" s="1">
        <v>45672.25</v>
      </c>
      <c r="B6104" t="s">
        <v>33</v>
      </c>
      <c r="C6104">
        <v>454.09</v>
      </c>
      <c r="D6104">
        <v>30.06</v>
      </c>
      <c r="E6104" t="s">
        <v>9</v>
      </c>
      <c r="F6104">
        <v>35.06</v>
      </c>
      <c r="G6104" t="s">
        <v>22</v>
      </c>
      <c r="H6104" t="s">
        <v>11</v>
      </c>
    </row>
    <row r="6105" spans="1:8" x14ac:dyDescent="0.25">
      <c r="A6105" s="1">
        <v>45672.291666666664</v>
      </c>
      <c r="B6105" t="s">
        <v>33</v>
      </c>
      <c r="C6105">
        <v>160.44999999999999</v>
      </c>
      <c r="D6105">
        <v>60.66</v>
      </c>
      <c r="E6105" t="s">
        <v>9</v>
      </c>
      <c r="F6105">
        <v>71.95</v>
      </c>
      <c r="G6105" t="s">
        <v>22</v>
      </c>
      <c r="H6105" t="s">
        <v>11</v>
      </c>
    </row>
    <row r="6106" spans="1:8" x14ac:dyDescent="0.25">
      <c r="A6106" s="1">
        <v>45672.333333333336</v>
      </c>
      <c r="B6106" t="s">
        <v>33</v>
      </c>
      <c r="C6106">
        <v>358.45</v>
      </c>
      <c r="D6106">
        <v>41.79</v>
      </c>
      <c r="E6106" t="s">
        <v>9</v>
      </c>
      <c r="F6106">
        <v>68.099999999999994</v>
      </c>
      <c r="G6106" t="s">
        <v>22</v>
      </c>
      <c r="H6106" t="s">
        <v>11</v>
      </c>
    </row>
    <row r="6107" spans="1:8" x14ac:dyDescent="0.25">
      <c r="A6107" s="1">
        <v>45672.375</v>
      </c>
      <c r="B6107" t="s">
        <v>33</v>
      </c>
      <c r="C6107">
        <v>125.37</v>
      </c>
      <c r="D6107">
        <v>47.57</v>
      </c>
      <c r="E6107" t="s">
        <v>9</v>
      </c>
      <c r="F6107">
        <v>52.35</v>
      </c>
      <c r="G6107" t="s">
        <v>22</v>
      </c>
      <c r="H6107" t="s">
        <v>12</v>
      </c>
    </row>
    <row r="6108" spans="1:8" x14ac:dyDescent="0.25">
      <c r="A6108" s="1">
        <v>45672.416666666664</v>
      </c>
      <c r="B6108" t="s">
        <v>33</v>
      </c>
      <c r="C6108">
        <v>201.4</v>
      </c>
      <c r="D6108">
        <v>37.44</v>
      </c>
      <c r="E6108" t="s">
        <v>9</v>
      </c>
      <c r="F6108">
        <v>50.74</v>
      </c>
      <c r="G6108" t="s">
        <v>22</v>
      </c>
      <c r="H6108" t="s">
        <v>13</v>
      </c>
    </row>
    <row r="6109" spans="1:8" x14ac:dyDescent="0.25">
      <c r="A6109" s="1">
        <v>45672.458333333336</v>
      </c>
      <c r="B6109" t="s">
        <v>33</v>
      </c>
      <c r="C6109">
        <v>467.62</v>
      </c>
      <c r="D6109">
        <v>45.75</v>
      </c>
      <c r="E6109" t="s">
        <v>9</v>
      </c>
      <c r="F6109">
        <v>32.6</v>
      </c>
      <c r="G6109" t="s">
        <v>22</v>
      </c>
      <c r="H6109" t="s">
        <v>11</v>
      </c>
    </row>
    <row r="6110" spans="1:8" x14ac:dyDescent="0.25">
      <c r="A6110" s="1">
        <v>45672.5</v>
      </c>
      <c r="B6110" t="s">
        <v>33</v>
      </c>
      <c r="C6110">
        <v>63.28</v>
      </c>
      <c r="D6110">
        <v>16</v>
      </c>
      <c r="E6110" t="s">
        <v>9</v>
      </c>
      <c r="F6110">
        <v>38.369999999999997</v>
      </c>
      <c r="G6110" t="s">
        <v>22</v>
      </c>
      <c r="H6110" t="s">
        <v>11</v>
      </c>
    </row>
    <row r="6111" spans="1:8" x14ac:dyDescent="0.25">
      <c r="A6111" s="1">
        <v>45672.541666666664</v>
      </c>
      <c r="B6111" t="s">
        <v>33</v>
      </c>
      <c r="C6111">
        <v>386.64</v>
      </c>
      <c r="D6111">
        <v>37.89</v>
      </c>
      <c r="E6111" t="s">
        <v>9</v>
      </c>
      <c r="F6111">
        <v>69.150000000000006</v>
      </c>
      <c r="G6111" t="s">
        <v>22</v>
      </c>
      <c r="H6111" t="s">
        <v>13</v>
      </c>
    </row>
    <row r="6112" spans="1:8" x14ac:dyDescent="0.25">
      <c r="A6112" s="1">
        <v>45672.583333333336</v>
      </c>
      <c r="B6112" t="s">
        <v>33</v>
      </c>
      <c r="C6112">
        <v>105.94</v>
      </c>
      <c r="D6112">
        <v>89.6</v>
      </c>
      <c r="E6112" t="s">
        <v>14</v>
      </c>
      <c r="F6112">
        <v>68.290000000000006</v>
      </c>
      <c r="G6112" t="s">
        <v>22</v>
      </c>
      <c r="H6112" t="s">
        <v>13</v>
      </c>
    </row>
    <row r="6113" spans="1:8" x14ac:dyDescent="0.25">
      <c r="A6113" s="1">
        <v>45672.625</v>
      </c>
      <c r="B6113" t="s">
        <v>33</v>
      </c>
      <c r="C6113">
        <v>135.82</v>
      </c>
      <c r="D6113">
        <v>64.06</v>
      </c>
      <c r="E6113" t="s">
        <v>9</v>
      </c>
      <c r="F6113">
        <v>69.760000000000005</v>
      </c>
      <c r="G6113" t="s">
        <v>22</v>
      </c>
      <c r="H6113" t="s">
        <v>13</v>
      </c>
    </row>
    <row r="6114" spans="1:8" x14ac:dyDescent="0.25">
      <c r="A6114" s="1">
        <v>45672.666666666664</v>
      </c>
      <c r="B6114" t="s">
        <v>33</v>
      </c>
      <c r="C6114">
        <v>418.58</v>
      </c>
      <c r="D6114">
        <v>27.88</v>
      </c>
      <c r="E6114" t="s">
        <v>9</v>
      </c>
      <c r="F6114">
        <v>73.209999999999994</v>
      </c>
      <c r="G6114" t="s">
        <v>22</v>
      </c>
      <c r="H6114" t="s">
        <v>11</v>
      </c>
    </row>
    <row r="6115" spans="1:8" x14ac:dyDescent="0.25">
      <c r="A6115" s="1">
        <v>45672.708333333336</v>
      </c>
      <c r="B6115" t="s">
        <v>33</v>
      </c>
      <c r="C6115">
        <v>422.96</v>
      </c>
      <c r="D6115">
        <v>86.99</v>
      </c>
      <c r="E6115" t="s">
        <v>14</v>
      </c>
      <c r="F6115">
        <v>79.489999999999995</v>
      </c>
      <c r="G6115" t="s">
        <v>22</v>
      </c>
      <c r="H6115" t="s">
        <v>12</v>
      </c>
    </row>
    <row r="6116" spans="1:8" x14ac:dyDescent="0.25">
      <c r="A6116" s="1">
        <v>45672.75</v>
      </c>
      <c r="B6116" t="s">
        <v>33</v>
      </c>
      <c r="C6116">
        <v>63.67</v>
      </c>
      <c r="D6116">
        <v>66.38</v>
      </c>
      <c r="E6116" t="s">
        <v>9</v>
      </c>
      <c r="F6116">
        <v>68.099999999999994</v>
      </c>
      <c r="G6116" t="s">
        <v>22</v>
      </c>
      <c r="H6116" t="s">
        <v>13</v>
      </c>
    </row>
    <row r="6117" spans="1:8" x14ac:dyDescent="0.25">
      <c r="A6117" s="1">
        <v>45672.791666666664</v>
      </c>
      <c r="B6117" t="s">
        <v>33</v>
      </c>
      <c r="C6117">
        <v>479.68</v>
      </c>
      <c r="D6117">
        <v>80.2</v>
      </c>
      <c r="E6117" t="s">
        <v>9</v>
      </c>
      <c r="F6117">
        <v>71.5</v>
      </c>
      <c r="G6117" t="s">
        <v>22</v>
      </c>
      <c r="H6117" t="s">
        <v>13</v>
      </c>
    </row>
    <row r="6118" spans="1:8" x14ac:dyDescent="0.25">
      <c r="A6118" s="1">
        <v>45672.833333333336</v>
      </c>
      <c r="B6118" t="s">
        <v>33</v>
      </c>
      <c r="C6118">
        <v>223.46</v>
      </c>
      <c r="D6118">
        <v>69.44</v>
      </c>
      <c r="E6118" t="s">
        <v>9</v>
      </c>
      <c r="F6118">
        <v>41.43</v>
      </c>
      <c r="G6118" t="s">
        <v>22</v>
      </c>
      <c r="H6118" t="s">
        <v>12</v>
      </c>
    </row>
    <row r="6119" spans="1:8" x14ac:dyDescent="0.25">
      <c r="A6119" s="1">
        <v>45672.875</v>
      </c>
      <c r="B6119" t="s">
        <v>33</v>
      </c>
      <c r="C6119">
        <v>287.64999999999998</v>
      </c>
      <c r="D6119">
        <v>64.239999999999995</v>
      </c>
      <c r="E6119" t="s">
        <v>9</v>
      </c>
      <c r="F6119">
        <v>54.22</v>
      </c>
      <c r="G6119" t="s">
        <v>22</v>
      </c>
      <c r="H6119" t="s">
        <v>11</v>
      </c>
    </row>
    <row r="6120" spans="1:8" x14ac:dyDescent="0.25">
      <c r="A6120" s="1">
        <v>45672.916666666664</v>
      </c>
      <c r="B6120" t="s">
        <v>33</v>
      </c>
      <c r="C6120">
        <v>391.36</v>
      </c>
      <c r="D6120">
        <v>45.37</v>
      </c>
      <c r="E6120" t="s">
        <v>9</v>
      </c>
      <c r="F6120">
        <v>65.400000000000006</v>
      </c>
      <c r="G6120" t="s">
        <v>22</v>
      </c>
      <c r="H6120" t="s">
        <v>12</v>
      </c>
    </row>
    <row r="6121" spans="1:8" x14ac:dyDescent="0.25">
      <c r="A6121" s="1">
        <v>45672.958333333336</v>
      </c>
      <c r="B6121" t="s">
        <v>33</v>
      </c>
      <c r="C6121">
        <v>67.599999999999994</v>
      </c>
      <c r="D6121">
        <v>15.13</v>
      </c>
      <c r="E6121" t="s">
        <v>9</v>
      </c>
      <c r="F6121">
        <v>51.2</v>
      </c>
      <c r="G6121" t="s">
        <v>22</v>
      </c>
      <c r="H6121" t="s">
        <v>11</v>
      </c>
    </row>
    <row r="6122" spans="1:8" x14ac:dyDescent="0.25">
      <c r="A6122" s="1">
        <v>45658</v>
      </c>
      <c r="B6122" t="s">
        <v>34</v>
      </c>
      <c r="C6122">
        <v>189.13</v>
      </c>
      <c r="D6122">
        <v>36.81</v>
      </c>
      <c r="E6122" t="s">
        <v>9</v>
      </c>
      <c r="F6122">
        <v>43.67</v>
      </c>
      <c r="G6122" t="s">
        <v>10</v>
      </c>
      <c r="H6122" t="s">
        <v>13</v>
      </c>
    </row>
    <row r="6123" spans="1:8" x14ac:dyDescent="0.25">
      <c r="A6123" s="1">
        <v>45658.041666666664</v>
      </c>
      <c r="B6123" t="s">
        <v>34</v>
      </c>
      <c r="C6123">
        <v>353.77</v>
      </c>
      <c r="D6123">
        <v>40.44</v>
      </c>
      <c r="E6123" t="s">
        <v>9</v>
      </c>
      <c r="F6123">
        <v>62.79</v>
      </c>
      <c r="G6123" t="s">
        <v>10</v>
      </c>
      <c r="H6123" t="s">
        <v>13</v>
      </c>
    </row>
    <row r="6124" spans="1:8" x14ac:dyDescent="0.25">
      <c r="A6124" s="1">
        <v>45658.083333333336</v>
      </c>
      <c r="B6124" t="s">
        <v>34</v>
      </c>
      <c r="C6124">
        <v>403.8</v>
      </c>
      <c r="D6124">
        <v>57.09</v>
      </c>
      <c r="E6124" t="s">
        <v>9</v>
      </c>
      <c r="F6124">
        <v>75.489999999999995</v>
      </c>
      <c r="G6124" t="s">
        <v>10</v>
      </c>
      <c r="H6124" t="s">
        <v>12</v>
      </c>
    </row>
    <row r="6125" spans="1:8" x14ac:dyDescent="0.25">
      <c r="A6125" s="1">
        <v>45658.125</v>
      </c>
      <c r="B6125" t="s">
        <v>34</v>
      </c>
      <c r="C6125">
        <v>68.58</v>
      </c>
      <c r="D6125">
        <v>69.22</v>
      </c>
      <c r="E6125" t="s">
        <v>9</v>
      </c>
      <c r="F6125">
        <v>56.65</v>
      </c>
      <c r="G6125" t="s">
        <v>10</v>
      </c>
      <c r="H6125" t="s">
        <v>13</v>
      </c>
    </row>
    <row r="6126" spans="1:8" x14ac:dyDescent="0.25">
      <c r="A6126" s="1">
        <v>45658.166666666664</v>
      </c>
      <c r="B6126" t="s">
        <v>34</v>
      </c>
      <c r="C6126">
        <v>115.37</v>
      </c>
      <c r="D6126">
        <v>81.3</v>
      </c>
      <c r="E6126" t="s">
        <v>9</v>
      </c>
      <c r="F6126">
        <v>81.75</v>
      </c>
      <c r="G6126" t="s">
        <v>10</v>
      </c>
      <c r="H6126" t="s">
        <v>12</v>
      </c>
    </row>
    <row r="6127" spans="1:8" x14ac:dyDescent="0.25">
      <c r="A6127" s="1">
        <v>45658.208333333336</v>
      </c>
      <c r="B6127" t="s">
        <v>34</v>
      </c>
      <c r="C6127">
        <v>272.83999999999997</v>
      </c>
      <c r="D6127">
        <v>30.15</v>
      </c>
      <c r="E6127" t="s">
        <v>9</v>
      </c>
      <c r="F6127">
        <v>55.19</v>
      </c>
      <c r="G6127" t="s">
        <v>10</v>
      </c>
      <c r="H6127" t="s">
        <v>12</v>
      </c>
    </row>
    <row r="6128" spans="1:8" x14ac:dyDescent="0.25">
      <c r="A6128" s="1">
        <v>45658.25</v>
      </c>
      <c r="B6128" t="s">
        <v>34</v>
      </c>
      <c r="C6128">
        <v>468.14</v>
      </c>
      <c r="D6128">
        <v>30.16</v>
      </c>
      <c r="E6128" t="s">
        <v>9</v>
      </c>
      <c r="F6128">
        <v>30.67</v>
      </c>
      <c r="G6128" t="s">
        <v>10</v>
      </c>
      <c r="H6128" t="s">
        <v>12</v>
      </c>
    </row>
    <row r="6129" spans="1:8" x14ac:dyDescent="0.25">
      <c r="A6129" s="1">
        <v>45658.291666666664</v>
      </c>
      <c r="B6129" t="s">
        <v>34</v>
      </c>
      <c r="C6129">
        <v>51.95</v>
      </c>
      <c r="D6129">
        <v>77.5</v>
      </c>
      <c r="E6129" t="s">
        <v>9</v>
      </c>
      <c r="F6129">
        <v>34.619999999999997</v>
      </c>
      <c r="G6129" t="s">
        <v>10</v>
      </c>
      <c r="H6129" t="s">
        <v>11</v>
      </c>
    </row>
    <row r="6130" spans="1:8" x14ac:dyDescent="0.25">
      <c r="A6130" s="1">
        <v>45658.333333333336</v>
      </c>
      <c r="B6130" t="s">
        <v>34</v>
      </c>
      <c r="C6130">
        <v>338.84</v>
      </c>
      <c r="D6130">
        <v>47.34</v>
      </c>
      <c r="E6130" t="s">
        <v>9</v>
      </c>
      <c r="F6130">
        <v>50.73</v>
      </c>
      <c r="G6130" t="s">
        <v>10</v>
      </c>
      <c r="H6130" t="s">
        <v>11</v>
      </c>
    </row>
    <row r="6131" spans="1:8" x14ac:dyDescent="0.25">
      <c r="A6131" s="1">
        <v>45658.375</v>
      </c>
      <c r="B6131" t="s">
        <v>34</v>
      </c>
      <c r="C6131">
        <v>321.68</v>
      </c>
      <c r="D6131">
        <v>79.900000000000006</v>
      </c>
      <c r="E6131" t="s">
        <v>9</v>
      </c>
      <c r="F6131">
        <v>59.77</v>
      </c>
      <c r="G6131" t="s">
        <v>10</v>
      </c>
      <c r="H6131" t="s">
        <v>13</v>
      </c>
    </row>
    <row r="6132" spans="1:8" x14ac:dyDescent="0.25">
      <c r="A6132" s="1">
        <v>45658.416666666664</v>
      </c>
      <c r="B6132" t="s">
        <v>34</v>
      </c>
      <c r="C6132">
        <v>486.4</v>
      </c>
      <c r="D6132">
        <v>42.22</v>
      </c>
      <c r="E6132" t="s">
        <v>9</v>
      </c>
      <c r="F6132">
        <v>60.26</v>
      </c>
      <c r="G6132" t="s">
        <v>10</v>
      </c>
      <c r="H6132" t="s">
        <v>13</v>
      </c>
    </row>
    <row r="6133" spans="1:8" x14ac:dyDescent="0.25">
      <c r="A6133" s="1">
        <v>45658.458333333336</v>
      </c>
      <c r="B6133" t="s">
        <v>34</v>
      </c>
      <c r="C6133">
        <v>281.57</v>
      </c>
      <c r="D6133">
        <v>49.23</v>
      </c>
      <c r="E6133" t="s">
        <v>9</v>
      </c>
      <c r="F6133">
        <v>79.650000000000006</v>
      </c>
      <c r="G6133" t="s">
        <v>10</v>
      </c>
      <c r="H6133" t="s">
        <v>11</v>
      </c>
    </row>
    <row r="6134" spans="1:8" x14ac:dyDescent="0.25">
      <c r="A6134" s="1">
        <v>45658.5</v>
      </c>
      <c r="B6134" t="s">
        <v>34</v>
      </c>
      <c r="C6134">
        <v>112.2</v>
      </c>
      <c r="D6134">
        <v>89.1</v>
      </c>
      <c r="E6134" t="s">
        <v>14</v>
      </c>
      <c r="F6134">
        <v>65.42</v>
      </c>
      <c r="G6134" t="s">
        <v>10</v>
      </c>
      <c r="H6134" t="s">
        <v>11</v>
      </c>
    </row>
    <row r="6135" spans="1:8" x14ac:dyDescent="0.25">
      <c r="A6135" s="1">
        <v>45658.541666666664</v>
      </c>
      <c r="B6135" t="s">
        <v>34</v>
      </c>
      <c r="C6135">
        <v>309.31</v>
      </c>
      <c r="D6135">
        <v>21.49</v>
      </c>
      <c r="E6135" t="s">
        <v>9</v>
      </c>
      <c r="F6135">
        <v>68.930000000000007</v>
      </c>
      <c r="G6135" t="s">
        <v>10</v>
      </c>
      <c r="H6135" t="s">
        <v>13</v>
      </c>
    </row>
    <row r="6136" spans="1:8" x14ac:dyDescent="0.25">
      <c r="A6136" s="1">
        <v>45658.583333333336</v>
      </c>
      <c r="B6136" t="s">
        <v>34</v>
      </c>
      <c r="C6136">
        <v>364.42</v>
      </c>
      <c r="D6136">
        <v>51.3</v>
      </c>
      <c r="E6136" t="s">
        <v>9</v>
      </c>
      <c r="F6136">
        <v>56.09</v>
      </c>
      <c r="G6136" t="s">
        <v>10</v>
      </c>
      <c r="H6136" t="s">
        <v>11</v>
      </c>
    </row>
    <row r="6137" spans="1:8" x14ac:dyDescent="0.25">
      <c r="A6137" s="1">
        <v>45658.625</v>
      </c>
      <c r="B6137" t="s">
        <v>34</v>
      </c>
      <c r="C6137">
        <v>379.23</v>
      </c>
      <c r="D6137">
        <v>18.59</v>
      </c>
      <c r="E6137" t="s">
        <v>9</v>
      </c>
      <c r="F6137">
        <v>63.62</v>
      </c>
      <c r="G6137" t="s">
        <v>10</v>
      </c>
      <c r="H6137" t="s">
        <v>13</v>
      </c>
    </row>
    <row r="6138" spans="1:8" x14ac:dyDescent="0.25">
      <c r="A6138" s="1">
        <v>45658.666666666664</v>
      </c>
      <c r="B6138" t="s">
        <v>34</v>
      </c>
      <c r="C6138">
        <v>393.1</v>
      </c>
      <c r="D6138">
        <v>18.809999999999999</v>
      </c>
      <c r="E6138" t="s">
        <v>9</v>
      </c>
      <c r="F6138">
        <v>58.05</v>
      </c>
      <c r="G6138" t="s">
        <v>10</v>
      </c>
      <c r="H6138" t="s">
        <v>13</v>
      </c>
    </row>
    <row r="6139" spans="1:8" x14ac:dyDescent="0.25">
      <c r="A6139" s="1">
        <v>45658.708333333336</v>
      </c>
      <c r="B6139" t="s">
        <v>34</v>
      </c>
      <c r="C6139">
        <v>139.13999999999999</v>
      </c>
      <c r="D6139">
        <v>21.96</v>
      </c>
      <c r="E6139" t="s">
        <v>9</v>
      </c>
      <c r="F6139">
        <v>71.44</v>
      </c>
      <c r="G6139" t="s">
        <v>10</v>
      </c>
      <c r="H6139" t="s">
        <v>12</v>
      </c>
    </row>
    <row r="6140" spans="1:8" x14ac:dyDescent="0.25">
      <c r="A6140" s="1">
        <v>45658.75</v>
      </c>
      <c r="B6140" t="s">
        <v>34</v>
      </c>
      <c r="C6140">
        <v>313.93</v>
      </c>
      <c r="D6140">
        <v>78.62</v>
      </c>
      <c r="E6140" t="s">
        <v>9</v>
      </c>
      <c r="F6140">
        <v>65</v>
      </c>
      <c r="G6140" t="s">
        <v>10</v>
      </c>
      <c r="H6140" t="s">
        <v>12</v>
      </c>
    </row>
    <row r="6141" spans="1:8" x14ac:dyDescent="0.25">
      <c r="A6141" s="1">
        <v>45658.791666666664</v>
      </c>
      <c r="B6141" t="s">
        <v>34</v>
      </c>
      <c r="C6141">
        <v>365.3</v>
      </c>
      <c r="D6141">
        <v>21.07</v>
      </c>
      <c r="E6141" t="s">
        <v>9</v>
      </c>
      <c r="F6141">
        <v>75.72</v>
      </c>
      <c r="G6141" t="s">
        <v>10</v>
      </c>
      <c r="H6141" t="s">
        <v>13</v>
      </c>
    </row>
    <row r="6142" spans="1:8" x14ac:dyDescent="0.25">
      <c r="A6142" s="1">
        <v>45658.833333333336</v>
      </c>
      <c r="B6142" t="s">
        <v>34</v>
      </c>
      <c r="C6142">
        <v>156.47</v>
      </c>
      <c r="D6142">
        <v>45.97</v>
      </c>
      <c r="E6142" t="s">
        <v>9</v>
      </c>
      <c r="F6142">
        <v>48.87</v>
      </c>
      <c r="G6142" t="s">
        <v>10</v>
      </c>
      <c r="H6142" t="s">
        <v>12</v>
      </c>
    </row>
    <row r="6143" spans="1:8" x14ac:dyDescent="0.25">
      <c r="A6143" s="1">
        <v>45658.875</v>
      </c>
      <c r="B6143" t="s">
        <v>34</v>
      </c>
      <c r="C6143">
        <v>285.02</v>
      </c>
      <c r="D6143">
        <v>77.27</v>
      </c>
      <c r="E6143" t="s">
        <v>9</v>
      </c>
      <c r="F6143">
        <v>46.08</v>
      </c>
      <c r="G6143" t="s">
        <v>10</v>
      </c>
      <c r="H6143" t="s">
        <v>13</v>
      </c>
    </row>
    <row r="6144" spans="1:8" x14ac:dyDescent="0.25">
      <c r="A6144" s="1">
        <v>45658.916666666664</v>
      </c>
      <c r="B6144" t="s">
        <v>34</v>
      </c>
      <c r="C6144">
        <v>262.81</v>
      </c>
      <c r="D6144">
        <v>76.260000000000005</v>
      </c>
      <c r="E6144" t="s">
        <v>9</v>
      </c>
      <c r="F6144">
        <v>81.73</v>
      </c>
      <c r="G6144" t="s">
        <v>10</v>
      </c>
      <c r="H6144" t="s">
        <v>11</v>
      </c>
    </row>
    <row r="6145" spans="1:8" x14ac:dyDescent="0.25">
      <c r="A6145" s="1">
        <v>45658.958333333336</v>
      </c>
      <c r="B6145" t="s">
        <v>34</v>
      </c>
      <c r="C6145">
        <v>126.43</v>
      </c>
      <c r="D6145">
        <v>82.98</v>
      </c>
      <c r="E6145" t="s">
        <v>9</v>
      </c>
      <c r="F6145">
        <v>76.37</v>
      </c>
      <c r="G6145" t="s">
        <v>10</v>
      </c>
      <c r="H6145" t="s">
        <v>13</v>
      </c>
    </row>
    <row r="6146" spans="1:8" x14ac:dyDescent="0.25">
      <c r="A6146" s="1">
        <v>45659</v>
      </c>
      <c r="B6146" t="s">
        <v>34</v>
      </c>
      <c r="C6146">
        <v>75</v>
      </c>
      <c r="D6146">
        <v>68.760000000000005</v>
      </c>
      <c r="E6146" t="s">
        <v>9</v>
      </c>
      <c r="F6146">
        <v>68.930000000000007</v>
      </c>
      <c r="G6146" t="s">
        <v>10</v>
      </c>
      <c r="H6146" t="s">
        <v>13</v>
      </c>
    </row>
    <row r="6147" spans="1:8" x14ac:dyDescent="0.25">
      <c r="A6147" s="1">
        <v>45659.041666666664</v>
      </c>
      <c r="B6147" t="s">
        <v>34</v>
      </c>
      <c r="C6147">
        <v>120.67</v>
      </c>
      <c r="D6147">
        <v>35.909999999999997</v>
      </c>
      <c r="E6147" t="s">
        <v>9</v>
      </c>
      <c r="F6147">
        <v>56.77</v>
      </c>
      <c r="G6147" t="s">
        <v>10</v>
      </c>
      <c r="H6147" t="s">
        <v>12</v>
      </c>
    </row>
    <row r="6148" spans="1:8" x14ac:dyDescent="0.25">
      <c r="A6148" s="1">
        <v>45659.083333333336</v>
      </c>
      <c r="B6148" t="s">
        <v>34</v>
      </c>
      <c r="C6148">
        <v>332.26</v>
      </c>
      <c r="D6148">
        <v>79.41</v>
      </c>
      <c r="E6148" t="s">
        <v>9</v>
      </c>
      <c r="F6148">
        <v>76.45</v>
      </c>
      <c r="G6148" t="s">
        <v>10</v>
      </c>
      <c r="H6148" t="s">
        <v>13</v>
      </c>
    </row>
    <row r="6149" spans="1:8" x14ac:dyDescent="0.25">
      <c r="A6149" s="1">
        <v>45659.125</v>
      </c>
      <c r="B6149" t="s">
        <v>34</v>
      </c>
      <c r="C6149">
        <v>377.26</v>
      </c>
      <c r="D6149">
        <v>86.92</v>
      </c>
      <c r="E6149" t="s">
        <v>14</v>
      </c>
      <c r="F6149">
        <v>76.2</v>
      </c>
      <c r="G6149" t="s">
        <v>10</v>
      </c>
      <c r="H6149" t="s">
        <v>13</v>
      </c>
    </row>
    <row r="6150" spans="1:8" x14ac:dyDescent="0.25">
      <c r="A6150" s="1">
        <v>45659.166666666664</v>
      </c>
      <c r="B6150" t="s">
        <v>34</v>
      </c>
      <c r="C6150">
        <v>256.79000000000002</v>
      </c>
      <c r="D6150">
        <v>87.46</v>
      </c>
      <c r="E6150" t="s">
        <v>14</v>
      </c>
      <c r="F6150">
        <v>82.32</v>
      </c>
      <c r="G6150" t="s">
        <v>10</v>
      </c>
      <c r="H6150" t="s">
        <v>13</v>
      </c>
    </row>
    <row r="6151" spans="1:8" x14ac:dyDescent="0.25">
      <c r="A6151" s="1">
        <v>45659.208333333336</v>
      </c>
      <c r="B6151" t="s">
        <v>34</v>
      </c>
      <c r="C6151">
        <v>285.52</v>
      </c>
      <c r="D6151">
        <v>23.34</v>
      </c>
      <c r="E6151" t="s">
        <v>9</v>
      </c>
      <c r="F6151">
        <v>87.9</v>
      </c>
      <c r="G6151" t="s">
        <v>10</v>
      </c>
      <c r="H6151" t="s">
        <v>11</v>
      </c>
    </row>
    <row r="6152" spans="1:8" x14ac:dyDescent="0.25">
      <c r="A6152" s="1">
        <v>45659.25</v>
      </c>
      <c r="B6152" t="s">
        <v>34</v>
      </c>
      <c r="C6152">
        <v>108.06</v>
      </c>
      <c r="D6152">
        <v>78.89</v>
      </c>
      <c r="E6152" t="s">
        <v>9</v>
      </c>
      <c r="F6152">
        <v>84.87</v>
      </c>
      <c r="G6152" t="s">
        <v>10</v>
      </c>
      <c r="H6152" t="s">
        <v>13</v>
      </c>
    </row>
    <row r="6153" spans="1:8" x14ac:dyDescent="0.25">
      <c r="A6153" s="1">
        <v>45659.291666666664</v>
      </c>
      <c r="B6153" t="s">
        <v>34</v>
      </c>
      <c r="C6153">
        <v>186.09</v>
      </c>
      <c r="D6153">
        <v>21.13</v>
      </c>
      <c r="E6153" t="s">
        <v>9</v>
      </c>
      <c r="F6153">
        <v>88.02</v>
      </c>
      <c r="G6153" t="s">
        <v>10</v>
      </c>
      <c r="H6153" t="s">
        <v>13</v>
      </c>
    </row>
    <row r="6154" spans="1:8" x14ac:dyDescent="0.25">
      <c r="A6154" s="1">
        <v>45659.333333333336</v>
      </c>
      <c r="B6154" t="s">
        <v>34</v>
      </c>
      <c r="C6154">
        <v>59.65</v>
      </c>
      <c r="D6154">
        <v>26.2</v>
      </c>
      <c r="E6154" t="s">
        <v>9</v>
      </c>
      <c r="F6154">
        <v>72.59</v>
      </c>
      <c r="G6154" t="s">
        <v>10</v>
      </c>
      <c r="H6154" t="s">
        <v>13</v>
      </c>
    </row>
    <row r="6155" spans="1:8" x14ac:dyDescent="0.25">
      <c r="A6155" s="1">
        <v>45659.375</v>
      </c>
      <c r="B6155" t="s">
        <v>34</v>
      </c>
      <c r="C6155">
        <v>315.83999999999997</v>
      </c>
      <c r="D6155">
        <v>67.209999999999994</v>
      </c>
      <c r="E6155" t="s">
        <v>9</v>
      </c>
      <c r="F6155">
        <v>76.91</v>
      </c>
      <c r="G6155" t="s">
        <v>10</v>
      </c>
      <c r="H6155" t="s">
        <v>11</v>
      </c>
    </row>
    <row r="6156" spans="1:8" x14ac:dyDescent="0.25">
      <c r="A6156" s="1">
        <v>45659.416666666664</v>
      </c>
      <c r="B6156" t="s">
        <v>34</v>
      </c>
      <c r="C6156">
        <v>398.21</v>
      </c>
      <c r="D6156">
        <v>92.28</v>
      </c>
      <c r="E6156" t="s">
        <v>14</v>
      </c>
      <c r="F6156">
        <v>83.32</v>
      </c>
      <c r="G6156" t="s">
        <v>10</v>
      </c>
      <c r="H6156" t="s">
        <v>12</v>
      </c>
    </row>
    <row r="6157" spans="1:8" x14ac:dyDescent="0.25">
      <c r="A6157" s="1">
        <v>45659.458333333336</v>
      </c>
      <c r="B6157" t="s">
        <v>34</v>
      </c>
      <c r="C6157">
        <v>269.02</v>
      </c>
      <c r="D6157">
        <v>46.74</v>
      </c>
      <c r="E6157" t="s">
        <v>9</v>
      </c>
      <c r="F6157">
        <v>79.59</v>
      </c>
      <c r="G6157" t="s">
        <v>10</v>
      </c>
      <c r="H6157" t="s">
        <v>13</v>
      </c>
    </row>
    <row r="6158" spans="1:8" x14ac:dyDescent="0.25">
      <c r="A6158" s="1">
        <v>45659.5</v>
      </c>
      <c r="B6158" t="s">
        <v>34</v>
      </c>
      <c r="C6158">
        <v>140.59</v>
      </c>
      <c r="D6158">
        <v>91.6</v>
      </c>
      <c r="E6158" t="s">
        <v>14</v>
      </c>
      <c r="F6158">
        <v>86.97</v>
      </c>
      <c r="G6158" t="s">
        <v>10</v>
      </c>
      <c r="H6158" t="s">
        <v>13</v>
      </c>
    </row>
    <row r="6159" spans="1:8" x14ac:dyDescent="0.25">
      <c r="A6159" s="1">
        <v>45659.541666666664</v>
      </c>
      <c r="B6159" t="s">
        <v>34</v>
      </c>
      <c r="C6159">
        <v>305.77</v>
      </c>
      <c r="D6159">
        <v>23.16</v>
      </c>
      <c r="E6159" t="s">
        <v>9</v>
      </c>
      <c r="F6159">
        <v>82.81</v>
      </c>
      <c r="G6159" t="s">
        <v>10</v>
      </c>
      <c r="H6159" t="s">
        <v>12</v>
      </c>
    </row>
    <row r="6160" spans="1:8" x14ac:dyDescent="0.25">
      <c r="A6160" s="1">
        <v>45659.583333333336</v>
      </c>
      <c r="B6160" t="s">
        <v>34</v>
      </c>
      <c r="C6160">
        <v>268.62</v>
      </c>
      <c r="D6160">
        <v>89.28</v>
      </c>
      <c r="E6160" t="s">
        <v>14</v>
      </c>
      <c r="F6160">
        <v>36.520000000000003</v>
      </c>
      <c r="G6160" t="s">
        <v>10</v>
      </c>
      <c r="H6160" t="s">
        <v>13</v>
      </c>
    </row>
    <row r="6161" spans="1:8" x14ac:dyDescent="0.25">
      <c r="A6161" s="1">
        <v>45659.625</v>
      </c>
      <c r="B6161" t="s">
        <v>34</v>
      </c>
      <c r="C6161">
        <v>98.24</v>
      </c>
      <c r="D6161">
        <v>77.040000000000006</v>
      </c>
      <c r="E6161" t="s">
        <v>9</v>
      </c>
      <c r="F6161">
        <v>33.5</v>
      </c>
      <c r="G6161" t="s">
        <v>10</v>
      </c>
      <c r="H6161" t="s">
        <v>12</v>
      </c>
    </row>
    <row r="6162" spans="1:8" x14ac:dyDescent="0.25">
      <c r="A6162" s="1">
        <v>45659.666666666664</v>
      </c>
      <c r="B6162" t="s">
        <v>34</v>
      </c>
      <c r="C6162">
        <v>247.45</v>
      </c>
      <c r="D6162">
        <v>94.98</v>
      </c>
      <c r="E6162" t="s">
        <v>14</v>
      </c>
      <c r="F6162">
        <v>60.84</v>
      </c>
      <c r="G6162" t="s">
        <v>10</v>
      </c>
      <c r="H6162" t="s">
        <v>12</v>
      </c>
    </row>
    <row r="6163" spans="1:8" x14ac:dyDescent="0.25">
      <c r="A6163" s="1">
        <v>45659.708333333336</v>
      </c>
      <c r="B6163" t="s">
        <v>34</v>
      </c>
      <c r="C6163">
        <v>485.09</v>
      </c>
      <c r="D6163">
        <v>29.37</v>
      </c>
      <c r="E6163" t="s">
        <v>9</v>
      </c>
      <c r="F6163">
        <v>86.8</v>
      </c>
      <c r="G6163" t="s">
        <v>10</v>
      </c>
      <c r="H6163" t="s">
        <v>12</v>
      </c>
    </row>
    <row r="6164" spans="1:8" x14ac:dyDescent="0.25">
      <c r="A6164" s="1">
        <v>45659.75</v>
      </c>
      <c r="B6164" t="s">
        <v>34</v>
      </c>
      <c r="C6164">
        <v>233.98</v>
      </c>
      <c r="D6164">
        <v>73.900000000000006</v>
      </c>
      <c r="E6164" t="s">
        <v>9</v>
      </c>
      <c r="F6164">
        <v>84.01</v>
      </c>
      <c r="G6164" t="s">
        <v>10</v>
      </c>
      <c r="H6164" t="s">
        <v>11</v>
      </c>
    </row>
    <row r="6165" spans="1:8" x14ac:dyDescent="0.25">
      <c r="A6165" s="1">
        <v>45659.791666666664</v>
      </c>
      <c r="B6165" t="s">
        <v>34</v>
      </c>
      <c r="C6165">
        <v>81.180000000000007</v>
      </c>
      <c r="D6165">
        <v>37.15</v>
      </c>
      <c r="E6165" t="s">
        <v>9</v>
      </c>
      <c r="F6165">
        <v>35.56</v>
      </c>
      <c r="G6165" t="s">
        <v>10</v>
      </c>
      <c r="H6165" t="s">
        <v>11</v>
      </c>
    </row>
    <row r="6166" spans="1:8" x14ac:dyDescent="0.25">
      <c r="A6166" s="1">
        <v>45659.833333333336</v>
      </c>
      <c r="B6166" t="s">
        <v>34</v>
      </c>
      <c r="C6166">
        <v>368.76</v>
      </c>
      <c r="D6166">
        <v>74.84</v>
      </c>
      <c r="E6166" t="s">
        <v>9</v>
      </c>
      <c r="F6166">
        <v>33.57</v>
      </c>
      <c r="G6166" t="s">
        <v>10</v>
      </c>
      <c r="H6166" t="s">
        <v>12</v>
      </c>
    </row>
    <row r="6167" spans="1:8" x14ac:dyDescent="0.25">
      <c r="A6167" s="1">
        <v>45659.875</v>
      </c>
      <c r="B6167" t="s">
        <v>34</v>
      </c>
      <c r="C6167">
        <v>176.78</v>
      </c>
      <c r="D6167">
        <v>77.16</v>
      </c>
      <c r="E6167" t="s">
        <v>9</v>
      </c>
      <c r="F6167">
        <v>52.86</v>
      </c>
      <c r="G6167" t="s">
        <v>10</v>
      </c>
      <c r="H6167" t="s">
        <v>13</v>
      </c>
    </row>
    <row r="6168" spans="1:8" x14ac:dyDescent="0.25">
      <c r="A6168" s="1">
        <v>45659.916666666664</v>
      </c>
      <c r="B6168" t="s">
        <v>34</v>
      </c>
      <c r="C6168">
        <v>184.69</v>
      </c>
      <c r="D6168">
        <v>65.39</v>
      </c>
      <c r="E6168" t="s">
        <v>9</v>
      </c>
      <c r="F6168">
        <v>83</v>
      </c>
      <c r="G6168" t="s">
        <v>10</v>
      </c>
      <c r="H6168" t="s">
        <v>13</v>
      </c>
    </row>
    <row r="6169" spans="1:8" x14ac:dyDescent="0.25">
      <c r="A6169" s="1">
        <v>45659.958333333336</v>
      </c>
      <c r="B6169" t="s">
        <v>34</v>
      </c>
      <c r="C6169">
        <v>218.85</v>
      </c>
      <c r="D6169">
        <v>19.309999999999999</v>
      </c>
      <c r="E6169" t="s">
        <v>9</v>
      </c>
      <c r="F6169">
        <v>74.28</v>
      </c>
      <c r="G6169" t="s">
        <v>10</v>
      </c>
      <c r="H6169" t="s">
        <v>13</v>
      </c>
    </row>
    <row r="6170" spans="1:8" x14ac:dyDescent="0.25">
      <c r="A6170" s="1">
        <v>45660</v>
      </c>
      <c r="B6170" t="s">
        <v>34</v>
      </c>
      <c r="C6170">
        <v>118.67</v>
      </c>
      <c r="D6170">
        <v>29.55</v>
      </c>
      <c r="E6170" t="s">
        <v>9</v>
      </c>
      <c r="F6170">
        <v>36.39</v>
      </c>
      <c r="G6170" t="s">
        <v>10</v>
      </c>
      <c r="H6170" t="s">
        <v>12</v>
      </c>
    </row>
    <row r="6171" spans="1:8" x14ac:dyDescent="0.25">
      <c r="A6171" s="1">
        <v>45660.041666666664</v>
      </c>
      <c r="B6171" t="s">
        <v>34</v>
      </c>
      <c r="C6171">
        <v>298.58</v>
      </c>
      <c r="D6171">
        <v>94.03</v>
      </c>
      <c r="E6171" t="s">
        <v>14</v>
      </c>
      <c r="F6171">
        <v>77.599999999999994</v>
      </c>
      <c r="G6171" t="s">
        <v>10</v>
      </c>
      <c r="H6171" t="s">
        <v>13</v>
      </c>
    </row>
    <row r="6172" spans="1:8" x14ac:dyDescent="0.25">
      <c r="A6172" s="1">
        <v>45660.083333333336</v>
      </c>
      <c r="B6172" t="s">
        <v>34</v>
      </c>
      <c r="C6172">
        <v>101.31</v>
      </c>
      <c r="D6172">
        <v>60.13</v>
      </c>
      <c r="E6172" t="s">
        <v>9</v>
      </c>
      <c r="F6172">
        <v>75.41</v>
      </c>
      <c r="G6172" t="s">
        <v>10</v>
      </c>
      <c r="H6172" t="s">
        <v>13</v>
      </c>
    </row>
    <row r="6173" spans="1:8" x14ac:dyDescent="0.25">
      <c r="A6173" s="1">
        <v>45660.125</v>
      </c>
      <c r="B6173" t="s">
        <v>34</v>
      </c>
      <c r="C6173">
        <v>381.4</v>
      </c>
      <c r="D6173">
        <v>60.12</v>
      </c>
      <c r="E6173" t="s">
        <v>9</v>
      </c>
      <c r="F6173">
        <v>70.150000000000006</v>
      </c>
      <c r="G6173" t="s">
        <v>10</v>
      </c>
      <c r="H6173" t="s">
        <v>13</v>
      </c>
    </row>
    <row r="6174" spans="1:8" x14ac:dyDescent="0.25">
      <c r="A6174" s="1">
        <v>45660.166666666664</v>
      </c>
      <c r="B6174" t="s">
        <v>34</v>
      </c>
      <c r="C6174">
        <v>58.38</v>
      </c>
      <c r="D6174">
        <v>23.2</v>
      </c>
      <c r="E6174" t="s">
        <v>9</v>
      </c>
      <c r="F6174">
        <v>64.900000000000006</v>
      </c>
      <c r="G6174" t="s">
        <v>10</v>
      </c>
      <c r="H6174" t="s">
        <v>11</v>
      </c>
    </row>
    <row r="6175" spans="1:8" x14ac:dyDescent="0.25">
      <c r="A6175" s="1">
        <v>45660.208333333336</v>
      </c>
      <c r="B6175" t="s">
        <v>34</v>
      </c>
      <c r="C6175">
        <v>432.69</v>
      </c>
      <c r="D6175">
        <v>47.16</v>
      </c>
      <c r="E6175" t="s">
        <v>9</v>
      </c>
      <c r="F6175">
        <v>88.79</v>
      </c>
      <c r="G6175" t="s">
        <v>10</v>
      </c>
      <c r="H6175" t="s">
        <v>13</v>
      </c>
    </row>
    <row r="6176" spans="1:8" x14ac:dyDescent="0.25">
      <c r="A6176" s="1">
        <v>45660.25</v>
      </c>
      <c r="B6176" t="s">
        <v>34</v>
      </c>
      <c r="C6176">
        <v>70</v>
      </c>
      <c r="D6176">
        <v>86.5</v>
      </c>
      <c r="E6176" t="s">
        <v>14</v>
      </c>
      <c r="F6176">
        <v>83.36</v>
      </c>
      <c r="G6176" t="s">
        <v>10</v>
      </c>
      <c r="H6176" t="s">
        <v>13</v>
      </c>
    </row>
    <row r="6177" spans="1:8" x14ac:dyDescent="0.25">
      <c r="A6177" s="1">
        <v>45660.291666666664</v>
      </c>
      <c r="B6177" t="s">
        <v>34</v>
      </c>
      <c r="C6177">
        <v>161.87</v>
      </c>
      <c r="D6177">
        <v>61.97</v>
      </c>
      <c r="E6177" t="s">
        <v>9</v>
      </c>
      <c r="F6177">
        <v>63.47</v>
      </c>
      <c r="G6177" t="s">
        <v>10</v>
      </c>
      <c r="H6177" t="s">
        <v>11</v>
      </c>
    </row>
    <row r="6178" spans="1:8" x14ac:dyDescent="0.25">
      <c r="A6178" s="1">
        <v>45660.333333333336</v>
      </c>
      <c r="B6178" t="s">
        <v>34</v>
      </c>
      <c r="C6178">
        <v>321.41000000000003</v>
      </c>
      <c r="D6178">
        <v>78.58</v>
      </c>
      <c r="E6178" t="s">
        <v>9</v>
      </c>
      <c r="F6178">
        <v>78.37</v>
      </c>
      <c r="G6178" t="s">
        <v>10</v>
      </c>
      <c r="H6178" t="s">
        <v>11</v>
      </c>
    </row>
    <row r="6179" spans="1:8" x14ac:dyDescent="0.25">
      <c r="A6179" s="1">
        <v>45660.375</v>
      </c>
      <c r="B6179" t="s">
        <v>34</v>
      </c>
      <c r="C6179">
        <v>82.83</v>
      </c>
      <c r="D6179">
        <v>75.27</v>
      </c>
      <c r="E6179" t="s">
        <v>9</v>
      </c>
      <c r="F6179">
        <v>45.32</v>
      </c>
      <c r="G6179" t="s">
        <v>10</v>
      </c>
      <c r="H6179" t="s">
        <v>12</v>
      </c>
    </row>
    <row r="6180" spans="1:8" x14ac:dyDescent="0.25">
      <c r="A6180" s="1">
        <v>45660.416666666664</v>
      </c>
      <c r="B6180" t="s">
        <v>34</v>
      </c>
      <c r="C6180">
        <v>284.55</v>
      </c>
      <c r="D6180">
        <v>71.31</v>
      </c>
      <c r="E6180" t="s">
        <v>9</v>
      </c>
      <c r="F6180">
        <v>31.26</v>
      </c>
      <c r="G6180" t="s">
        <v>10</v>
      </c>
      <c r="H6180" t="s">
        <v>11</v>
      </c>
    </row>
    <row r="6181" spans="1:8" x14ac:dyDescent="0.25">
      <c r="A6181" s="1">
        <v>45660.458333333336</v>
      </c>
      <c r="B6181" t="s">
        <v>34</v>
      </c>
      <c r="C6181">
        <v>67.63</v>
      </c>
      <c r="D6181">
        <v>87.6</v>
      </c>
      <c r="E6181" t="s">
        <v>14</v>
      </c>
      <c r="F6181">
        <v>73.84</v>
      </c>
      <c r="G6181" t="s">
        <v>10</v>
      </c>
      <c r="H6181" t="s">
        <v>11</v>
      </c>
    </row>
    <row r="6182" spans="1:8" x14ac:dyDescent="0.25">
      <c r="A6182" s="1">
        <v>45660.5</v>
      </c>
      <c r="B6182" t="s">
        <v>34</v>
      </c>
      <c r="C6182">
        <v>304.7</v>
      </c>
      <c r="D6182">
        <v>82.31</v>
      </c>
      <c r="E6182" t="s">
        <v>9</v>
      </c>
      <c r="F6182">
        <v>37.450000000000003</v>
      </c>
      <c r="G6182" t="s">
        <v>10</v>
      </c>
      <c r="H6182" t="s">
        <v>13</v>
      </c>
    </row>
    <row r="6183" spans="1:8" x14ac:dyDescent="0.25">
      <c r="A6183" s="1">
        <v>45660.541666666664</v>
      </c>
      <c r="B6183" t="s">
        <v>34</v>
      </c>
      <c r="C6183">
        <v>104.08</v>
      </c>
      <c r="D6183">
        <v>53.6</v>
      </c>
      <c r="E6183" t="s">
        <v>9</v>
      </c>
      <c r="F6183">
        <v>49.82</v>
      </c>
      <c r="G6183" t="s">
        <v>10</v>
      </c>
      <c r="H6183" t="s">
        <v>13</v>
      </c>
    </row>
    <row r="6184" spans="1:8" x14ac:dyDescent="0.25">
      <c r="A6184" s="1">
        <v>45660.583333333336</v>
      </c>
      <c r="B6184" t="s">
        <v>34</v>
      </c>
      <c r="C6184">
        <v>184.49</v>
      </c>
      <c r="D6184">
        <v>61.02</v>
      </c>
      <c r="E6184" t="s">
        <v>9</v>
      </c>
      <c r="F6184">
        <v>46.29</v>
      </c>
      <c r="G6184" t="s">
        <v>10</v>
      </c>
      <c r="H6184" t="s">
        <v>13</v>
      </c>
    </row>
    <row r="6185" spans="1:8" x14ac:dyDescent="0.25">
      <c r="A6185" s="1">
        <v>45660.625</v>
      </c>
      <c r="B6185" t="s">
        <v>34</v>
      </c>
      <c r="C6185">
        <v>468.89</v>
      </c>
      <c r="D6185">
        <v>56.75</v>
      </c>
      <c r="E6185" t="s">
        <v>9</v>
      </c>
      <c r="F6185">
        <v>73.2</v>
      </c>
      <c r="G6185" t="s">
        <v>10</v>
      </c>
      <c r="H6185" t="s">
        <v>13</v>
      </c>
    </row>
    <row r="6186" spans="1:8" x14ac:dyDescent="0.25">
      <c r="A6186" s="1">
        <v>45660.666666666664</v>
      </c>
      <c r="B6186" t="s">
        <v>34</v>
      </c>
      <c r="C6186">
        <v>57.25</v>
      </c>
      <c r="D6186">
        <v>16.29</v>
      </c>
      <c r="E6186" t="s">
        <v>9</v>
      </c>
      <c r="F6186">
        <v>58.27</v>
      </c>
      <c r="G6186" t="s">
        <v>10</v>
      </c>
      <c r="H6186" t="s">
        <v>11</v>
      </c>
    </row>
    <row r="6187" spans="1:8" x14ac:dyDescent="0.25">
      <c r="A6187" s="1">
        <v>45660.708333333336</v>
      </c>
      <c r="B6187" t="s">
        <v>34</v>
      </c>
      <c r="C6187">
        <v>305.08999999999997</v>
      </c>
      <c r="D6187">
        <v>53.4</v>
      </c>
      <c r="E6187" t="s">
        <v>9</v>
      </c>
      <c r="F6187">
        <v>62.26</v>
      </c>
      <c r="G6187" t="s">
        <v>10</v>
      </c>
      <c r="H6187" t="s">
        <v>12</v>
      </c>
    </row>
    <row r="6188" spans="1:8" x14ac:dyDescent="0.25">
      <c r="A6188" s="1">
        <v>45660.75</v>
      </c>
      <c r="B6188" t="s">
        <v>34</v>
      </c>
      <c r="C6188">
        <v>478.58</v>
      </c>
      <c r="D6188">
        <v>56.82</v>
      </c>
      <c r="E6188" t="s">
        <v>9</v>
      </c>
      <c r="F6188">
        <v>77.239999999999995</v>
      </c>
      <c r="G6188" t="s">
        <v>10</v>
      </c>
      <c r="H6188" t="s">
        <v>13</v>
      </c>
    </row>
    <row r="6189" spans="1:8" x14ac:dyDescent="0.25">
      <c r="A6189" s="1">
        <v>45660.791666666664</v>
      </c>
      <c r="B6189" t="s">
        <v>34</v>
      </c>
      <c r="C6189">
        <v>327.37</v>
      </c>
      <c r="D6189">
        <v>71.739999999999995</v>
      </c>
      <c r="E6189" t="s">
        <v>9</v>
      </c>
      <c r="F6189">
        <v>83.53</v>
      </c>
      <c r="G6189" t="s">
        <v>10</v>
      </c>
      <c r="H6189" t="s">
        <v>12</v>
      </c>
    </row>
    <row r="6190" spans="1:8" x14ac:dyDescent="0.25">
      <c r="A6190" s="1">
        <v>45660.833333333336</v>
      </c>
      <c r="B6190" t="s">
        <v>34</v>
      </c>
      <c r="C6190">
        <v>457.48</v>
      </c>
      <c r="D6190">
        <v>45.81</v>
      </c>
      <c r="E6190" t="s">
        <v>9</v>
      </c>
      <c r="F6190">
        <v>48.83</v>
      </c>
      <c r="G6190" t="s">
        <v>10</v>
      </c>
      <c r="H6190" t="s">
        <v>11</v>
      </c>
    </row>
    <row r="6191" spans="1:8" x14ac:dyDescent="0.25">
      <c r="A6191" s="1">
        <v>45660.875</v>
      </c>
      <c r="B6191" t="s">
        <v>34</v>
      </c>
      <c r="C6191">
        <v>332.43</v>
      </c>
      <c r="D6191">
        <v>44.83</v>
      </c>
      <c r="E6191" t="s">
        <v>9</v>
      </c>
      <c r="F6191">
        <v>77.510000000000005</v>
      </c>
      <c r="G6191" t="s">
        <v>10</v>
      </c>
      <c r="H6191" t="s">
        <v>12</v>
      </c>
    </row>
    <row r="6192" spans="1:8" x14ac:dyDescent="0.25">
      <c r="A6192" s="1">
        <v>45660.916666666664</v>
      </c>
      <c r="B6192" t="s">
        <v>34</v>
      </c>
      <c r="C6192">
        <v>189.57</v>
      </c>
      <c r="D6192">
        <v>46.74</v>
      </c>
      <c r="E6192" t="s">
        <v>9</v>
      </c>
      <c r="F6192">
        <v>67.069999999999993</v>
      </c>
      <c r="G6192" t="s">
        <v>10</v>
      </c>
      <c r="H6192" t="s">
        <v>11</v>
      </c>
    </row>
    <row r="6193" spans="1:8" x14ac:dyDescent="0.25">
      <c r="A6193" s="1">
        <v>45660.958333333336</v>
      </c>
      <c r="B6193" t="s">
        <v>34</v>
      </c>
      <c r="C6193">
        <v>421.59</v>
      </c>
      <c r="D6193">
        <v>51.03</v>
      </c>
      <c r="E6193" t="s">
        <v>9</v>
      </c>
      <c r="F6193">
        <v>78.88</v>
      </c>
      <c r="G6193" t="s">
        <v>10</v>
      </c>
      <c r="H6193" t="s">
        <v>13</v>
      </c>
    </row>
    <row r="6194" spans="1:8" x14ac:dyDescent="0.25">
      <c r="A6194" s="1">
        <v>45661</v>
      </c>
      <c r="B6194" t="s">
        <v>34</v>
      </c>
      <c r="C6194">
        <v>308.92</v>
      </c>
      <c r="D6194">
        <v>30.88</v>
      </c>
      <c r="E6194" t="s">
        <v>9</v>
      </c>
      <c r="F6194">
        <v>53.13</v>
      </c>
      <c r="G6194" t="s">
        <v>10</v>
      </c>
      <c r="H6194" t="s">
        <v>11</v>
      </c>
    </row>
    <row r="6195" spans="1:8" x14ac:dyDescent="0.25">
      <c r="A6195" s="1">
        <v>45661.041666666664</v>
      </c>
      <c r="B6195" t="s">
        <v>34</v>
      </c>
      <c r="C6195">
        <v>147.19</v>
      </c>
      <c r="D6195">
        <v>79.63</v>
      </c>
      <c r="E6195" t="s">
        <v>9</v>
      </c>
      <c r="F6195">
        <v>46.97</v>
      </c>
      <c r="G6195" t="s">
        <v>10</v>
      </c>
      <c r="H6195" t="s">
        <v>12</v>
      </c>
    </row>
    <row r="6196" spans="1:8" x14ac:dyDescent="0.25">
      <c r="A6196" s="1">
        <v>45661.083333333336</v>
      </c>
      <c r="B6196" t="s">
        <v>34</v>
      </c>
      <c r="C6196">
        <v>416.63</v>
      </c>
      <c r="D6196">
        <v>31.96</v>
      </c>
      <c r="E6196" t="s">
        <v>9</v>
      </c>
      <c r="F6196">
        <v>86.08</v>
      </c>
      <c r="G6196" t="s">
        <v>10</v>
      </c>
      <c r="H6196" t="s">
        <v>13</v>
      </c>
    </row>
    <row r="6197" spans="1:8" x14ac:dyDescent="0.25">
      <c r="A6197" s="1">
        <v>45661.125</v>
      </c>
      <c r="B6197" t="s">
        <v>34</v>
      </c>
      <c r="C6197">
        <v>344.37</v>
      </c>
      <c r="D6197">
        <v>70.63</v>
      </c>
      <c r="E6197" t="s">
        <v>9</v>
      </c>
      <c r="F6197">
        <v>50.71</v>
      </c>
      <c r="G6197" t="s">
        <v>10</v>
      </c>
      <c r="H6197" t="s">
        <v>11</v>
      </c>
    </row>
    <row r="6198" spans="1:8" x14ac:dyDescent="0.25">
      <c r="A6198" s="1">
        <v>45661.166666666664</v>
      </c>
      <c r="B6198" t="s">
        <v>34</v>
      </c>
      <c r="C6198">
        <v>251.39</v>
      </c>
      <c r="D6198">
        <v>56.3</v>
      </c>
      <c r="E6198" t="s">
        <v>9</v>
      </c>
      <c r="F6198">
        <v>84.83</v>
      </c>
      <c r="G6198" t="s">
        <v>10</v>
      </c>
      <c r="H6198" t="s">
        <v>12</v>
      </c>
    </row>
    <row r="6199" spans="1:8" x14ac:dyDescent="0.25">
      <c r="A6199" s="1">
        <v>45661.208333333336</v>
      </c>
      <c r="B6199" t="s">
        <v>34</v>
      </c>
      <c r="C6199">
        <v>132.5</v>
      </c>
      <c r="D6199">
        <v>43.61</v>
      </c>
      <c r="E6199" t="s">
        <v>9</v>
      </c>
      <c r="F6199">
        <v>70.17</v>
      </c>
      <c r="G6199" t="s">
        <v>10</v>
      </c>
      <c r="H6199" t="s">
        <v>13</v>
      </c>
    </row>
    <row r="6200" spans="1:8" x14ac:dyDescent="0.25">
      <c r="A6200" s="1">
        <v>45661.25</v>
      </c>
      <c r="B6200" t="s">
        <v>34</v>
      </c>
      <c r="C6200">
        <v>451.53</v>
      </c>
      <c r="D6200">
        <v>47.16</v>
      </c>
      <c r="E6200" t="s">
        <v>9</v>
      </c>
      <c r="F6200">
        <v>66.83</v>
      </c>
      <c r="G6200" t="s">
        <v>10</v>
      </c>
      <c r="H6200" t="s">
        <v>11</v>
      </c>
    </row>
    <row r="6201" spans="1:8" x14ac:dyDescent="0.25">
      <c r="A6201" s="1">
        <v>45661.291666666664</v>
      </c>
      <c r="B6201" t="s">
        <v>34</v>
      </c>
      <c r="C6201">
        <v>115.49</v>
      </c>
      <c r="D6201">
        <v>78.709999999999994</v>
      </c>
      <c r="E6201" t="s">
        <v>9</v>
      </c>
      <c r="F6201">
        <v>55.78</v>
      </c>
      <c r="G6201" t="s">
        <v>10</v>
      </c>
      <c r="H6201" t="s">
        <v>12</v>
      </c>
    </row>
    <row r="6202" spans="1:8" x14ac:dyDescent="0.25">
      <c r="A6202" s="1">
        <v>45661.333333333336</v>
      </c>
      <c r="B6202" t="s">
        <v>34</v>
      </c>
      <c r="C6202">
        <v>285.93</v>
      </c>
      <c r="D6202">
        <v>82.49</v>
      </c>
      <c r="E6202" t="s">
        <v>9</v>
      </c>
      <c r="F6202">
        <v>88.8</v>
      </c>
      <c r="G6202" t="s">
        <v>10</v>
      </c>
      <c r="H6202" t="s">
        <v>13</v>
      </c>
    </row>
    <row r="6203" spans="1:8" x14ac:dyDescent="0.25">
      <c r="A6203" s="1">
        <v>45661.375</v>
      </c>
      <c r="B6203" t="s">
        <v>34</v>
      </c>
      <c r="C6203">
        <v>457.03</v>
      </c>
      <c r="D6203">
        <v>78.98</v>
      </c>
      <c r="E6203" t="s">
        <v>9</v>
      </c>
      <c r="F6203">
        <v>44.61</v>
      </c>
      <c r="G6203" t="s">
        <v>10</v>
      </c>
      <c r="H6203" t="s">
        <v>12</v>
      </c>
    </row>
    <row r="6204" spans="1:8" x14ac:dyDescent="0.25">
      <c r="A6204" s="1">
        <v>45661.416666666664</v>
      </c>
      <c r="B6204" t="s">
        <v>34</v>
      </c>
      <c r="C6204">
        <v>385.34</v>
      </c>
      <c r="D6204">
        <v>52.66</v>
      </c>
      <c r="E6204" t="s">
        <v>9</v>
      </c>
      <c r="F6204">
        <v>39.729999999999997</v>
      </c>
      <c r="G6204" t="s">
        <v>10</v>
      </c>
      <c r="H6204" t="s">
        <v>13</v>
      </c>
    </row>
    <row r="6205" spans="1:8" x14ac:dyDescent="0.25">
      <c r="A6205" s="1">
        <v>45661.458333333336</v>
      </c>
      <c r="B6205" t="s">
        <v>34</v>
      </c>
      <c r="C6205">
        <v>453.89</v>
      </c>
      <c r="D6205">
        <v>89.44</v>
      </c>
      <c r="E6205" t="s">
        <v>14</v>
      </c>
      <c r="F6205">
        <v>74.77</v>
      </c>
      <c r="G6205" t="s">
        <v>10</v>
      </c>
      <c r="H6205" t="s">
        <v>11</v>
      </c>
    </row>
    <row r="6206" spans="1:8" x14ac:dyDescent="0.25">
      <c r="A6206" s="1">
        <v>45661.5</v>
      </c>
      <c r="B6206" t="s">
        <v>34</v>
      </c>
      <c r="C6206">
        <v>225.21</v>
      </c>
      <c r="D6206">
        <v>65.260000000000005</v>
      </c>
      <c r="E6206" t="s">
        <v>9</v>
      </c>
      <c r="F6206">
        <v>66.400000000000006</v>
      </c>
      <c r="G6206" t="s">
        <v>10</v>
      </c>
      <c r="H6206" t="s">
        <v>13</v>
      </c>
    </row>
    <row r="6207" spans="1:8" x14ac:dyDescent="0.25">
      <c r="A6207" s="1">
        <v>45661.541666666664</v>
      </c>
      <c r="B6207" t="s">
        <v>34</v>
      </c>
      <c r="C6207">
        <v>132.34</v>
      </c>
      <c r="D6207">
        <v>84.85</v>
      </c>
      <c r="E6207" t="s">
        <v>9</v>
      </c>
      <c r="F6207">
        <v>83.11</v>
      </c>
      <c r="G6207" t="s">
        <v>10</v>
      </c>
      <c r="H6207" t="s">
        <v>13</v>
      </c>
    </row>
    <row r="6208" spans="1:8" x14ac:dyDescent="0.25">
      <c r="A6208" s="1">
        <v>45661.583333333336</v>
      </c>
      <c r="B6208" t="s">
        <v>34</v>
      </c>
      <c r="C6208">
        <v>234.43</v>
      </c>
      <c r="D6208">
        <v>71.819999999999993</v>
      </c>
      <c r="E6208" t="s">
        <v>9</v>
      </c>
      <c r="F6208">
        <v>70.510000000000005</v>
      </c>
      <c r="G6208" t="s">
        <v>10</v>
      </c>
      <c r="H6208" t="s">
        <v>12</v>
      </c>
    </row>
    <row r="6209" spans="1:8" x14ac:dyDescent="0.25">
      <c r="A6209" s="1">
        <v>45661.625</v>
      </c>
      <c r="B6209" t="s">
        <v>34</v>
      </c>
      <c r="C6209">
        <v>250.25</v>
      </c>
      <c r="D6209">
        <v>57.2</v>
      </c>
      <c r="E6209" t="s">
        <v>9</v>
      </c>
      <c r="F6209">
        <v>45.96</v>
      </c>
      <c r="G6209" t="s">
        <v>10</v>
      </c>
      <c r="H6209" t="s">
        <v>12</v>
      </c>
    </row>
    <row r="6210" spans="1:8" x14ac:dyDescent="0.25">
      <c r="A6210" s="1">
        <v>45661.666666666664</v>
      </c>
      <c r="B6210" t="s">
        <v>34</v>
      </c>
      <c r="C6210">
        <v>377.81</v>
      </c>
      <c r="D6210">
        <v>33.4</v>
      </c>
      <c r="E6210" t="s">
        <v>9</v>
      </c>
      <c r="F6210">
        <v>58.48</v>
      </c>
      <c r="G6210" t="s">
        <v>10</v>
      </c>
      <c r="H6210" t="s">
        <v>13</v>
      </c>
    </row>
    <row r="6211" spans="1:8" x14ac:dyDescent="0.25">
      <c r="A6211" s="1">
        <v>45661.708333333336</v>
      </c>
      <c r="B6211" t="s">
        <v>34</v>
      </c>
      <c r="C6211">
        <v>311.11</v>
      </c>
      <c r="D6211">
        <v>72.37</v>
      </c>
      <c r="E6211" t="s">
        <v>9</v>
      </c>
      <c r="F6211">
        <v>49.86</v>
      </c>
      <c r="G6211" t="s">
        <v>10</v>
      </c>
      <c r="H6211" t="s">
        <v>12</v>
      </c>
    </row>
    <row r="6212" spans="1:8" x14ac:dyDescent="0.25">
      <c r="A6212" s="1">
        <v>45661.75</v>
      </c>
      <c r="B6212" t="s">
        <v>34</v>
      </c>
      <c r="C6212">
        <v>137.18</v>
      </c>
      <c r="D6212">
        <v>74.89</v>
      </c>
      <c r="E6212" t="s">
        <v>9</v>
      </c>
      <c r="F6212">
        <v>58.63</v>
      </c>
      <c r="G6212" t="s">
        <v>10</v>
      </c>
      <c r="H6212" t="s">
        <v>13</v>
      </c>
    </row>
    <row r="6213" spans="1:8" x14ac:dyDescent="0.25">
      <c r="A6213" s="1">
        <v>45661.791666666664</v>
      </c>
      <c r="B6213" t="s">
        <v>34</v>
      </c>
      <c r="C6213">
        <v>195.42</v>
      </c>
      <c r="D6213">
        <v>23.94</v>
      </c>
      <c r="E6213" t="s">
        <v>9</v>
      </c>
      <c r="F6213">
        <v>62.74</v>
      </c>
      <c r="G6213" t="s">
        <v>10</v>
      </c>
      <c r="H6213" t="s">
        <v>13</v>
      </c>
    </row>
    <row r="6214" spans="1:8" x14ac:dyDescent="0.25">
      <c r="A6214" s="1">
        <v>45661.833333333336</v>
      </c>
      <c r="B6214" t="s">
        <v>34</v>
      </c>
      <c r="C6214">
        <v>240.86</v>
      </c>
      <c r="D6214">
        <v>68.92</v>
      </c>
      <c r="E6214" t="s">
        <v>9</v>
      </c>
      <c r="F6214">
        <v>61.07</v>
      </c>
      <c r="G6214" t="s">
        <v>10</v>
      </c>
      <c r="H6214" t="s">
        <v>13</v>
      </c>
    </row>
    <row r="6215" spans="1:8" x14ac:dyDescent="0.25">
      <c r="A6215" s="1">
        <v>45661.875</v>
      </c>
      <c r="B6215" t="s">
        <v>34</v>
      </c>
      <c r="C6215">
        <v>196.98</v>
      </c>
      <c r="D6215">
        <v>28.83</v>
      </c>
      <c r="E6215" t="s">
        <v>9</v>
      </c>
      <c r="F6215">
        <v>78.58</v>
      </c>
      <c r="G6215" t="s">
        <v>10</v>
      </c>
      <c r="H6215" t="s">
        <v>12</v>
      </c>
    </row>
    <row r="6216" spans="1:8" x14ac:dyDescent="0.25">
      <c r="A6216" s="1">
        <v>45661.916666666664</v>
      </c>
      <c r="B6216" t="s">
        <v>34</v>
      </c>
      <c r="C6216">
        <v>428.79</v>
      </c>
      <c r="D6216">
        <v>91.2</v>
      </c>
      <c r="E6216" t="s">
        <v>14</v>
      </c>
      <c r="F6216">
        <v>59.94</v>
      </c>
      <c r="G6216" t="s">
        <v>10</v>
      </c>
      <c r="H6216" t="s">
        <v>11</v>
      </c>
    </row>
    <row r="6217" spans="1:8" x14ac:dyDescent="0.25">
      <c r="A6217" s="1">
        <v>45661.958333333336</v>
      </c>
      <c r="B6217" t="s">
        <v>34</v>
      </c>
      <c r="C6217">
        <v>445.54</v>
      </c>
      <c r="D6217">
        <v>70</v>
      </c>
      <c r="E6217" t="s">
        <v>9</v>
      </c>
      <c r="F6217">
        <v>81.52</v>
      </c>
      <c r="G6217" t="s">
        <v>10</v>
      </c>
      <c r="H6217" t="s">
        <v>13</v>
      </c>
    </row>
    <row r="6218" spans="1:8" x14ac:dyDescent="0.25">
      <c r="A6218" s="1">
        <v>45662</v>
      </c>
      <c r="B6218" t="s">
        <v>34</v>
      </c>
      <c r="C6218">
        <v>89.37</v>
      </c>
      <c r="D6218">
        <v>94.1</v>
      </c>
      <c r="E6218" t="s">
        <v>14</v>
      </c>
      <c r="F6218">
        <v>43.74</v>
      </c>
      <c r="G6218" t="s">
        <v>10</v>
      </c>
      <c r="H6218" t="s">
        <v>11</v>
      </c>
    </row>
    <row r="6219" spans="1:8" x14ac:dyDescent="0.25">
      <c r="A6219" s="1">
        <v>45662.041666666664</v>
      </c>
      <c r="B6219" t="s">
        <v>34</v>
      </c>
      <c r="C6219">
        <v>177.96</v>
      </c>
      <c r="D6219">
        <v>66.92</v>
      </c>
      <c r="E6219" t="s">
        <v>9</v>
      </c>
      <c r="F6219">
        <v>42.62</v>
      </c>
      <c r="G6219" t="s">
        <v>10</v>
      </c>
      <c r="H6219" t="s">
        <v>11</v>
      </c>
    </row>
    <row r="6220" spans="1:8" x14ac:dyDescent="0.25">
      <c r="A6220" s="1">
        <v>45662.083333333336</v>
      </c>
      <c r="B6220" t="s">
        <v>34</v>
      </c>
      <c r="C6220">
        <v>305.95</v>
      </c>
      <c r="D6220">
        <v>88.39</v>
      </c>
      <c r="E6220" t="s">
        <v>14</v>
      </c>
      <c r="F6220">
        <v>38.08</v>
      </c>
      <c r="G6220" t="s">
        <v>10</v>
      </c>
      <c r="H6220" t="s">
        <v>12</v>
      </c>
    </row>
    <row r="6221" spans="1:8" x14ac:dyDescent="0.25">
      <c r="A6221" s="1">
        <v>45662.125</v>
      </c>
      <c r="B6221" t="s">
        <v>34</v>
      </c>
      <c r="C6221">
        <v>80.34</v>
      </c>
      <c r="D6221">
        <v>30.9</v>
      </c>
      <c r="E6221" t="s">
        <v>9</v>
      </c>
      <c r="F6221">
        <v>81.56</v>
      </c>
      <c r="G6221" t="s">
        <v>10</v>
      </c>
      <c r="H6221" t="s">
        <v>12</v>
      </c>
    </row>
    <row r="6222" spans="1:8" x14ac:dyDescent="0.25">
      <c r="A6222" s="1">
        <v>45662.166666666664</v>
      </c>
      <c r="B6222" t="s">
        <v>34</v>
      </c>
      <c r="C6222">
        <v>250.78</v>
      </c>
      <c r="D6222">
        <v>69.78</v>
      </c>
      <c r="E6222" t="s">
        <v>9</v>
      </c>
      <c r="F6222">
        <v>38.33</v>
      </c>
      <c r="G6222" t="s">
        <v>10</v>
      </c>
      <c r="H6222" t="s">
        <v>12</v>
      </c>
    </row>
    <row r="6223" spans="1:8" x14ac:dyDescent="0.25">
      <c r="A6223" s="1">
        <v>45662.208333333336</v>
      </c>
      <c r="B6223" t="s">
        <v>34</v>
      </c>
      <c r="C6223">
        <v>149.93</v>
      </c>
      <c r="D6223">
        <v>60.64</v>
      </c>
      <c r="E6223" t="s">
        <v>9</v>
      </c>
      <c r="F6223">
        <v>52.35</v>
      </c>
      <c r="G6223" t="s">
        <v>10</v>
      </c>
      <c r="H6223" t="s">
        <v>12</v>
      </c>
    </row>
    <row r="6224" spans="1:8" x14ac:dyDescent="0.25">
      <c r="A6224" s="1">
        <v>45662.25</v>
      </c>
      <c r="B6224" t="s">
        <v>34</v>
      </c>
      <c r="C6224">
        <v>496.55</v>
      </c>
      <c r="D6224">
        <v>53.87</v>
      </c>
      <c r="E6224" t="s">
        <v>9</v>
      </c>
      <c r="F6224">
        <v>58.55</v>
      </c>
      <c r="G6224" t="s">
        <v>10</v>
      </c>
      <c r="H6224" t="s">
        <v>11</v>
      </c>
    </row>
    <row r="6225" spans="1:8" x14ac:dyDescent="0.25">
      <c r="A6225" s="1">
        <v>45662.291666666664</v>
      </c>
      <c r="B6225" t="s">
        <v>34</v>
      </c>
      <c r="C6225">
        <v>53.56</v>
      </c>
      <c r="D6225">
        <v>60.1</v>
      </c>
      <c r="E6225" t="s">
        <v>9</v>
      </c>
      <c r="F6225">
        <v>67.77</v>
      </c>
      <c r="G6225" t="s">
        <v>10</v>
      </c>
      <c r="H6225" t="s">
        <v>12</v>
      </c>
    </row>
    <row r="6226" spans="1:8" x14ac:dyDescent="0.25">
      <c r="A6226" s="1">
        <v>45662.333333333336</v>
      </c>
      <c r="B6226" t="s">
        <v>34</v>
      </c>
      <c r="C6226">
        <v>154.53</v>
      </c>
      <c r="D6226">
        <v>16.47</v>
      </c>
      <c r="E6226" t="s">
        <v>9</v>
      </c>
      <c r="F6226">
        <v>80.86</v>
      </c>
      <c r="G6226" t="s">
        <v>10</v>
      </c>
      <c r="H6226" t="s">
        <v>13</v>
      </c>
    </row>
    <row r="6227" spans="1:8" x14ac:dyDescent="0.25">
      <c r="A6227" s="1">
        <v>45662.375</v>
      </c>
      <c r="B6227" t="s">
        <v>34</v>
      </c>
      <c r="C6227">
        <v>114.72</v>
      </c>
      <c r="D6227">
        <v>88.02</v>
      </c>
      <c r="E6227" t="s">
        <v>14</v>
      </c>
      <c r="F6227">
        <v>82.77</v>
      </c>
      <c r="G6227" t="s">
        <v>10</v>
      </c>
      <c r="H6227" t="s">
        <v>11</v>
      </c>
    </row>
    <row r="6228" spans="1:8" x14ac:dyDescent="0.25">
      <c r="A6228" s="1">
        <v>45662.416666666664</v>
      </c>
      <c r="B6228" t="s">
        <v>34</v>
      </c>
      <c r="C6228">
        <v>228.72</v>
      </c>
      <c r="D6228">
        <v>35.729999999999997</v>
      </c>
      <c r="E6228" t="s">
        <v>9</v>
      </c>
      <c r="F6228">
        <v>86.04</v>
      </c>
      <c r="G6228" t="s">
        <v>10</v>
      </c>
      <c r="H6228" t="s">
        <v>13</v>
      </c>
    </row>
    <row r="6229" spans="1:8" x14ac:dyDescent="0.25">
      <c r="A6229" s="1">
        <v>45662.458333333336</v>
      </c>
      <c r="B6229" t="s">
        <v>34</v>
      </c>
      <c r="C6229">
        <v>428.13</v>
      </c>
      <c r="D6229">
        <v>20.77</v>
      </c>
      <c r="E6229" t="s">
        <v>9</v>
      </c>
      <c r="F6229">
        <v>40.159999999999997</v>
      </c>
      <c r="G6229" t="s">
        <v>10</v>
      </c>
      <c r="H6229" t="s">
        <v>13</v>
      </c>
    </row>
    <row r="6230" spans="1:8" x14ac:dyDescent="0.25">
      <c r="A6230" s="1">
        <v>45662.5</v>
      </c>
      <c r="B6230" t="s">
        <v>34</v>
      </c>
      <c r="C6230">
        <v>264.74</v>
      </c>
      <c r="D6230">
        <v>42.03</v>
      </c>
      <c r="E6230" t="s">
        <v>9</v>
      </c>
      <c r="F6230">
        <v>60.35</v>
      </c>
      <c r="G6230" t="s">
        <v>10</v>
      </c>
      <c r="H6230" t="s">
        <v>13</v>
      </c>
    </row>
    <row r="6231" spans="1:8" x14ac:dyDescent="0.25">
      <c r="A6231" s="1">
        <v>45662.541666666664</v>
      </c>
      <c r="B6231" t="s">
        <v>34</v>
      </c>
      <c r="C6231">
        <v>356.97</v>
      </c>
      <c r="D6231">
        <v>18.52</v>
      </c>
      <c r="E6231" t="s">
        <v>9</v>
      </c>
      <c r="F6231">
        <v>51.69</v>
      </c>
      <c r="G6231" t="s">
        <v>10</v>
      </c>
      <c r="H6231" t="s">
        <v>12</v>
      </c>
    </row>
    <row r="6232" spans="1:8" x14ac:dyDescent="0.25">
      <c r="A6232" s="1">
        <v>45662.583333333336</v>
      </c>
      <c r="B6232" t="s">
        <v>34</v>
      </c>
      <c r="C6232">
        <v>201.3</v>
      </c>
      <c r="D6232">
        <v>41.7</v>
      </c>
      <c r="E6232" t="s">
        <v>9</v>
      </c>
      <c r="F6232">
        <v>58.64</v>
      </c>
      <c r="G6232" t="s">
        <v>10</v>
      </c>
      <c r="H6232" t="s">
        <v>13</v>
      </c>
    </row>
    <row r="6233" spans="1:8" x14ac:dyDescent="0.25">
      <c r="A6233" s="1">
        <v>45662.625</v>
      </c>
      <c r="B6233" t="s">
        <v>34</v>
      </c>
      <c r="C6233">
        <v>403.27</v>
      </c>
      <c r="D6233">
        <v>86.56</v>
      </c>
      <c r="E6233" t="s">
        <v>14</v>
      </c>
      <c r="F6233">
        <v>88.44</v>
      </c>
      <c r="G6233" t="s">
        <v>10</v>
      </c>
      <c r="H6233" t="s">
        <v>13</v>
      </c>
    </row>
    <row r="6234" spans="1:8" x14ac:dyDescent="0.25">
      <c r="A6234" s="1">
        <v>45662.666666666664</v>
      </c>
      <c r="B6234" t="s">
        <v>34</v>
      </c>
      <c r="C6234">
        <v>156.33000000000001</v>
      </c>
      <c r="D6234">
        <v>22.55</v>
      </c>
      <c r="E6234" t="s">
        <v>9</v>
      </c>
      <c r="F6234">
        <v>33.01</v>
      </c>
      <c r="G6234" t="s">
        <v>10</v>
      </c>
      <c r="H6234" t="s">
        <v>12</v>
      </c>
    </row>
    <row r="6235" spans="1:8" x14ac:dyDescent="0.25">
      <c r="A6235" s="1">
        <v>45662.708333333336</v>
      </c>
      <c r="B6235" t="s">
        <v>34</v>
      </c>
      <c r="C6235">
        <v>244.02</v>
      </c>
      <c r="D6235">
        <v>48.56</v>
      </c>
      <c r="E6235" t="s">
        <v>9</v>
      </c>
      <c r="F6235">
        <v>41.13</v>
      </c>
      <c r="G6235" t="s">
        <v>10</v>
      </c>
      <c r="H6235" t="s">
        <v>12</v>
      </c>
    </row>
    <row r="6236" spans="1:8" x14ac:dyDescent="0.25">
      <c r="A6236" s="1">
        <v>45662.75</v>
      </c>
      <c r="B6236" t="s">
        <v>34</v>
      </c>
      <c r="C6236">
        <v>108.17</v>
      </c>
      <c r="D6236">
        <v>88.14</v>
      </c>
      <c r="E6236" t="s">
        <v>14</v>
      </c>
      <c r="F6236">
        <v>65.25</v>
      </c>
      <c r="G6236" t="s">
        <v>10</v>
      </c>
      <c r="H6236" t="s">
        <v>12</v>
      </c>
    </row>
    <row r="6237" spans="1:8" x14ac:dyDescent="0.25">
      <c r="A6237" s="1">
        <v>45662.791666666664</v>
      </c>
      <c r="B6237" t="s">
        <v>34</v>
      </c>
      <c r="C6237">
        <v>483.34</v>
      </c>
      <c r="D6237">
        <v>38.950000000000003</v>
      </c>
      <c r="E6237" t="s">
        <v>9</v>
      </c>
      <c r="F6237">
        <v>57</v>
      </c>
      <c r="G6237" t="s">
        <v>10</v>
      </c>
      <c r="H6237" t="s">
        <v>11</v>
      </c>
    </row>
    <row r="6238" spans="1:8" x14ac:dyDescent="0.25">
      <c r="A6238" s="1">
        <v>45662.833333333336</v>
      </c>
      <c r="B6238" t="s">
        <v>34</v>
      </c>
      <c r="C6238">
        <v>101.87</v>
      </c>
      <c r="D6238">
        <v>66.56</v>
      </c>
      <c r="E6238" t="s">
        <v>9</v>
      </c>
      <c r="F6238">
        <v>75.569999999999993</v>
      </c>
      <c r="G6238" t="s">
        <v>10</v>
      </c>
      <c r="H6238" t="s">
        <v>12</v>
      </c>
    </row>
    <row r="6239" spans="1:8" x14ac:dyDescent="0.25">
      <c r="A6239" s="1">
        <v>45662.875</v>
      </c>
      <c r="B6239" t="s">
        <v>34</v>
      </c>
      <c r="C6239">
        <v>96.89</v>
      </c>
      <c r="D6239">
        <v>72.75</v>
      </c>
      <c r="E6239" t="s">
        <v>9</v>
      </c>
      <c r="F6239">
        <v>44.22</v>
      </c>
      <c r="G6239" t="s">
        <v>10</v>
      </c>
      <c r="H6239" t="s">
        <v>11</v>
      </c>
    </row>
    <row r="6240" spans="1:8" x14ac:dyDescent="0.25">
      <c r="A6240" s="1">
        <v>45662.916666666664</v>
      </c>
      <c r="B6240" t="s">
        <v>34</v>
      </c>
      <c r="C6240">
        <v>274.74</v>
      </c>
      <c r="D6240">
        <v>79.02</v>
      </c>
      <c r="E6240" t="s">
        <v>9</v>
      </c>
      <c r="F6240">
        <v>46.73</v>
      </c>
      <c r="G6240" t="s">
        <v>10</v>
      </c>
      <c r="H6240" t="s">
        <v>13</v>
      </c>
    </row>
    <row r="6241" spans="1:8" x14ac:dyDescent="0.25">
      <c r="A6241" s="1">
        <v>45662.958333333336</v>
      </c>
      <c r="B6241" t="s">
        <v>34</v>
      </c>
      <c r="C6241">
        <v>441.44</v>
      </c>
      <c r="D6241">
        <v>28.09</v>
      </c>
      <c r="E6241" t="s">
        <v>9</v>
      </c>
      <c r="F6241">
        <v>31.72</v>
      </c>
      <c r="G6241" t="s">
        <v>10</v>
      </c>
      <c r="H6241" t="s">
        <v>11</v>
      </c>
    </row>
    <row r="6242" spans="1:8" x14ac:dyDescent="0.25">
      <c r="A6242" s="1">
        <v>45663</v>
      </c>
      <c r="B6242" t="s">
        <v>34</v>
      </c>
      <c r="C6242">
        <v>452.88</v>
      </c>
      <c r="D6242">
        <v>37.94</v>
      </c>
      <c r="E6242" t="s">
        <v>9</v>
      </c>
      <c r="F6242">
        <v>44.02</v>
      </c>
      <c r="G6242" t="s">
        <v>10</v>
      </c>
      <c r="H6242" t="s">
        <v>11</v>
      </c>
    </row>
    <row r="6243" spans="1:8" x14ac:dyDescent="0.25">
      <c r="A6243" s="1">
        <v>45663.041666666664</v>
      </c>
      <c r="B6243" t="s">
        <v>34</v>
      </c>
      <c r="C6243">
        <v>372.04</v>
      </c>
      <c r="D6243">
        <v>91.69</v>
      </c>
      <c r="E6243" t="s">
        <v>14</v>
      </c>
      <c r="F6243">
        <v>48.76</v>
      </c>
      <c r="G6243" t="s">
        <v>10</v>
      </c>
      <c r="H6243" t="s">
        <v>11</v>
      </c>
    </row>
    <row r="6244" spans="1:8" x14ac:dyDescent="0.25">
      <c r="A6244" s="1">
        <v>45663.083333333336</v>
      </c>
      <c r="B6244" t="s">
        <v>34</v>
      </c>
      <c r="C6244">
        <v>428.73</v>
      </c>
      <c r="D6244">
        <v>32.94</v>
      </c>
      <c r="E6244" t="s">
        <v>9</v>
      </c>
      <c r="F6244">
        <v>41.26</v>
      </c>
      <c r="G6244" t="s">
        <v>10</v>
      </c>
      <c r="H6244" t="s">
        <v>12</v>
      </c>
    </row>
    <row r="6245" spans="1:8" x14ac:dyDescent="0.25">
      <c r="A6245" s="1">
        <v>45663.125</v>
      </c>
      <c r="B6245" t="s">
        <v>34</v>
      </c>
      <c r="C6245">
        <v>80.959999999999994</v>
      </c>
      <c r="D6245">
        <v>94.35</v>
      </c>
      <c r="E6245" t="s">
        <v>14</v>
      </c>
      <c r="F6245">
        <v>70.84</v>
      </c>
      <c r="G6245" t="s">
        <v>10</v>
      </c>
      <c r="H6245" t="s">
        <v>13</v>
      </c>
    </row>
    <row r="6246" spans="1:8" x14ac:dyDescent="0.25">
      <c r="A6246" s="1">
        <v>45663.166666666664</v>
      </c>
      <c r="B6246" t="s">
        <v>34</v>
      </c>
      <c r="C6246">
        <v>107.48</v>
      </c>
      <c r="D6246">
        <v>30.56</v>
      </c>
      <c r="E6246" t="s">
        <v>9</v>
      </c>
      <c r="F6246">
        <v>54.48</v>
      </c>
      <c r="G6246" t="s">
        <v>10</v>
      </c>
      <c r="H6246" t="s">
        <v>11</v>
      </c>
    </row>
    <row r="6247" spans="1:8" x14ac:dyDescent="0.25">
      <c r="A6247" s="1">
        <v>45663.208333333336</v>
      </c>
      <c r="B6247" t="s">
        <v>34</v>
      </c>
      <c r="C6247">
        <v>442.81</v>
      </c>
      <c r="D6247">
        <v>94.44</v>
      </c>
      <c r="E6247" t="s">
        <v>14</v>
      </c>
      <c r="F6247">
        <v>36.520000000000003</v>
      </c>
      <c r="G6247" t="s">
        <v>10</v>
      </c>
      <c r="H6247" t="s">
        <v>11</v>
      </c>
    </row>
    <row r="6248" spans="1:8" x14ac:dyDescent="0.25">
      <c r="A6248" s="1">
        <v>45663.25</v>
      </c>
      <c r="B6248" t="s">
        <v>34</v>
      </c>
      <c r="C6248">
        <v>201.4</v>
      </c>
      <c r="D6248">
        <v>79.739999999999995</v>
      </c>
      <c r="E6248" t="s">
        <v>9</v>
      </c>
      <c r="F6248">
        <v>75.25</v>
      </c>
      <c r="G6248" t="s">
        <v>10</v>
      </c>
      <c r="H6248" t="s">
        <v>12</v>
      </c>
    </row>
    <row r="6249" spans="1:8" x14ac:dyDescent="0.25">
      <c r="A6249" s="1">
        <v>45663.291666666664</v>
      </c>
      <c r="B6249" t="s">
        <v>34</v>
      </c>
      <c r="C6249">
        <v>283.66000000000003</v>
      </c>
      <c r="D6249">
        <v>37.94</v>
      </c>
      <c r="E6249" t="s">
        <v>9</v>
      </c>
      <c r="F6249">
        <v>62.39</v>
      </c>
      <c r="G6249" t="s">
        <v>10</v>
      </c>
      <c r="H6249" t="s">
        <v>13</v>
      </c>
    </row>
    <row r="6250" spans="1:8" x14ac:dyDescent="0.25">
      <c r="A6250" s="1">
        <v>45663.333333333336</v>
      </c>
      <c r="B6250" t="s">
        <v>34</v>
      </c>
      <c r="C6250">
        <v>164.98</v>
      </c>
      <c r="D6250">
        <v>43.74</v>
      </c>
      <c r="E6250" t="s">
        <v>9</v>
      </c>
      <c r="F6250">
        <v>86.76</v>
      </c>
      <c r="G6250" t="s">
        <v>10</v>
      </c>
      <c r="H6250" t="s">
        <v>13</v>
      </c>
    </row>
    <row r="6251" spans="1:8" x14ac:dyDescent="0.25">
      <c r="A6251" s="1">
        <v>45663.375</v>
      </c>
      <c r="B6251" t="s">
        <v>34</v>
      </c>
      <c r="C6251">
        <v>282.36</v>
      </c>
      <c r="D6251">
        <v>14.88</v>
      </c>
      <c r="E6251" t="s">
        <v>9</v>
      </c>
      <c r="F6251">
        <v>77.37</v>
      </c>
      <c r="G6251" t="s">
        <v>10</v>
      </c>
      <c r="H6251" t="s">
        <v>11</v>
      </c>
    </row>
    <row r="6252" spans="1:8" x14ac:dyDescent="0.25">
      <c r="A6252" s="1">
        <v>45663.416666666664</v>
      </c>
      <c r="B6252" t="s">
        <v>34</v>
      </c>
      <c r="C6252">
        <v>287.56</v>
      </c>
      <c r="D6252">
        <v>23.22</v>
      </c>
      <c r="E6252" t="s">
        <v>9</v>
      </c>
      <c r="F6252">
        <v>46.23</v>
      </c>
      <c r="G6252" t="s">
        <v>10</v>
      </c>
      <c r="H6252" t="s">
        <v>12</v>
      </c>
    </row>
    <row r="6253" spans="1:8" x14ac:dyDescent="0.25">
      <c r="A6253" s="1">
        <v>45663.458333333336</v>
      </c>
      <c r="B6253" t="s">
        <v>34</v>
      </c>
      <c r="C6253">
        <v>119.67</v>
      </c>
      <c r="D6253">
        <v>93.85</v>
      </c>
      <c r="E6253" t="s">
        <v>14</v>
      </c>
      <c r="F6253">
        <v>49.19</v>
      </c>
      <c r="G6253" t="s">
        <v>10</v>
      </c>
      <c r="H6253" t="s">
        <v>13</v>
      </c>
    </row>
    <row r="6254" spans="1:8" x14ac:dyDescent="0.25">
      <c r="A6254" s="1">
        <v>45663.5</v>
      </c>
      <c r="B6254" t="s">
        <v>34</v>
      </c>
      <c r="C6254">
        <v>446.11</v>
      </c>
      <c r="D6254">
        <v>79.02</v>
      </c>
      <c r="E6254" t="s">
        <v>9</v>
      </c>
      <c r="F6254">
        <v>88.93</v>
      </c>
      <c r="G6254" t="s">
        <v>10</v>
      </c>
      <c r="H6254" t="s">
        <v>11</v>
      </c>
    </row>
    <row r="6255" spans="1:8" x14ac:dyDescent="0.25">
      <c r="A6255" s="1">
        <v>45663.541666666664</v>
      </c>
      <c r="B6255" t="s">
        <v>34</v>
      </c>
      <c r="C6255">
        <v>280.17</v>
      </c>
      <c r="D6255">
        <v>31.32</v>
      </c>
      <c r="E6255" t="s">
        <v>9</v>
      </c>
      <c r="F6255">
        <v>61.16</v>
      </c>
      <c r="G6255" t="s">
        <v>10</v>
      </c>
      <c r="H6255" t="s">
        <v>13</v>
      </c>
    </row>
    <row r="6256" spans="1:8" x14ac:dyDescent="0.25">
      <c r="A6256" s="1">
        <v>45663.583333333336</v>
      </c>
      <c r="B6256" t="s">
        <v>34</v>
      </c>
      <c r="C6256">
        <v>327.88</v>
      </c>
      <c r="D6256">
        <v>66.09</v>
      </c>
      <c r="E6256" t="s">
        <v>9</v>
      </c>
      <c r="F6256">
        <v>46.05</v>
      </c>
      <c r="G6256" t="s">
        <v>10</v>
      </c>
      <c r="H6256" t="s">
        <v>13</v>
      </c>
    </row>
    <row r="6257" spans="1:8" x14ac:dyDescent="0.25">
      <c r="A6257" s="1">
        <v>45663.625</v>
      </c>
      <c r="B6257" t="s">
        <v>34</v>
      </c>
      <c r="C6257">
        <v>229.44</v>
      </c>
      <c r="D6257">
        <v>38.5</v>
      </c>
      <c r="E6257" t="s">
        <v>9</v>
      </c>
      <c r="F6257">
        <v>44.42</v>
      </c>
      <c r="G6257" t="s">
        <v>10</v>
      </c>
      <c r="H6257" t="s">
        <v>13</v>
      </c>
    </row>
    <row r="6258" spans="1:8" x14ac:dyDescent="0.25">
      <c r="A6258" s="1">
        <v>45663.666666666664</v>
      </c>
      <c r="B6258" t="s">
        <v>34</v>
      </c>
      <c r="C6258">
        <v>54.68</v>
      </c>
      <c r="D6258">
        <v>27.12</v>
      </c>
      <c r="E6258" t="s">
        <v>9</v>
      </c>
      <c r="F6258">
        <v>36.14</v>
      </c>
      <c r="G6258" t="s">
        <v>10</v>
      </c>
      <c r="H6258" t="s">
        <v>13</v>
      </c>
    </row>
    <row r="6259" spans="1:8" x14ac:dyDescent="0.25">
      <c r="A6259" s="1">
        <v>45663.708333333336</v>
      </c>
      <c r="B6259" t="s">
        <v>34</v>
      </c>
      <c r="C6259">
        <v>178.57</v>
      </c>
      <c r="D6259">
        <v>30.99</v>
      </c>
      <c r="E6259" t="s">
        <v>9</v>
      </c>
      <c r="F6259">
        <v>62.43</v>
      </c>
      <c r="G6259" t="s">
        <v>10</v>
      </c>
      <c r="H6259" t="s">
        <v>12</v>
      </c>
    </row>
    <row r="6260" spans="1:8" x14ac:dyDescent="0.25">
      <c r="A6260" s="1">
        <v>45663.75</v>
      </c>
      <c r="B6260" t="s">
        <v>34</v>
      </c>
      <c r="C6260">
        <v>198.63</v>
      </c>
      <c r="D6260">
        <v>77.67</v>
      </c>
      <c r="E6260" t="s">
        <v>9</v>
      </c>
      <c r="F6260">
        <v>35.64</v>
      </c>
      <c r="G6260" t="s">
        <v>10</v>
      </c>
      <c r="H6260" t="s">
        <v>12</v>
      </c>
    </row>
    <row r="6261" spans="1:8" x14ac:dyDescent="0.25">
      <c r="A6261" s="1">
        <v>45663.791666666664</v>
      </c>
      <c r="B6261" t="s">
        <v>34</v>
      </c>
      <c r="C6261">
        <v>319.77999999999997</v>
      </c>
      <c r="D6261">
        <v>41.23</v>
      </c>
      <c r="E6261" t="s">
        <v>9</v>
      </c>
      <c r="F6261">
        <v>32.76</v>
      </c>
      <c r="G6261" t="s">
        <v>10</v>
      </c>
      <c r="H6261" t="s">
        <v>12</v>
      </c>
    </row>
    <row r="6262" spans="1:8" x14ac:dyDescent="0.25">
      <c r="A6262" s="1">
        <v>45663.833333333336</v>
      </c>
      <c r="B6262" t="s">
        <v>34</v>
      </c>
      <c r="C6262">
        <v>439.37</v>
      </c>
      <c r="D6262">
        <v>20.010000000000002</v>
      </c>
      <c r="E6262" t="s">
        <v>9</v>
      </c>
      <c r="F6262">
        <v>52.48</v>
      </c>
      <c r="G6262" t="s">
        <v>10</v>
      </c>
      <c r="H6262" t="s">
        <v>13</v>
      </c>
    </row>
    <row r="6263" spans="1:8" x14ac:dyDescent="0.25">
      <c r="A6263" s="1">
        <v>45663.875</v>
      </c>
      <c r="B6263" t="s">
        <v>34</v>
      </c>
      <c r="C6263">
        <v>451.87</v>
      </c>
      <c r="D6263">
        <v>31.64</v>
      </c>
      <c r="E6263" t="s">
        <v>9</v>
      </c>
      <c r="F6263">
        <v>85.61</v>
      </c>
      <c r="G6263" t="s">
        <v>10</v>
      </c>
      <c r="H6263" t="s">
        <v>13</v>
      </c>
    </row>
    <row r="6264" spans="1:8" x14ac:dyDescent="0.25">
      <c r="A6264" s="1">
        <v>45663.916666666664</v>
      </c>
      <c r="B6264" t="s">
        <v>34</v>
      </c>
      <c r="C6264">
        <v>333.48</v>
      </c>
      <c r="D6264">
        <v>57.38</v>
      </c>
      <c r="E6264" t="s">
        <v>9</v>
      </c>
      <c r="F6264">
        <v>39.26</v>
      </c>
      <c r="G6264" t="s">
        <v>10</v>
      </c>
      <c r="H6264" t="s">
        <v>12</v>
      </c>
    </row>
    <row r="6265" spans="1:8" x14ac:dyDescent="0.25">
      <c r="A6265" s="1">
        <v>45663.958333333336</v>
      </c>
      <c r="B6265" t="s">
        <v>34</v>
      </c>
      <c r="C6265">
        <v>495.16</v>
      </c>
      <c r="D6265">
        <v>50.67</v>
      </c>
      <c r="E6265" t="s">
        <v>9</v>
      </c>
      <c r="F6265">
        <v>37.549999999999997</v>
      </c>
      <c r="G6265" t="s">
        <v>10</v>
      </c>
      <c r="H6265" t="s">
        <v>13</v>
      </c>
    </row>
    <row r="6266" spans="1:8" x14ac:dyDescent="0.25">
      <c r="A6266" s="1">
        <v>45664</v>
      </c>
      <c r="B6266" t="s">
        <v>34</v>
      </c>
      <c r="C6266">
        <v>498.48</v>
      </c>
      <c r="D6266">
        <v>86.85</v>
      </c>
      <c r="E6266" t="s">
        <v>14</v>
      </c>
      <c r="F6266">
        <v>46.72</v>
      </c>
      <c r="G6266" t="s">
        <v>10</v>
      </c>
      <c r="H6266" t="s">
        <v>13</v>
      </c>
    </row>
    <row r="6267" spans="1:8" x14ac:dyDescent="0.25">
      <c r="A6267" s="1">
        <v>45664.041666666664</v>
      </c>
      <c r="B6267" t="s">
        <v>34</v>
      </c>
      <c r="C6267">
        <v>254.76</v>
      </c>
      <c r="D6267">
        <v>27.48</v>
      </c>
      <c r="E6267" t="s">
        <v>9</v>
      </c>
      <c r="F6267">
        <v>49.6</v>
      </c>
      <c r="G6267" t="s">
        <v>10</v>
      </c>
      <c r="H6267" t="s">
        <v>11</v>
      </c>
    </row>
    <row r="6268" spans="1:8" x14ac:dyDescent="0.25">
      <c r="A6268" s="1">
        <v>45664.083333333336</v>
      </c>
      <c r="B6268" t="s">
        <v>34</v>
      </c>
      <c r="C6268">
        <v>191.88</v>
      </c>
      <c r="D6268">
        <v>53.22</v>
      </c>
      <c r="E6268" t="s">
        <v>9</v>
      </c>
      <c r="F6268">
        <v>85.2</v>
      </c>
      <c r="G6268" t="s">
        <v>10</v>
      </c>
      <c r="H6268" t="s">
        <v>13</v>
      </c>
    </row>
    <row r="6269" spans="1:8" x14ac:dyDescent="0.25">
      <c r="A6269" s="1">
        <v>45664.125</v>
      </c>
      <c r="B6269" t="s">
        <v>34</v>
      </c>
      <c r="C6269">
        <v>207.3</v>
      </c>
      <c r="D6269">
        <v>52.43</v>
      </c>
      <c r="E6269" t="s">
        <v>9</v>
      </c>
      <c r="F6269">
        <v>47.48</v>
      </c>
      <c r="G6269" t="s">
        <v>10</v>
      </c>
      <c r="H6269" t="s">
        <v>11</v>
      </c>
    </row>
    <row r="6270" spans="1:8" x14ac:dyDescent="0.25">
      <c r="A6270" s="1">
        <v>45664.166666666664</v>
      </c>
      <c r="B6270" t="s">
        <v>34</v>
      </c>
      <c r="C6270">
        <v>92.06</v>
      </c>
      <c r="D6270">
        <v>61.43</v>
      </c>
      <c r="E6270" t="s">
        <v>9</v>
      </c>
      <c r="F6270">
        <v>77.39</v>
      </c>
      <c r="G6270" t="s">
        <v>10</v>
      </c>
      <c r="H6270" t="s">
        <v>12</v>
      </c>
    </row>
    <row r="6271" spans="1:8" x14ac:dyDescent="0.25">
      <c r="A6271" s="1">
        <v>45664.208333333336</v>
      </c>
      <c r="B6271" t="s">
        <v>34</v>
      </c>
      <c r="C6271">
        <v>356.65</v>
      </c>
      <c r="D6271">
        <v>29.8</v>
      </c>
      <c r="E6271" t="s">
        <v>9</v>
      </c>
      <c r="F6271">
        <v>68.39</v>
      </c>
      <c r="G6271" t="s">
        <v>10</v>
      </c>
      <c r="H6271" t="s">
        <v>13</v>
      </c>
    </row>
    <row r="6272" spans="1:8" x14ac:dyDescent="0.25">
      <c r="A6272" s="1">
        <v>45664.25</v>
      </c>
      <c r="B6272" t="s">
        <v>34</v>
      </c>
      <c r="C6272">
        <v>192.15</v>
      </c>
      <c r="D6272">
        <v>67.319999999999993</v>
      </c>
      <c r="E6272" t="s">
        <v>9</v>
      </c>
      <c r="F6272">
        <v>52.73</v>
      </c>
      <c r="G6272" t="s">
        <v>10</v>
      </c>
      <c r="H6272" t="s">
        <v>11</v>
      </c>
    </row>
    <row r="6273" spans="1:8" x14ac:dyDescent="0.25">
      <c r="A6273" s="1">
        <v>45664.291666666664</v>
      </c>
      <c r="B6273" t="s">
        <v>34</v>
      </c>
      <c r="C6273">
        <v>98.63</v>
      </c>
      <c r="D6273">
        <v>17.190000000000001</v>
      </c>
      <c r="E6273" t="s">
        <v>9</v>
      </c>
      <c r="F6273">
        <v>80.12</v>
      </c>
      <c r="G6273" t="s">
        <v>10</v>
      </c>
      <c r="H6273" t="s">
        <v>13</v>
      </c>
    </row>
    <row r="6274" spans="1:8" x14ac:dyDescent="0.25">
      <c r="A6274" s="1">
        <v>45664.333333333336</v>
      </c>
      <c r="B6274" t="s">
        <v>34</v>
      </c>
      <c r="C6274">
        <v>271.45</v>
      </c>
      <c r="D6274">
        <v>21.42</v>
      </c>
      <c r="E6274" t="s">
        <v>9</v>
      </c>
      <c r="F6274">
        <v>87.46</v>
      </c>
      <c r="G6274" t="s">
        <v>10</v>
      </c>
      <c r="H6274" t="s">
        <v>13</v>
      </c>
    </row>
    <row r="6275" spans="1:8" x14ac:dyDescent="0.25">
      <c r="A6275" s="1">
        <v>45664.375</v>
      </c>
      <c r="B6275" t="s">
        <v>34</v>
      </c>
      <c r="C6275">
        <v>252.31</v>
      </c>
      <c r="D6275">
        <v>32.54</v>
      </c>
      <c r="E6275" t="s">
        <v>9</v>
      </c>
      <c r="F6275">
        <v>80.260000000000005</v>
      </c>
      <c r="G6275" t="s">
        <v>10</v>
      </c>
      <c r="H6275" t="s">
        <v>11</v>
      </c>
    </row>
    <row r="6276" spans="1:8" x14ac:dyDescent="0.25">
      <c r="A6276" s="1">
        <v>45664.416666666664</v>
      </c>
      <c r="B6276" t="s">
        <v>34</v>
      </c>
      <c r="C6276">
        <v>318.56</v>
      </c>
      <c r="D6276">
        <v>36.450000000000003</v>
      </c>
      <c r="E6276" t="s">
        <v>9</v>
      </c>
      <c r="F6276">
        <v>74</v>
      </c>
      <c r="G6276" t="s">
        <v>10</v>
      </c>
      <c r="H6276" t="s">
        <v>11</v>
      </c>
    </row>
    <row r="6277" spans="1:8" x14ac:dyDescent="0.25">
      <c r="A6277" s="1">
        <v>45664.458333333336</v>
      </c>
      <c r="B6277" t="s">
        <v>34</v>
      </c>
      <c r="C6277">
        <v>298.42</v>
      </c>
      <c r="D6277">
        <v>33.51</v>
      </c>
      <c r="E6277" t="s">
        <v>9</v>
      </c>
      <c r="F6277">
        <v>45.22</v>
      </c>
      <c r="G6277" t="s">
        <v>10</v>
      </c>
      <c r="H6277" t="s">
        <v>12</v>
      </c>
    </row>
    <row r="6278" spans="1:8" x14ac:dyDescent="0.25">
      <c r="A6278" s="1">
        <v>45664.5</v>
      </c>
      <c r="B6278" t="s">
        <v>34</v>
      </c>
      <c r="C6278">
        <v>368.65</v>
      </c>
      <c r="D6278">
        <v>65.86</v>
      </c>
      <c r="E6278" t="s">
        <v>9</v>
      </c>
      <c r="F6278">
        <v>70.239999999999995</v>
      </c>
      <c r="G6278" t="s">
        <v>10</v>
      </c>
      <c r="H6278" t="s">
        <v>11</v>
      </c>
    </row>
    <row r="6279" spans="1:8" x14ac:dyDescent="0.25">
      <c r="A6279" s="1">
        <v>45664.541666666664</v>
      </c>
      <c r="B6279" t="s">
        <v>34</v>
      </c>
      <c r="C6279">
        <v>414.09</v>
      </c>
      <c r="D6279">
        <v>46.65</v>
      </c>
      <c r="E6279" t="s">
        <v>9</v>
      </c>
      <c r="F6279">
        <v>74.75</v>
      </c>
      <c r="G6279" t="s">
        <v>10</v>
      </c>
      <c r="H6279" t="s">
        <v>12</v>
      </c>
    </row>
    <row r="6280" spans="1:8" x14ac:dyDescent="0.25">
      <c r="A6280" s="1">
        <v>45664.583333333336</v>
      </c>
      <c r="B6280" t="s">
        <v>34</v>
      </c>
      <c r="C6280">
        <v>450.82</v>
      </c>
      <c r="D6280">
        <v>47.21</v>
      </c>
      <c r="E6280" t="s">
        <v>9</v>
      </c>
      <c r="F6280">
        <v>31.61</v>
      </c>
      <c r="G6280" t="s">
        <v>10</v>
      </c>
      <c r="H6280" t="s">
        <v>13</v>
      </c>
    </row>
    <row r="6281" spans="1:8" x14ac:dyDescent="0.25">
      <c r="A6281" s="1">
        <v>45664.625</v>
      </c>
      <c r="B6281" t="s">
        <v>34</v>
      </c>
      <c r="C6281">
        <v>402.81</v>
      </c>
      <c r="D6281">
        <v>15.46</v>
      </c>
      <c r="E6281" t="s">
        <v>9</v>
      </c>
      <c r="F6281">
        <v>65.7</v>
      </c>
      <c r="G6281" t="s">
        <v>10</v>
      </c>
      <c r="H6281" t="s">
        <v>12</v>
      </c>
    </row>
    <row r="6282" spans="1:8" x14ac:dyDescent="0.25">
      <c r="A6282" s="1">
        <v>45664.666666666664</v>
      </c>
      <c r="B6282" t="s">
        <v>34</v>
      </c>
      <c r="C6282">
        <v>480.97</v>
      </c>
      <c r="D6282">
        <v>21.11</v>
      </c>
      <c r="E6282" t="s">
        <v>9</v>
      </c>
      <c r="F6282">
        <v>30.26</v>
      </c>
      <c r="G6282" t="s">
        <v>10</v>
      </c>
      <c r="H6282" t="s">
        <v>13</v>
      </c>
    </row>
    <row r="6283" spans="1:8" x14ac:dyDescent="0.25">
      <c r="A6283" s="1">
        <v>45664.708333333336</v>
      </c>
      <c r="B6283" t="s">
        <v>34</v>
      </c>
      <c r="C6283">
        <v>354.55</v>
      </c>
      <c r="D6283">
        <v>55.89</v>
      </c>
      <c r="E6283" t="s">
        <v>9</v>
      </c>
      <c r="F6283">
        <v>44.91</v>
      </c>
      <c r="G6283" t="s">
        <v>10</v>
      </c>
      <c r="H6283" t="s">
        <v>13</v>
      </c>
    </row>
    <row r="6284" spans="1:8" x14ac:dyDescent="0.25">
      <c r="A6284" s="1">
        <v>45664.75</v>
      </c>
      <c r="B6284" t="s">
        <v>34</v>
      </c>
      <c r="C6284">
        <v>438.47</v>
      </c>
      <c r="D6284">
        <v>88.68</v>
      </c>
      <c r="E6284" t="s">
        <v>14</v>
      </c>
      <c r="F6284">
        <v>76.5</v>
      </c>
      <c r="G6284" t="s">
        <v>10</v>
      </c>
      <c r="H6284" t="s">
        <v>13</v>
      </c>
    </row>
    <row r="6285" spans="1:8" x14ac:dyDescent="0.25">
      <c r="A6285" s="1">
        <v>45664.791666666664</v>
      </c>
      <c r="B6285" t="s">
        <v>34</v>
      </c>
      <c r="C6285">
        <v>258.57</v>
      </c>
      <c r="D6285">
        <v>65.98</v>
      </c>
      <c r="E6285" t="s">
        <v>9</v>
      </c>
      <c r="F6285">
        <v>62.36</v>
      </c>
      <c r="G6285" t="s">
        <v>10</v>
      </c>
      <c r="H6285" t="s">
        <v>13</v>
      </c>
    </row>
    <row r="6286" spans="1:8" x14ac:dyDescent="0.25">
      <c r="A6286" s="1">
        <v>45664.833333333336</v>
      </c>
      <c r="B6286" t="s">
        <v>34</v>
      </c>
      <c r="C6286">
        <v>96.72</v>
      </c>
      <c r="D6286">
        <v>41.7</v>
      </c>
      <c r="E6286" t="s">
        <v>9</v>
      </c>
      <c r="F6286">
        <v>38.04</v>
      </c>
      <c r="G6286" t="s">
        <v>10</v>
      </c>
      <c r="H6286" t="s">
        <v>11</v>
      </c>
    </row>
    <row r="6287" spans="1:8" x14ac:dyDescent="0.25">
      <c r="A6287" s="1">
        <v>45664.875</v>
      </c>
      <c r="B6287" t="s">
        <v>34</v>
      </c>
      <c r="C6287">
        <v>351.02</v>
      </c>
      <c r="D6287">
        <v>63.9</v>
      </c>
      <c r="E6287" t="s">
        <v>9</v>
      </c>
      <c r="F6287">
        <v>52.62</v>
      </c>
      <c r="G6287" t="s">
        <v>10</v>
      </c>
      <c r="H6287" t="s">
        <v>11</v>
      </c>
    </row>
    <row r="6288" spans="1:8" x14ac:dyDescent="0.25">
      <c r="A6288" s="1">
        <v>45664.916666666664</v>
      </c>
      <c r="B6288" t="s">
        <v>34</v>
      </c>
      <c r="C6288">
        <v>107.2</v>
      </c>
      <c r="D6288">
        <v>61.65</v>
      </c>
      <c r="E6288" t="s">
        <v>9</v>
      </c>
      <c r="F6288">
        <v>60.38</v>
      </c>
      <c r="G6288" t="s">
        <v>10</v>
      </c>
      <c r="H6288" t="s">
        <v>12</v>
      </c>
    </row>
    <row r="6289" spans="1:8" x14ac:dyDescent="0.25">
      <c r="A6289" s="1">
        <v>45664.958333333336</v>
      </c>
      <c r="B6289" t="s">
        <v>34</v>
      </c>
      <c r="C6289">
        <v>187.34</v>
      </c>
      <c r="D6289">
        <v>46.6</v>
      </c>
      <c r="E6289" t="s">
        <v>9</v>
      </c>
      <c r="F6289">
        <v>31.28</v>
      </c>
      <c r="G6289" t="s">
        <v>10</v>
      </c>
      <c r="H6289" t="s">
        <v>13</v>
      </c>
    </row>
    <row r="6290" spans="1:8" x14ac:dyDescent="0.25">
      <c r="A6290" s="1">
        <v>45665</v>
      </c>
      <c r="B6290" t="s">
        <v>34</v>
      </c>
      <c r="C6290">
        <v>169.27</v>
      </c>
      <c r="D6290">
        <v>18.3</v>
      </c>
      <c r="E6290" t="s">
        <v>9</v>
      </c>
      <c r="F6290">
        <v>56.71</v>
      </c>
      <c r="G6290" t="s">
        <v>10</v>
      </c>
      <c r="H6290" t="s">
        <v>13</v>
      </c>
    </row>
    <row r="6291" spans="1:8" x14ac:dyDescent="0.25">
      <c r="A6291" s="1">
        <v>45665.041666666664</v>
      </c>
      <c r="B6291" t="s">
        <v>34</v>
      </c>
      <c r="C6291">
        <v>229.41</v>
      </c>
      <c r="D6291">
        <v>35.35</v>
      </c>
      <c r="E6291" t="s">
        <v>9</v>
      </c>
      <c r="F6291">
        <v>84.32</v>
      </c>
      <c r="G6291" t="s">
        <v>10</v>
      </c>
      <c r="H6291" t="s">
        <v>11</v>
      </c>
    </row>
    <row r="6292" spans="1:8" x14ac:dyDescent="0.25">
      <c r="A6292" s="1">
        <v>45665.083333333336</v>
      </c>
      <c r="B6292" t="s">
        <v>34</v>
      </c>
      <c r="C6292">
        <v>182.21</v>
      </c>
      <c r="D6292">
        <v>63.37</v>
      </c>
      <c r="E6292" t="s">
        <v>9</v>
      </c>
      <c r="F6292">
        <v>78.680000000000007</v>
      </c>
      <c r="G6292" t="s">
        <v>10</v>
      </c>
      <c r="H6292" t="s">
        <v>12</v>
      </c>
    </row>
    <row r="6293" spans="1:8" x14ac:dyDescent="0.25">
      <c r="A6293" s="1">
        <v>45665.125</v>
      </c>
      <c r="B6293" t="s">
        <v>34</v>
      </c>
      <c r="C6293">
        <v>233.78</v>
      </c>
      <c r="D6293">
        <v>76.599999999999994</v>
      </c>
      <c r="E6293" t="s">
        <v>9</v>
      </c>
      <c r="F6293">
        <v>44.46</v>
      </c>
      <c r="G6293" t="s">
        <v>10</v>
      </c>
      <c r="H6293" t="s">
        <v>12</v>
      </c>
    </row>
    <row r="6294" spans="1:8" x14ac:dyDescent="0.25">
      <c r="A6294" s="1">
        <v>45665.166666666664</v>
      </c>
      <c r="B6294" t="s">
        <v>34</v>
      </c>
      <c r="C6294">
        <v>136.33000000000001</v>
      </c>
      <c r="D6294">
        <v>26.82</v>
      </c>
      <c r="E6294" t="s">
        <v>9</v>
      </c>
      <c r="F6294">
        <v>87.2</v>
      </c>
      <c r="G6294" t="s">
        <v>10</v>
      </c>
      <c r="H6294" t="s">
        <v>12</v>
      </c>
    </row>
    <row r="6295" spans="1:8" x14ac:dyDescent="0.25">
      <c r="A6295" s="1">
        <v>45665.208333333336</v>
      </c>
      <c r="B6295" t="s">
        <v>34</v>
      </c>
      <c r="C6295">
        <v>337.03</v>
      </c>
      <c r="D6295">
        <v>91.29</v>
      </c>
      <c r="E6295" t="s">
        <v>14</v>
      </c>
      <c r="F6295">
        <v>43.83</v>
      </c>
      <c r="G6295" t="s">
        <v>10</v>
      </c>
      <c r="H6295" t="s">
        <v>13</v>
      </c>
    </row>
    <row r="6296" spans="1:8" x14ac:dyDescent="0.25">
      <c r="A6296" s="1">
        <v>45665.25</v>
      </c>
      <c r="B6296" t="s">
        <v>34</v>
      </c>
      <c r="C6296">
        <v>401.75</v>
      </c>
      <c r="D6296">
        <v>44.47</v>
      </c>
      <c r="E6296" t="s">
        <v>9</v>
      </c>
      <c r="F6296">
        <v>55.96</v>
      </c>
      <c r="G6296" t="s">
        <v>10</v>
      </c>
      <c r="H6296" t="s">
        <v>13</v>
      </c>
    </row>
    <row r="6297" spans="1:8" x14ac:dyDescent="0.25">
      <c r="A6297" s="1">
        <v>45665.291666666664</v>
      </c>
      <c r="B6297" t="s">
        <v>34</v>
      </c>
      <c r="C6297">
        <v>254.5</v>
      </c>
      <c r="D6297">
        <v>37.29</v>
      </c>
      <c r="E6297" t="s">
        <v>9</v>
      </c>
      <c r="F6297">
        <v>46.47</v>
      </c>
      <c r="G6297" t="s">
        <v>10</v>
      </c>
      <c r="H6297" t="s">
        <v>12</v>
      </c>
    </row>
    <row r="6298" spans="1:8" x14ac:dyDescent="0.25">
      <c r="A6298" s="1">
        <v>45665.333333333336</v>
      </c>
      <c r="B6298" t="s">
        <v>34</v>
      </c>
      <c r="C6298">
        <v>248.31</v>
      </c>
      <c r="D6298">
        <v>90.28</v>
      </c>
      <c r="E6298" t="s">
        <v>14</v>
      </c>
      <c r="F6298">
        <v>31.64</v>
      </c>
      <c r="G6298" t="s">
        <v>10</v>
      </c>
      <c r="H6298" t="s">
        <v>12</v>
      </c>
    </row>
    <row r="6299" spans="1:8" x14ac:dyDescent="0.25">
      <c r="A6299" s="1">
        <v>45665.375</v>
      </c>
      <c r="B6299" t="s">
        <v>34</v>
      </c>
      <c r="C6299">
        <v>399.97</v>
      </c>
      <c r="D6299">
        <v>24.69</v>
      </c>
      <c r="E6299" t="s">
        <v>9</v>
      </c>
      <c r="F6299">
        <v>46.28</v>
      </c>
      <c r="G6299" t="s">
        <v>10</v>
      </c>
      <c r="H6299" t="s">
        <v>13</v>
      </c>
    </row>
    <row r="6300" spans="1:8" x14ac:dyDescent="0.25">
      <c r="A6300" s="1">
        <v>45665.416666666664</v>
      </c>
      <c r="B6300" t="s">
        <v>34</v>
      </c>
      <c r="C6300">
        <v>496.04</v>
      </c>
      <c r="D6300">
        <v>42.84</v>
      </c>
      <c r="E6300" t="s">
        <v>9</v>
      </c>
      <c r="F6300">
        <v>56.71</v>
      </c>
      <c r="G6300" t="s">
        <v>10</v>
      </c>
      <c r="H6300" t="s">
        <v>11</v>
      </c>
    </row>
    <row r="6301" spans="1:8" x14ac:dyDescent="0.25">
      <c r="A6301" s="1">
        <v>45665.458333333336</v>
      </c>
      <c r="B6301" t="s">
        <v>34</v>
      </c>
      <c r="C6301">
        <v>373.34</v>
      </c>
      <c r="D6301">
        <v>68.36</v>
      </c>
      <c r="E6301" t="s">
        <v>9</v>
      </c>
      <c r="F6301">
        <v>73.41</v>
      </c>
      <c r="G6301" t="s">
        <v>10</v>
      </c>
      <c r="H6301" t="s">
        <v>11</v>
      </c>
    </row>
    <row r="6302" spans="1:8" x14ac:dyDescent="0.25">
      <c r="A6302" s="1">
        <v>45665.5</v>
      </c>
      <c r="B6302" t="s">
        <v>34</v>
      </c>
      <c r="C6302">
        <v>142.59</v>
      </c>
      <c r="D6302">
        <v>41.49</v>
      </c>
      <c r="E6302" t="s">
        <v>9</v>
      </c>
      <c r="F6302">
        <v>43.65</v>
      </c>
      <c r="G6302" t="s">
        <v>10</v>
      </c>
      <c r="H6302" t="s">
        <v>12</v>
      </c>
    </row>
    <row r="6303" spans="1:8" x14ac:dyDescent="0.25">
      <c r="A6303" s="1">
        <v>45665.541666666664</v>
      </c>
      <c r="B6303" t="s">
        <v>34</v>
      </c>
      <c r="C6303">
        <v>494.42</v>
      </c>
      <c r="D6303">
        <v>61.02</v>
      </c>
      <c r="E6303" t="s">
        <v>9</v>
      </c>
      <c r="F6303">
        <v>59.24</v>
      </c>
      <c r="G6303" t="s">
        <v>10</v>
      </c>
      <c r="H6303" t="s">
        <v>13</v>
      </c>
    </row>
    <row r="6304" spans="1:8" x14ac:dyDescent="0.25">
      <c r="A6304" s="1">
        <v>45665.583333333336</v>
      </c>
      <c r="B6304" t="s">
        <v>34</v>
      </c>
      <c r="C6304">
        <v>88.87</v>
      </c>
      <c r="D6304">
        <v>21.04</v>
      </c>
      <c r="E6304" t="s">
        <v>9</v>
      </c>
      <c r="F6304">
        <v>63.36</v>
      </c>
      <c r="G6304" t="s">
        <v>10</v>
      </c>
      <c r="H6304" t="s">
        <v>11</v>
      </c>
    </row>
    <row r="6305" spans="1:8" x14ac:dyDescent="0.25">
      <c r="A6305" s="1">
        <v>45665.625</v>
      </c>
      <c r="B6305" t="s">
        <v>34</v>
      </c>
      <c r="C6305">
        <v>219.73</v>
      </c>
      <c r="D6305">
        <v>19.350000000000001</v>
      </c>
      <c r="E6305" t="s">
        <v>9</v>
      </c>
      <c r="F6305">
        <v>35.9</v>
      </c>
      <c r="G6305" t="s">
        <v>10</v>
      </c>
      <c r="H6305" t="s">
        <v>13</v>
      </c>
    </row>
    <row r="6306" spans="1:8" x14ac:dyDescent="0.25">
      <c r="A6306" s="1">
        <v>45665.666666666664</v>
      </c>
      <c r="B6306" t="s">
        <v>34</v>
      </c>
      <c r="C6306">
        <v>303.5</v>
      </c>
      <c r="D6306">
        <v>37.85</v>
      </c>
      <c r="E6306" t="s">
        <v>9</v>
      </c>
      <c r="F6306">
        <v>48.15</v>
      </c>
      <c r="G6306" t="s">
        <v>10</v>
      </c>
      <c r="H6306" t="s">
        <v>13</v>
      </c>
    </row>
    <row r="6307" spans="1:8" x14ac:dyDescent="0.25">
      <c r="A6307" s="1">
        <v>45665.708333333336</v>
      </c>
      <c r="B6307" t="s">
        <v>34</v>
      </c>
      <c r="C6307">
        <v>461.9</v>
      </c>
      <c r="D6307">
        <v>17.399999999999999</v>
      </c>
      <c r="E6307" t="s">
        <v>9</v>
      </c>
      <c r="F6307">
        <v>44.07</v>
      </c>
      <c r="G6307" t="s">
        <v>10</v>
      </c>
      <c r="H6307" t="s">
        <v>12</v>
      </c>
    </row>
    <row r="6308" spans="1:8" x14ac:dyDescent="0.25">
      <c r="A6308" s="1">
        <v>45665.75</v>
      </c>
      <c r="B6308" t="s">
        <v>34</v>
      </c>
      <c r="C6308">
        <v>174.96</v>
      </c>
      <c r="D6308">
        <v>73.92</v>
      </c>
      <c r="E6308" t="s">
        <v>9</v>
      </c>
      <c r="F6308">
        <v>44.73</v>
      </c>
      <c r="G6308" t="s">
        <v>10</v>
      </c>
      <c r="H6308" t="s">
        <v>13</v>
      </c>
    </row>
    <row r="6309" spans="1:8" x14ac:dyDescent="0.25">
      <c r="A6309" s="1">
        <v>45665.791666666664</v>
      </c>
      <c r="B6309" t="s">
        <v>34</v>
      </c>
      <c r="C6309">
        <v>343.06</v>
      </c>
      <c r="D6309">
        <v>66.06</v>
      </c>
      <c r="E6309" t="s">
        <v>9</v>
      </c>
      <c r="F6309">
        <v>35.840000000000003</v>
      </c>
      <c r="G6309" t="s">
        <v>10</v>
      </c>
      <c r="H6309" t="s">
        <v>11</v>
      </c>
    </row>
    <row r="6310" spans="1:8" x14ac:dyDescent="0.25">
      <c r="A6310" s="1">
        <v>45665.833333333336</v>
      </c>
      <c r="B6310" t="s">
        <v>34</v>
      </c>
      <c r="C6310">
        <v>117.51</v>
      </c>
      <c r="D6310">
        <v>37.58</v>
      </c>
      <c r="E6310" t="s">
        <v>9</v>
      </c>
      <c r="F6310">
        <v>64.81</v>
      </c>
      <c r="G6310" t="s">
        <v>10</v>
      </c>
      <c r="H6310" t="s">
        <v>12</v>
      </c>
    </row>
    <row r="6311" spans="1:8" x14ac:dyDescent="0.25">
      <c r="A6311" s="1">
        <v>45665.875</v>
      </c>
      <c r="B6311" t="s">
        <v>34</v>
      </c>
      <c r="C6311">
        <v>213.59</v>
      </c>
      <c r="D6311">
        <v>42.19</v>
      </c>
      <c r="E6311" t="s">
        <v>9</v>
      </c>
      <c r="F6311">
        <v>58.08</v>
      </c>
      <c r="G6311" t="s">
        <v>10</v>
      </c>
      <c r="H6311" t="s">
        <v>11</v>
      </c>
    </row>
    <row r="6312" spans="1:8" x14ac:dyDescent="0.25">
      <c r="A6312" s="1">
        <v>45665.916666666664</v>
      </c>
      <c r="B6312" t="s">
        <v>34</v>
      </c>
      <c r="C6312">
        <v>138.6</v>
      </c>
      <c r="D6312">
        <v>19.8</v>
      </c>
      <c r="E6312" t="s">
        <v>9</v>
      </c>
      <c r="F6312">
        <v>32.74</v>
      </c>
      <c r="G6312" t="s">
        <v>10</v>
      </c>
      <c r="H6312" t="s">
        <v>13</v>
      </c>
    </row>
    <row r="6313" spans="1:8" x14ac:dyDescent="0.25">
      <c r="A6313" s="1">
        <v>45665.958333333336</v>
      </c>
      <c r="B6313" t="s">
        <v>34</v>
      </c>
      <c r="C6313">
        <v>372.38</v>
      </c>
      <c r="D6313">
        <v>27.34</v>
      </c>
      <c r="E6313" t="s">
        <v>9</v>
      </c>
      <c r="F6313">
        <v>45.42</v>
      </c>
      <c r="G6313" t="s">
        <v>10</v>
      </c>
      <c r="H6313" t="s">
        <v>13</v>
      </c>
    </row>
    <row r="6314" spans="1:8" x14ac:dyDescent="0.25">
      <c r="A6314" s="1">
        <v>45666</v>
      </c>
      <c r="B6314" t="s">
        <v>34</v>
      </c>
      <c r="C6314">
        <v>293.91000000000003</v>
      </c>
      <c r="D6314">
        <v>42.58</v>
      </c>
      <c r="E6314" t="s">
        <v>9</v>
      </c>
      <c r="F6314">
        <v>81.03</v>
      </c>
      <c r="G6314" t="s">
        <v>10</v>
      </c>
      <c r="H6314" t="s">
        <v>13</v>
      </c>
    </row>
    <row r="6315" spans="1:8" x14ac:dyDescent="0.25">
      <c r="A6315" s="1">
        <v>45666.041666666664</v>
      </c>
      <c r="B6315" t="s">
        <v>34</v>
      </c>
      <c r="C6315">
        <v>96.47</v>
      </c>
      <c r="D6315">
        <v>51.28</v>
      </c>
      <c r="E6315" t="s">
        <v>9</v>
      </c>
      <c r="F6315">
        <v>55.14</v>
      </c>
      <c r="G6315" t="s">
        <v>10</v>
      </c>
      <c r="H6315" t="s">
        <v>12</v>
      </c>
    </row>
    <row r="6316" spans="1:8" x14ac:dyDescent="0.25">
      <c r="A6316" s="1">
        <v>45666.083333333336</v>
      </c>
      <c r="B6316" t="s">
        <v>34</v>
      </c>
      <c r="C6316">
        <v>197.95</v>
      </c>
      <c r="D6316">
        <v>94.77</v>
      </c>
      <c r="E6316" t="s">
        <v>14</v>
      </c>
      <c r="F6316">
        <v>43.43</v>
      </c>
      <c r="G6316" t="s">
        <v>10</v>
      </c>
      <c r="H6316" t="s">
        <v>12</v>
      </c>
    </row>
    <row r="6317" spans="1:8" x14ac:dyDescent="0.25">
      <c r="A6317" s="1">
        <v>45666.125</v>
      </c>
      <c r="B6317" t="s">
        <v>34</v>
      </c>
      <c r="C6317">
        <v>338.69</v>
      </c>
      <c r="D6317">
        <v>90.88</v>
      </c>
      <c r="E6317" t="s">
        <v>14</v>
      </c>
      <c r="F6317">
        <v>53.02</v>
      </c>
      <c r="G6317" t="s">
        <v>10</v>
      </c>
      <c r="H6317" t="s">
        <v>11</v>
      </c>
    </row>
    <row r="6318" spans="1:8" x14ac:dyDescent="0.25">
      <c r="A6318" s="1">
        <v>45666.166666666664</v>
      </c>
      <c r="B6318" t="s">
        <v>34</v>
      </c>
      <c r="C6318">
        <v>271.19</v>
      </c>
      <c r="D6318">
        <v>73.06</v>
      </c>
      <c r="E6318" t="s">
        <v>9</v>
      </c>
      <c r="F6318">
        <v>52.62</v>
      </c>
      <c r="G6318" t="s">
        <v>10</v>
      </c>
      <c r="H6318" t="s">
        <v>12</v>
      </c>
    </row>
    <row r="6319" spans="1:8" x14ac:dyDescent="0.25">
      <c r="A6319" s="1">
        <v>45666.208333333336</v>
      </c>
      <c r="B6319" t="s">
        <v>34</v>
      </c>
      <c r="C6319">
        <v>190.48</v>
      </c>
      <c r="D6319">
        <v>49.19</v>
      </c>
      <c r="E6319" t="s">
        <v>9</v>
      </c>
      <c r="F6319">
        <v>65.61</v>
      </c>
      <c r="G6319" t="s">
        <v>10</v>
      </c>
      <c r="H6319" t="s">
        <v>11</v>
      </c>
    </row>
    <row r="6320" spans="1:8" x14ac:dyDescent="0.25">
      <c r="A6320" s="1">
        <v>45666.25</v>
      </c>
      <c r="B6320" t="s">
        <v>34</v>
      </c>
      <c r="C6320">
        <v>163.91</v>
      </c>
      <c r="D6320">
        <v>70.83</v>
      </c>
      <c r="E6320" t="s">
        <v>9</v>
      </c>
      <c r="F6320">
        <v>85.4</v>
      </c>
      <c r="G6320" t="s">
        <v>10</v>
      </c>
      <c r="H6320" t="s">
        <v>11</v>
      </c>
    </row>
    <row r="6321" spans="1:8" x14ac:dyDescent="0.25">
      <c r="A6321" s="1">
        <v>45666.291666666664</v>
      </c>
      <c r="B6321" t="s">
        <v>34</v>
      </c>
      <c r="C6321">
        <v>87.9</v>
      </c>
      <c r="D6321">
        <v>52</v>
      </c>
      <c r="E6321" t="s">
        <v>9</v>
      </c>
      <c r="F6321">
        <v>56.12</v>
      </c>
      <c r="G6321" t="s">
        <v>10</v>
      </c>
      <c r="H6321" t="s">
        <v>13</v>
      </c>
    </row>
    <row r="6322" spans="1:8" x14ac:dyDescent="0.25">
      <c r="A6322" s="1">
        <v>45666.333333333336</v>
      </c>
      <c r="B6322" t="s">
        <v>34</v>
      </c>
      <c r="C6322">
        <v>51.6</v>
      </c>
      <c r="D6322">
        <v>86.77</v>
      </c>
      <c r="E6322" t="s">
        <v>14</v>
      </c>
      <c r="F6322">
        <v>43.07</v>
      </c>
      <c r="G6322" t="s">
        <v>10</v>
      </c>
      <c r="H6322" t="s">
        <v>12</v>
      </c>
    </row>
    <row r="6323" spans="1:8" x14ac:dyDescent="0.25">
      <c r="A6323" s="1">
        <v>45666.375</v>
      </c>
      <c r="B6323" t="s">
        <v>34</v>
      </c>
      <c r="C6323">
        <v>156.44999999999999</v>
      </c>
      <c r="D6323">
        <v>31.32</v>
      </c>
      <c r="E6323" t="s">
        <v>9</v>
      </c>
      <c r="F6323">
        <v>50.96</v>
      </c>
      <c r="G6323" t="s">
        <v>10</v>
      </c>
      <c r="H6323" t="s">
        <v>11</v>
      </c>
    </row>
    <row r="6324" spans="1:8" x14ac:dyDescent="0.25">
      <c r="A6324" s="1">
        <v>45666.416666666664</v>
      </c>
      <c r="B6324" t="s">
        <v>34</v>
      </c>
      <c r="C6324">
        <v>378.54</v>
      </c>
      <c r="D6324">
        <v>70.569999999999993</v>
      </c>
      <c r="E6324" t="s">
        <v>9</v>
      </c>
      <c r="F6324">
        <v>75.650000000000006</v>
      </c>
      <c r="G6324" t="s">
        <v>10</v>
      </c>
      <c r="H6324" t="s">
        <v>12</v>
      </c>
    </row>
    <row r="6325" spans="1:8" x14ac:dyDescent="0.25">
      <c r="A6325" s="1">
        <v>45666.458333333336</v>
      </c>
      <c r="B6325" t="s">
        <v>34</v>
      </c>
      <c r="C6325">
        <v>129.16999999999999</v>
      </c>
      <c r="D6325">
        <v>51.66</v>
      </c>
      <c r="E6325" t="s">
        <v>9</v>
      </c>
      <c r="F6325">
        <v>68.87</v>
      </c>
      <c r="G6325" t="s">
        <v>10</v>
      </c>
      <c r="H6325" t="s">
        <v>13</v>
      </c>
    </row>
    <row r="6326" spans="1:8" x14ac:dyDescent="0.25">
      <c r="A6326" s="1">
        <v>45666.5</v>
      </c>
      <c r="B6326" t="s">
        <v>34</v>
      </c>
      <c r="C6326">
        <v>114.32</v>
      </c>
      <c r="D6326">
        <v>81.5</v>
      </c>
      <c r="E6326" t="s">
        <v>9</v>
      </c>
      <c r="F6326">
        <v>37.83</v>
      </c>
      <c r="G6326" t="s">
        <v>10</v>
      </c>
      <c r="H6326" t="s">
        <v>11</v>
      </c>
    </row>
    <row r="6327" spans="1:8" x14ac:dyDescent="0.25">
      <c r="A6327" s="1">
        <v>45666.541666666664</v>
      </c>
      <c r="B6327" t="s">
        <v>34</v>
      </c>
      <c r="C6327">
        <v>118.31</v>
      </c>
      <c r="D6327">
        <v>37.85</v>
      </c>
      <c r="E6327" t="s">
        <v>9</v>
      </c>
      <c r="F6327">
        <v>76.06</v>
      </c>
      <c r="G6327" t="s">
        <v>10</v>
      </c>
      <c r="H6327" t="s">
        <v>12</v>
      </c>
    </row>
    <row r="6328" spans="1:8" x14ac:dyDescent="0.25">
      <c r="A6328" s="1">
        <v>45666.583333333336</v>
      </c>
      <c r="B6328" t="s">
        <v>34</v>
      </c>
      <c r="C6328">
        <v>192.39</v>
      </c>
      <c r="D6328">
        <v>78.930000000000007</v>
      </c>
      <c r="E6328" t="s">
        <v>9</v>
      </c>
      <c r="F6328">
        <v>55.29</v>
      </c>
      <c r="G6328" t="s">
        <v>10</v>
      </c>
      <c r="H6328" t="s">
        <v>13</v>
      </c>
    </row>
    <row r="6329" spans="1:8" x14ac:dyDescent="0.25">
      <c r="A6329" s="1">
        <v>45666.625</v>
      </c>
      <c r="B6329" t="s">
        <v>34</v>
      </c>
      <c r="C6329">
        <v>231.97</v>
      </c>
      <c r="D6329">
        <v>58.68</v>
      </c>
      <c r="E6329" t="s">
        <v>9</v>
      </c>
      <c r="F6329">
        <v>33.75</v>
      </c>
      <c r="G6329" t="s">
        <v>10</v>
      </c>
      <c r="H6329" t="s">
        <v>11</v>
      </c>
    </row>
    <row r="6330" spans="1:8" x14ac:dyDescent="0.25">
      <c r="A6330" s="1">
        <v>45666.666666666664</v>
      </c>
      <c r="B6330" t="s">
        <v>34</v>
      </c>
      <c r="C6330">
        <v>226.53</v>
      </c>
      <c r="D6330">
        <v>74.010000000000005</v>
      </c>
      <c r="E6330" t="s">
        <v>9</v>
      </c>
      <c r="F6330">
        <v>43.49</v>
      </c>
      <c r="G6330" t="s">
        <v>10</v>
      </c>
      <c r="H6330" t="s">
        <v>13</v>
      </c>
    </row>
    <row r="6331" spans="1:8" x14ac:dyDescent="0.25">
      <c r="A6331" s="1">
        <v>45666.708333333336</v>
      </c>
      <c r="B6331" t="s">
        <v>34</v>
      </c>
      <c r="C6331">
        <v>119.05</v>
      </c>
      <c r="D6331">
        <v>22.32</v>
      </c>
      <c r="E6331" t="s">
        <v>9</v>
      </c>
      <c r="F6331">
        <v>61.39</v>
      </c>
      <c r="G6331" t="s">
        <v>10</v>
      </c>
      <c r="H6331" t="s">
        <v>11</v>
      </c>
    </row>
    <row r="6332" spans="1:8" x14ac:dyDescent="0.25">
      <c r="A6332" s="1">
        <v>45666.75</v>
      </c>
      <c r="B6332" t="s">
        <v>34</v>
      </c>
      <c r="C6332">
        <v>101.02</v>
      </c>
      <c r="D6332">
        <v>88.34</v>
      </c>
      <c r="E6332" t="s">
        <v>14</v>
      </c>
      <c r="F6332">
        <v>43.55</v>
      </c>
      <c r="G6332" t="s">
        <v>10</v>
      </c>
      <c r="H6332" t="s">
        <v>12</v>
      </c>
    </row>
    <row r="6333" spans="1:8" x14ac:dyDescent="0.25">
      <c r="A6333" s="1">
        <v>45666.791666666664</v>
      </c>
      <c r="B6333" t="s">
        <v>34</v>
      </c>
      <c r="C6333">
        <v>141.21</v>
      </c>
      <c r="D6333">
        <v>27.73</v>
      </c>
      <c r="E6333" t="s">
        <v>9</v>
      </c>
      <c r="F6333">
        <v>35.44</v>
      </c>
      <c r="G6333" t="s">
        <v>10</v>
      </c>
      <c r="H6333" t="s">
        <v>13</v>
      </c>
    </row>
    <row r="6334" spans="1:8" x14ac:dyDescent="0.25">
      <c r="A6334" s="1">
        <v>45666.833333333336</v>
      </c>
      <c r="B6334" t="s">
        <v>34</v>
      </c>
      <c r="C6334">
        <v>230.57</v>
      </c>
      <c r="D6334">
        <v>35.4</v>
      </c>
      <c r="E6334" t="s">
        <v>9</v>
      </c>
      <c r="F6334">
        <v>64.290000000000006</v>
      </c>
      <c r="G6334" t="s">
        <v>10</v>
      </c>
      <c r="H6334" t="s">
        <v>13</v>
      </c>
    </row>
    <row r="6335" spans="1:8" x14ac:dyDescent="0.25">
      <c r="A6335" s="1">
        <v>45666.875</v>
      </c>
      <c r="B6335" t="s">
        <v>34</v>
      </c>
      <c r="C6335">
        <v>216.95</v>
      </c>
      <c r="D6335">
        <v>27.52</v>
      </c>
      <c r="E6335" t="s">
        <v>9</v>
      </c>
      <c r="F6335">
        <v>46.44</v>
      </c>
      <c r="G6335" t="s">
        <v>10</v>
      </c>
      <c r="H6335" t="s">
        <v>12</v>
      </c>
    </row>
    <row r="6336" spans="1:8" x14ac:dyDescent="0.25">
      <c r="A6336" s="1">
        <v>45666.916666666664</v>
      </c>
      <c r="B6336" t="s">
        <v>34</v>
      </c>
      <c r="C6336">
        <v>142.83000000000001</v>
      </c>
      <c r="D6336">
        <v>46.63</v>
      </c>
      <c r="E6336" t="s">
        <v>9</v>
      </c>
      <c r="F6336">
        <v>56.25</v>
      </c>
      <c r="G6336" t="s">
        <v>10</v>
      </c>
      <c r="H6336" t="s">
        <v>12</v>
      </c>
    </row>
    <row r="6337" spans="1:8" x14ac:dyDescent="0.25">
      <c r="A6337" s="1">
        <v>45666.958333333336</v>
      </c>
      <c r="B6337" t="s">
        <v>34</v>
      </c>
      <c r="C6337">
        <v>351.18</v>
      </c>
      <c r="D6337">
        <v>76.959999999999994</v>
      </c>
      <c r="E6337" t="s">
        <v>9</v>
      </c>
      <c r="F6337">
        <v>72.61</v>
      </c>
      <c r="G6337" t="s">
        <v>10</v>
      </c>
      <c r="H6337" t="s">
        <v>13</v>
      </c>
    </row>
    <row r="6338" spans="1:8" x14ac:dyDescent="0.25">
      <c r="A6338" s="1">
        <v>45667</v>
      </c>
      <c r="B6338" t="s">
        <v>34</v>
      </c>
      <c r="C6338">
        <v>102.15</v>
      </c>
      <c r="D6338">
        <v>57.94</v>
      </c>
      <c r="E6338" t="s">
        <v>9</v>
      </c>
      <c r="F6338">
        <v>41.93</v>
      </c>
      <c r="G6338" t="s">
        <v>10</v>
      </c>
      <c r="H6338" t="s">
        <v>13</v>
      </c>
    </row>
    <row r="6339" spans="1:8" x14ac:dyDescent="0.25">
      <c r="A6339" s="1">
        <v>45667.041666666664</v>
      </c>
      <c r="B6339" t="s">
        <v>34</v>
      </c>
      <c r="C6339">
        <v>125.04</v>
      </c>
      <c r="D6339">
        <v>26.67</v>
      </c>
      <c r="E6339" t="s">
        <v>9</v>
      </c>
      <c r="F6339">
        <v>32.93</v>
      </c>
      <c r="G6339" t="s">
        <v>10</v>
      </c>
      <c r="H6339" t="s">
        <v>13</v>
      </c>
    </row>
    <row r="6340" spans="1:8" x14ac:dyDescent="0.25">
      <c r="A6340" s="1">
        <v>45667.083333333336</v>
      </c>
      <c r="B6340" t="s">
        <v>34</v>
      </c>
      <c r="C6340">
        <v>490.42</v>
      </c>
      <c r="D6340">
        <v>75.430000000000007</v>
      </c>
      <c r="E6340" t="s">
        <v>9</v>
      </c>
      <c r="F6340">
        <v>33.46</v>
      </c>
      <c r="G6340" t="s">
        <v>10</v>
      </c>
      <c r="H6340" t="s">
        <v>12</v>
      </c>
    </row>
    <row r="6341" spans="1:8" x14ac:dyDescent="0.25">
      <c r="A6341" s="1">
        <v>45667.125</v>
      </c>
      <c r="B6341" t="s">
        <v>34</v>
      </c>
      <c r="C6341">
        <v>303.18</v>
      </c>
      <c r="D6341">
        <v>70.319999999999993</v>
      </c>
      <c r="E6341" t="s">
        <v>9</v>
      </c>
      <c r="F6341">
        <v>59.87</v>
      </c>
      <c r="G6341" t="s">
        <v>10</v>
      </c>
      <c r="H6341" t="s">
        <v>12</v>
      </c>
    </row>
    <row r="6342" spans="1:8" x14ac:dyDescent="0.25">
      <c r="A6342" s="1">
        <v>45667.166666666664</v>
      </c>
      <c r="B6342" t="s">
        <v>34</v>
      </c>
      <c r="C6342">
        <v>227.91</v>
      </c>
      <c r="D6342">
        <v>54.73</v>
      </c>
      <c r="E6342" t="s">
        <v>9</v>
      </c>
      <c r="F6342">
        <v>41.2</v>
      </c>
      <c r="G6342" t="s">
        <v>10</v>
      </c>
      <c r="H6342" t="s">
        <v>13</v>
      </c>
    </row>
    <row r="6343" spans="1:8" x14ac:dyDescent="0.25">
      <c r="A6343" s="1">
        <v>45667.208333333336</v>
      </c>
      <c r="B6343" t="s">
        <v>34</v>
      </c>
      <c r="C6343">
        <v>192.92</v>
      </c>
      <c r="D6343">
        <v>19.13</v>
      </c>
      <c r="E6343" t="s">
        <v>9</v>
      </c>
      <c r="F6343">
        <v>40.04</v>
      </c>
      <c r="G6343" t="s">
        <v>10</v>
      </c>
      <c r="H6343" t="s">
        <v>12</v>
      </c>
    </row>
    <row r="6344" spans="1:8" x14ac:dyDescent="0.25">
      <c r="A6344" s="1">
        <v>45667.25</v>
      </c>
      <c r="B6344" t="s">
        <v>34</v>
      </c>
      <c r="C6344">
        <v>313.99</v>
      </c>
      <c r="D6344">
        <v>77.09</v>
      </c>
      <c r="E6344" t="s">
        <v>9</v>
      </c>
      <c r="F6344">
        <v>78.53</v>
      </c>
      <c r="G6344" t="s">
        <v>10</v>
      </c>
      <c r="H6344" t="s">
        <v>11</v>
      </c>
    </row>
    <row r="6345" spans="1:8" x14ac:dyDescent="0.25">
      <c r="A6345" s="1">
        <v>45667.291666666664</v>
      </c>
      <c r="B6345" t="s">
        <v>34</v>
      </c>
      <c r="C6345">
        <v>264.97000000000003</v>
      </c>
      <c r="D6345">
        <v>83.59</v>
      </c>
      <c r="E6345" t="s">
        <v>9</v>
      </c>
      <c r="F6345">
        <v>86.2</v>
      </c>
      <c r="G6345" t="s">
        <v>10</v>
      </c>
      <c r="H6345" t="s">
        <v>13</v>
      </c>
    </row>
    <row r="6346" spans="1:8" x14ac:dyDescent="0.25">
      <c r="A6346" s="1">
        <v>45667.333333333336</v>
      </c>
      <c r="B6346" t="s">
        <v>34</v>
      </c>
      <c r="C6346">
        <v>414.57</v>
      </c>
      <c r="D6346">
        <v>81.319999999999993</v>
      </c>
      <c r="E6346" t="s">
        <v>9</v>
      </c>
      <c r="F6346">
        <v>33.26</v>
      </c>
      <c r="G6346" t="s">
        <v>10</v>
      </c>
      <c r="H6346" t="s">
        <v>11</v>
      </c>
    </row>
    <row r="6347" spans="1:8" x14ac:dyDescent="0.25">
      <c r="A6347" s="1">
        <v>45667.375</v>
      </c>
      <c r="B6347" t="s">
        <v>34</v>
      </c>
      <c r="C6347">
        <v>320.99</v>
      </c>
      <c r="D6347">
        <v>16.61</v>
      </c>
      <c r="E6347" t="s">
        <v>9</v>
      </c>
      <c r="F6347">
        <v>31.97</v>
      </c>
      <c r="G6347" t="s">
        <v>10</v>
      </c>
      <c r="H6347" t="s">
        <v>11</v>
      </c>
    </row>
    <row r="6348" spans="1:8" x14ac:dyDescent="0.25">
      <c r="A6348" s="1">
        <v>45667.416666666664</v>
      </c>
      <c r="B6348" t="s">
        <v>34</v>
      </c>
      <c r="C6348">
        <v>215.18</v>
      </c>
      <c r="D6348">
        <v>85.35</v>
      </c>
      <c r="E6348" t="s">
        <v>14</v>
      </c>
      <c r="F6348">
        <v>78.03</v>
      </c>
      <c r="G6348" t="s">
        <v>10</v>
      </c>
      <c r="H6348" t="s">
        <v>12</v>
      </c>
    </row>
    <row r="6349" spans="1:8" x14ac:dyDescent="0.25">
      <c r="A6349" s="1">
        <v>45667.458333333336</v>
      </c>
      <c r="B6349" t="s">
        <v>34</v>
      </c>
      <c r="C6349">
        <v>491.81</v>
      </c>
      <c r="D6349">
        <v>81.66</v>
      </c>
      <c r="E6349" t="s">
        <v>9</v>
      </c>
      <c r="F6349">
        <v>54.79</v>
      </c>
      <c r="G6349" t="s">
        <v>10</v>
      </c>
      <c r="H6349" t="s">
        <v>12</v>
      </c>
    </row>
    <row r="6350" spans="1:8" x14ac:dyDescent="0.25">
      <c r="A6350" s="1">
        <v>45667.5</v>
      </c>
      <c r="B6350" t="s">
        <v>34</v>
      </c>
      <c r="C6350">
        <v>150.34</v>
      </c>
      <c r="D6350">
        <v>51.84</v>
      </c>
      <c r="E6350" t="s">
        <v>9</v>
      </c>
      <c r="F6350">
        <v>79.040000000000006</v>
      </c>
      <c r="G6350" t="s">
        <v>10</v>
      </c>
      <c r="H6350" t="s">
        <v>12</v>
      </c>
    </row>
    <row r="6351" spans="1:8" x14ac:dyDescent="0.25">
      <c r="A6351" s="1">
        <v>45667.541666666664</v>
      </c>
      <c r="B6351" t="s">
        <v>34</v>
      </c>
      <c r="C6351">
        <v>330.2</v>
      </c>
      <c r="D6351">
        <v>53.24</v>
      </c>
      <c r="E6351" t="s">
        <v>9</v>
      </c>
      <c r="F6351">
        <v>40.590000000000003</v>
      </c>
      <c r="G6351" t="s">
        <v>10</v>
      </c>
      <c r="H6351" t="s">
        <v>12</v>
      </c>
    </row>
    <row r="6352" spans="1:8" x14ac:dyDescent="0.25">
      <c r="A6352" s="1">
        <v>45667.583333333336</v>
      </c>
      <c r="B6352" t="s">
        <v>34</v>
      </c>
      <c r="C6352">
        <v>257.58999999999997</v>
      </c>
      <c r="D6352">
        <v>14.77</v>
      </c>
      <c r="E6352" t="s">
        <v>9</v>
      </c>
      <c r="F6352">
        <v>42.73</v>
      </c>
      <c r="G6352" t="s">
        <v>10</v>
      </c>
      <c r="H6352" t="s">
        <v>12</v>
      </c>
    </row>
    <row r="6353" spans="1:8" x14ac:dyDescent="0.25">
      <c r="A6353" s="1">
        <v>45667.625</v>
      </c>
      <c r="B6353" t="s">
        <v>34</v>
      </c>
      <c r="C6353">
        <v>217.73</v>
      </c>
      <c r="D6353">
        <v>17.29</v>
      </c>
      <c r="E6353" t="s">
        <v>9</v>
      </c>
      <c r="F6353">
        <v>43.95</v>
      </c>
      <c r="G6353" t="s">
        <v>10</v>
      </c>
      <c r="H6353" t="s">
        <v>12</v>
      </c>
    </row>
    <row r="6354" spans="1:8" x14ac:dyDescent="0.25">
      <c r="A6354" s="1">
        <v>45667.666666666664</v>
      </c>
      <c r="B6354" t="s">
        <v>34</v>
      </c>
      <c r="C6354">
        <v>342.45</v>
      </c>
      <c r="D6354">
        <v>95</v>
      </c>
      <c r="E6354" t="s">
        <v>14</v>
      </c>
      <c r="F6354">
        <v>65.72</v>
      </c>
      <c r="G6354" t="s">
        <v>10</v>
      </c>
      <c r="H6354" t="s">
        <v>13</v>
      </c>
    </row>
    <row r="6355" spans="1:8" x14ac:dyDescent="0.25">
      <c r="A6355" s="1">
        <v>45667.708333333336</v>
      </c>
      <c r="B6355" t="s">
        <v>34</v>
      </c>
      <c r="C6355">
        <v>341.21</v>
      </c>
      <c r="D6355">
        <v>51.76</v>
      </c>
      <c r="E6355" t="s">
        <v>9</v>
      </c>
      <c r="F6355">
        <v>68.66</v>
      </c>
      <c r="G6355" t="s">
        <v>10</v>
      </c>
      <c r="H6355" t="s">
        <v>13</v>
      </c>
    </row>
    <row r="6356" spans="1:8" x14ac:dyDescent="0.25">
      <c r="A6356" s="1">
        <v>45667.75</v>
      </c>
      <c r="B6356" t="s">
        <v>34</v>
      </c>
      <c r="C6356">
        <v>427.32</v>
      </c>
      <c r="D6356">
        <v>70.86</v>
      </c>
      <c r="E6356" t="s">
        <v>9</v>
      </c>
      <c r="F6356">
        <v>49.8</v>
      </c>
      <c r="G6356" t="s">
        <v>10</v>
      </c>
      <c r="H6356" t="s">
        <v>11</v>
      </c>
    </row>
    <row r="6357" spans="1:8" x14ac:dyDescent="0.25">
      <c r="A6357" s="1">
        <v>45667.791666666664</v>
      </c>
      <c r="B6357" t="s">
        <v>34</v>
      </c>
      <c r="C6357">
        <v>162</v>
      </c>
      <c r="D6357">
        <v>66.290000000000006</v>
      </c>
      <c r="E6357" t="s">
        <v>9</v>
      </c>
      <c r="F6357">
        <v>35.24</v>
      </c>
      <c r="G6357" t="s">
        <v>10</v>
      </c>
      <c r="H6357" t="s">
        <v>11</v>
      </c>
    </row>
    <row r="6358" spans="1:8" x14ac:dyDescent="0.25">
      <c r="A6358" s="1">
        <v>45667.833333333336</v>
      </c>
      <c r="B6358" t="s">
        <v>34</v>
      </c>
      <c r="C6358">
        <v>439.3</v>
      </c>
      <c r="D6358">
        <v>79.39</v>
      </c>
      <c r="E6358" t="s">
        <v>9</v>
      </c>
      <c r="F6358">
        <v>69.34</v>
      </c>
      <c r="G6358" t="s">
        <v>10</v>
      </c>
      <c r="H6358" t="s">
        <v>12</v>
      </c>
    </row>
    <row r="6359" spans="1:8" x14ac:dyDescent="0.25">
      <c r="A6359" s="1">
        <v>45667.875</v>
      </c>
      <c r="B6359" t="s">
        <v>34</v>
      </c>
      <c r="C6359">
        <v>391.62</v>
      </c>
      <c r="D6359">
        <v>30.97</v>
      </c>
      <c r="E6359" t="s">
        <v>9</v>
      </c>
      <c r="F6359">
        <v>35.6</v>
      </c>
      <c r="G6359" t="s">
        <v>10</v>
      </c>
      <c r="H6359" t="s">
        <v>11</v>
      </c>
    </row>
    <row r="6360" spans="1:8" x14ac:dyDescent="0.25">
      <c r="A6360" s="1">
        <v>45667.916666666664</v>
      </c>
      <c r="B6360" t="s">
        <v>34</v>
      </c>
      <c r="C6360">
        <v>482.78</v>
      </c>
      <c r="D6360">
        <v>33.549999999999997</v>
      </c>
      <c r="E6360" t="s">
        <v>9</v>
      </c>
      <c r="F6360">
        <v>75.73</v>
      </c>
      <c r="G6360" t="s">
        <v>10</v>
      </c>
      <c r="H6360" t="s">
        <v>12</v>
      </c>
    </row>
    <row r="6361" spans="1:8" x14ac:dyDescent="0.25">
      <c r="A6361" s="1">
        <v>45667.958333333336</v>
      </c>
      <c r="B6361" t="s">
        <v>34</v>
      </c>
      <c r="C6361">
        <v>258.08999999999997</v>
      </c>
      <c r="D6361">
        <v>57.97</v>
      </c>
      <c r="E6361" t="s">
        <v>9</v>
      </c>
      <c r="F6361">
        <v>88.92</v>
      </c>
      <c r="G6361" t="s">
        <v>10</v>
      </c>
      <c r="H6361" t="s">
        <v>12</v>
      </c>
    </row>
    <row r="6362" spans="1:8" x14ac:dyDescent="0.25">
      <c r="A6362" s="1">
        <v>45668</v>
      </c>
      <c r="B6362" t="s">
        <v>34</v>
      </c>
      <c r="C6362">
        <v>174.26</v>
      </c>
      <c r="D6362">
        <v>86.68</v>
      </c>
      <c r="E6362" t="s">
        <v>14</v>
      </c>
      <c r="F6362">
        <v>44.18</v>
      </c>
      <c r="G6362" t="s">
        <v>10</v>
      </c>
      <c r="H6362" t="s">
        <v>13</v>
      </c>
    </row>
    <row r="6363" spans="1:8" x14ac:dyDescent="0.25">
      <c r="A6363" s="1">
        <v>45668.041666666664</v>
      </c>
      <c r="B6363" t="s">
        <v>34</v>
      </c>
      <c r="C6363">
        <v>102.44</v>
      </c>
      <c r="D6363">
        <v>73.2</v>
      </c>
      <c r="E6363" t="s">
        <v>9</v>
      </c>
      <c r="F6363">
        <v>52.15</v>
      </c>
      <c r="G6363" t="s">
        <v>10</v>
      </c>
      <c r="H6363" t="s">
        <v>12</v>
      </c>
    </row>
    <row r="6364" spans="1:8" x14ac:dyDescent="0.25">
      <c r="A6364" s="1">
        <v>45668.083333333336</v>
      </c>
      <c r="B6364" t="s">
        <v>34</v>
      </c>
      <c r="C6364">
        <v>450.04</v>
      </c>
      <c r="D6364">
        <v>53.24</v>
      </c>
      <c r="E6364" t="s">
        <v>9</v>
      </c>
      <c r="F6364">
        <v>83.97</v>
      </c>
      <c r="G6364" t="s">
        <v>10</v>
      </c>
      <c r="H6364" t="s">
        <v>13</v>
      </c>
    </row>
    <row r="6365" spans="1:8" x14ac:dyDescent="0.25">
      <c r="A6365" s="1">
        <v>45668.125</v>
      </c>
      <c r="B6365" t="s">
        <v>34</v>
      </c>
      <c r="C6365">
        <v>240.57</v>
      </c>
      <c r="D6365">
        <v>78.959999999999994</v>
      </c>
      <c r="E6365" t="s">
        <v>9</v>
      </c>
      <c r="F6365">
        <v>36.04</v>
      </c>
      <c r="G6365" t="s">
        <v>10</v>
      </c>
      <c r="H6365" t="s">
        <v>13</v>
      </c>
    </row>
    <row r="6366" spans="1:8" x14ac:dyDescent="0.25">
      <c r="A6366" s="1">
        <v>45668.166666666664</v>
      </c>
      <c r="B6366" t="s">
        <v>34</v>
      </c>
      <c r="C6366">
        <v>366.16</v>
      </c>
      <c r="D6366">
        <v>86.83</v>
      </c>
      <c r="E6366" t="s">
        <v>14</v>
      </c>
      <c r="F6366">
        <v>43.46</v>
      </c>
      <c r="G6366" t="s">
        <v>10</v>
      </c>
      <c r="H6366" t="s">
        <v>12</v>
      </c>
    </row>
    <row r="6367" spans="1:8" x14ac:dyDescent="0.25">
      <c r="A6367" s="1">
        <v>45668.208333333336</v>
      </c>
      <c r="B6367" t="s">
        <v>34</v>
      </c>
      <c r="C6367">
        <v>244.97</v>
      </c>
      <c r="D6367">
        <v>45</v>
      </c>
      <c r="E6367" t="s">
        <v>9</v>
      </c>
      <c r="F6367">
        <v>36.4</v>
      </c>
      <c r="G6367" t="s">
        <v>10</v>
      </c>
      <c r="H6367" t="s">
        <v>11</v>
      </c>
    </row>
    <row r="6368" spans="1:8" x14ac:dyDescent="0.25">
      <c r="A6368" s="1">
        <v>45668.25</v>
      </c>
      <c r="B6368" t="s">
        <v>34</v>
      </c>
      <c r="C6368">
        <v>344.45</v>
      </c>
      <c r="D6368">
        <v>67.28</v>
      </c>
      <c r="E6368" t="s">
        <v>9</v>
      </c>
      <c r="F6368">
        <v>44.82</v>
      </c>
      <c r="G6368" t="s">
        <v>10</v>
      </c>
      <c r="H6368" t="s">
        <v>11</v>
      </c>
    </row>
    <row r="6369" spans="1:8" x14ac:dyDescent="0.25">
      <c r="A6369" s="1">
        <v>45668.291666666664</v>
      </c>
      <c r="B6369" t="s">
        <v>34</v>
      </c>
      <c r="C6369">
        <v>422.82</v>
      </c>
      <c r="D6369">
        <v>20.53</v>
      </c>
      <c r="E6369" t="s">
        <v>9</v>
      </c>
      <c r="F6369">
        <v>67.489999999999995</v>
      </c>
      <c r="G6369" t="s">
        <v>10</v>
      </c>
      <c r="H6369" t="s">
        <v>11</v>
      </c>
    </row>
    <row r="6370" spans="1:8" x14ac:dyDescent="0.25">
      <c r="A6370" s="1">
        <v>45668.333333333336</v>
      </c>
      <c r="B6370" t="s">
        <v>34</v>
      </c>
      <c r="C6370">
        <v>184.69</v>
      </c>
      <c r="D6370">
        <v>29.35</v>
      </c>
      <c r="E6370" t="s">
        <v>9</v>
      </c>
      <c r="F6370">
        <v>34.619999999999997</v>
      </c>
      <c r="G6370" t="s">
        <v>10</v>
      </c>
      <c r="H6370" t="s">
        <v>13</v>
      </c>
    </row>
    <row r="6371" spans="1:8" x14ac:dyDescent="0.25">
      <c r="A6371" s="1">
        <v>45668.375</v>
      </c>
      <c r="B6371" t="s">
        <v>34</v>
      </c>
      <c r="C6371">
        <v>242.36</v>
      </c>
      <c r="D6371">
        <v>82.06</v>
      </c>
      <c r="E6371" t="s">
        <v>9</v>
      </c>
      <c r="F6371">
        <v>61.85</v>
      </c>
      <c r="G6371" t="s">
        <v>10</v>
      </c>
      <c r="H6371" t="s">
        <v>11</v>
      </c>
    </row>
    <row r="6372" spans="1:8" x14ac:dyDescent="0.25">
      <c r="A6372" s="1">
        <v>45668.416666666664</v>
      </c>
      <c r="B6372" t="s">
        <v>34</v>
      </c>
      <c r="C6372">
        <v>219.05</v>
      </c>
      <c r="D6372">
        <v>35.1</v>
      </c>
      <c r="E6372" t="s">
        <v>9</v>
      </c>
      <c r="F6372">
        <v>52.22</v>
      </c>
      <c r="G6372" t="s">
        <v>10</v>
      </c>
      <c r="H6372" t="s">
        <v>11</v>
      </c>
    </row>
    <row r="6373" spans="1:8" x14ac:dyDescent="0.25">
      <c r="A6373" s="1">
        <v>45668.458333333336</v>
      </c>
      <c r="B6373" t="s">
        <v>34</v>
      </c>
      <c r="C6373">
        <v>324.49</v>
      </c>
      <c r="D6373">
        <v>70.34</v>
      </c>
      <c r="E6373" t="s">
        <v>9</v>
      </c>
      <c r="F6373">
        <v>85.09</v>
      </c>
      <c r="G6373" t="s">
        <v>10</v>
      </c>
      <c r="H6373" t="s">
        <v>13</v>
      </c>
    </row>
    <row r="6374" spans="1:8" x14ac:dyDescent="0.25">
      <c r="A6374" s="1">
        <v>45668.5</v>
      </c>
      <c r="B6374" t="s">
        <v>34</v>
      </c>
      <c r="C6374">
        <v>475.83</v>
      </c>
      <c r="D6374">
        <v>29.62</v>
      </c>
      <c r="E6374" t="s">
        <v>9</v>
      </c>
      <c r="F6374">
        <v>79.680000000000007</v>
      </c>
      <c r="G6374" t="s">
        <v>10</v>
      </c>
      <c r="H6374" t="s">
        <v>13</v>
      </c>
    </row>
    <row r="6375" spans="1:8" x14ac:dyDescent="0.25">
      <c r="A6375" s="1">
        <v>45668.541666666664</v>
      </c>
      <c r="B6375" t="s">
        <v>34</v>
      </c>
      <c r="C6375">
        <v>329.99</v>
      </c>
      <c r="D6375">
        <v>85.5</v>
      </c>
      <c r="E6375" t="s">
        <v>14</v>
      </c>
      <c r="F6375">
        <v>36.07</v>
      </c>
      <c r="G6375" t="s">
        <v>10</v>
      </c>
      <c r="H6375" t="s">
        <v>12</v>
      </c>
    </row>
    <row r="6376" spans="1:8" x14ac:dyDescent="0.25">
      <c r="A6376" s="1">
        <v>45668.583333333336</v>
      </c>
      <c r="B6376" t="s">
        <v>34</v>
      </c>
      <c r="C6376">
        <v>241.52</v>
      </c>
      <c r="D6376">
        <v>53.04</v>
      </c>
      <c r="E6376" t="s">
        <v>9</v>
      </c>
      <c r="F6376">
        <v>39.130000000000003</v>
      </c>
      <c r="G6376" t="s">
        <v>10</v>
      </c>
      <c r="H6376" t="s">
        <v>13</v>
      </c>
    </row>
    <row r="6377" spans="1:8" x14ac:dyDescent="0.25">
      <c r="A6377" s="1">
        <v>45668.625</v>
      </c>
      <c r="B6377" t="s">
        <v>34</v>
      </c>
      <c r="C6377">
        <v>232.45</v>
      </c>
      <c r="D6377">
        <v>92.46</v>
      </c>
      <c r="E6377" t="s">
        <v>14</v>
      </c>
      <c r="F6377">
        <v>42.1</v>
      </c>
      <c r="G6377" t="s">
        <v>10</v>
      </c>
      <c r="H6377" t="s">
        <v>13</v>
      </c>
    </row>
    <row r="6378" spans="1:8" x14ac:dyDescent="0.25">
      <c r="A6378" s="1">
        <v>45668.666666666664</v>
      </c>
      <c r="B6378" t="s">
        <v>34</v>
      </c>
      <c r="C6378">
        <v>343.21</v>
      </c>
      <c r="D6378">
        <v>18.64</v>
      </c>
      <c r="E6378" t="s">
        <v>9</v>
      </c>
      <c r="F6378">
        <v>31.35</v>
      </c>
      <c r="G6378" t="s">
        <v>10</v>
      </c>
      <c r="H6378" t="s">
        <v>12</v>
      </c>
    </row>
    <row r="6379" spans="1:8" x14ac:dyDescent="0.25">
      <c r="A6379" s="1">
        <v>45668.708333333336</v>
      </c>
      <c r="B6379" t="s">
        <v>34</v>
      </c>
      <c r="C6379">
        <v>493.59</v>
      </c>
      <c r="D6379">
        <v>54.57</v>
      </c>
      <c r="E6379" t="s">
        <v>9</v>
      </c>
      <c r="F6379">
        <v>60.99</v>
      </c>
      <c r="G6379" t="s">
        <v>10</v>
      </c>
      <c r="H6379" t="s">
        <v>12</v>
      </c>
    </row>
    <row r="6380" spans="1:8" x14ac:dyDescent="0.25">
      <c r="A6380" s="1">
        <v>45668.75</v>
      </c>
      <c r="B6380" t="s">
        <v>34</v>
      </c>
      <c r="C6380">
        <v>412.95</v>
      </c>
      <c r="D6380">
        <v>22.06</v>
      </c>
      <c r="E6380" t="s">
        <v>9</v>
      </c>
      <c r="F6380">
        <v>64.63</v>
      </c>
      <c r="G6380" t="s">
        <v>10</v>
      </c>
      <c r="H6380" t="s">
        <v>13</v>
      </c>
    </row>
    <row r="6381" spans="1:8" x14ac:dyDescent="0.25">
      <c r="A6381" s="1">
        <v>45668.791666666664</v>
      </c>
      <c r="B6381" t="s">
        <v>34</v>
      </c>
      <c r="C6381">
        <v>237.01</v>
      </c>
      <c r="D6381">
        <v>66.11</v>
      </c>
      <c r="E6381" t="s">
        <v>9</v>
      </c>
      <c r="F6381">
        <v>69.73</v>
      </c>
      <c r="G6381" t="s">
        <v>10</v>
      </c>
      <c r="H6381" t="s">
        <v>11</v>
      </c>
    </row>
    <row r="6382" spans="1:8" x14ac:dyDescent="0.25">
      <c r="A6382" s="1">
        <v>45668.833333333336</v>
      </c>
      <c r="B6382" t="s">
        <v>34</v>
      </c>
      <c r="C6382">
        <v>204.13</v>
      </c>
      <c r="D6382">
        <v>56.21</v>
      </c>
      <c r="E6382" t="s">
        <v>9</v>
      </c>
      <c r="F6382">
        <v>45.54</v>
      </c>
      <c r="G6382" t="s">
        <v>10</v>
      </c>
      <c r="H6382" t="s">
        <v>12</v>
      </c>
    </row>
    <row r="6383" spans="1:8" x14ac:dyDescent="0.25">
      <c r="A6383" s="1">
        <v>45668.875</v>
      </c>
      <c r="B6383" t="s">
        <v>34</v>
      </c>
      <c r="C6383">
        <v>124.61</v>
      </c>
      <c r="D6383">
        <v>39.36</v>
      </c>
      <c r="E6383" t="s">
        <v>9</v>
      </c>
      <c r="F6383">
        <v>42.74</v>
      </c>
      <c r="G6383" t="s">
        <v>10</v>
      </c>
      <c r="H6383" t="s">
        <v>12</v>
      </c>
    </row>
    <row r="6384" spans="1:8" x14ac:dyDescent="0.25">
      <c r="A6384" s="1">
        <v>45668.916666666664</v>
      </c>
      <c r="B6384" t="s">
        <v>34</v>
      </c>
      <c r="C6384">
        <v>77.02</v>
      </c>
      <c r="D6384">
        <v>58.95</v>
      </c>
      <c r="E6384" t="s">
        <v>9</v>
      </c>
      <c r="F6384">
        <v>55.87</v>
      </c>
      <c r="G6384" t="s">
        <v>10</v>
      </c>
      <c r="H6384" t="s">
        <v>12</v>
      </c>
    </row>
    <row r="6385" spans="1:8" x14ac:dyDescent="0.25">
      <c r="A6385" s="1">
        <v>45668.958333333336</v>
      </c>
      <c r="B6385" t="s">
        <v>34</v>
      </c>
      <c r="C6385">
        <v>143.62</v>
      </c>
      <c r="D6385">
        <v>85.6</v>
      </c>
      <c r="E6385" t="s">
        <v>14</v>
      </c>
      <c r="F6385">
        <v>82.31</v>
      </c>
      <c r="G6385" t="s">
        <v>10</v>
      </c>
      <c r="H6385" t="s">
        <v>12</v>
      </c>
    </row>
    <row r="6386" spans="1:8" x14ac:dyDescent="0.25">
      <c r="A6386" s="1">
        <v>45669</v>
      </c>
      <c r="B6386" t="s">
        <v>34</v>
      </c>
      <c r="C6386">
        <v>60.08</v>
      </c>
      <c r="D6386">
        <v>81.52</v>
      </c>
      <c r="E6386" t="s">
        <v>9</v>
      </c>
      <c r="F6386">
        <v>33.340000000000003</v>
      </c>
      <c r="G6386" t="s">
        <v>10</v>
      </c>
      <c r="H6386" t="s">
        <v>13</v>
      </c>
    </row>
    <row r="6387" spans="1:8" x14ac:dyDescent="0.25">
      <c r="A6387" s="1">
        <v>45669.041666666664</v>
      </c>
      <c r="B6387" t="s">
        <v>34</v>
      </c>
      <c r="C6387">
        <v>458.6</v>
      </c>
      <c r="D6387">
        <v>60.94</v>
      </c>
      <c r="E6387" t="s">
        <v>9</v>
      </c>
      <c r="F6387">
        <v>38.340000000000003</v>
      </c>
      <c r="G6387" t="s">
        <v>10</v>
      </c>
      <c r="H6387" t="s">
        <v>13</v>
      </c>
    </row>
    <row r="6388" spans="1:8" x14ac:dyDescent="0.25">
      <c r="A6388" s="1">
        <v>45669.083333333336</v>
      </c>
      <c r="B6388" t="s">
        <v>34</v>
      </c>
      <c r="C6388">
        <v>399.72</v>
      </c>
      <c r="D6388">
        <v>75.22</v>
      </c>
      <c r="E6388" t="s">
        <v>9</v>
      </c>
      <c r="F6388">
        <v>78.97</v>
      </c>
      <c r="G6388" t="s">
        <v>10</v>
      </c>
      <c r="H6388" t="s">
        <v>12</v>
      </c>
    </row>
    <row r="6389" spans="1:8" x14ac:dyDescent="0.25">
      <c r="A6389" s="1">
        <v>45669.125</v>
      </c>
      <c r="B6389" t="s">
        <v>34</v>
      </c>
      <c r="C6389">
        <v>403.1</v>
      </c>
      <c r="D6389">
        <v>69.349999999999994</v>
      </c>
      <c r="E6389" t="s">
        <v>9</v>
      </c>
      <c r="F6389">
        <v>34.700000000000003</v>
      </c>
      <c r="G6389" t="s">
        <v>10</v>
      </c>
      <c r="H6389" t="s">
        <v>13</v>
      </c>
    </row>
    <row r="6390" spans="1:8" x14ac:dyDescent="0.25">
      <c r="A6390" s="1">
        <v>45669.166666666664</v>
      </c>
      <c r="B6390" t="s">
        <v>34</v>
      </c>
      <c r="C6390">
        <v>132.58000000000001</v>
      </c>
      <c r="D6390">
        <v>69.37</v>
      </c>
      <c r="E6390" t="s">
        <v>9</v>
      </c>
      <c r="F6390">
        <v>66.61</v>
      </c>
      <c r="G6390" t="s">
        <v>10</v>
      </c>
      <c r="H6390" t="s">
        <v>11</v>
      </c>
    </row>
    <row r="6391" spans="1:8" x14ac:dyDescent="0.25">
      <c r="A6391" s="1">
        <v>45669.208333333336</v>
      </c>
      <c r="B6391" t="s">
        <v>34</v>
      </c>
      <c r="C6391">
        <v>92.22</v>
      </c>
      <c r="D6391">
        <v>24.01</v>
      </c>
      <c r="E6391" t="s">
        <v>9</v>
      </c>
      <c r="F6391">
        <v>55.83</v>
      </c>
      <c r="G6391" t="s">
        <v>10</v>
      </c>
      <c r="H6391" t="s">
        <v>11</v>
      </c>
    </row>
    <row r="6392" spans="1:8" x14ac:dyDescent="0.25">
      <c r="A6392" s="1">
        <v>45669.25</v>
      </c>
      <c r="B6392" t="s">
        <v>34</v>
      </c>
      <c r="C6392">
        <v>396.11</v>
      </c>
      <c r="D6392">
        <v>69.53</v>
      </c>
      <c r="E6392" t="s">
        <v>9</v>
      </c>
      <c r="F6392">
        <v>78.06</v>
      </c>
      <c r="G6392" t="s">
        <v>10</v>
      </c>
      <c r="H6392" t="s">
        <v>12</v>
      </c>
    </row>
    <row r="6393" spans="1:8" x14ac:dyDescent="0.25">
      <c r="A6393" s="1">
        <v>45669.291666666664</v>
      </c>
      <c r="B6393" t="s">
        <v>34</v>
      </c>
      <c r="C6393">
        <v>372.67</v>
      </c>
      <c r="D6393">
        <v>43.32</v>
      </c>
      <c r="E6393" t="s">
        <v>9</v>
      </c>
      <c r="F6393">
        <v>51.19</v>
      </c>
      <c r="G6393" t="s">
        <v>10</v>
      </c>
      <c r="H6393" t="s">
        <v>12</v>
      </c>
    </row>
    <row r="6394" spans="1:8" x14ac:dyDescent="0.25">
      <c r="A6394" s="1">
        <v>45669.333333333336</v>
      </c>
      <c r="B6394" t="s">
        <v>34</v>
      </c>
      <c r="C6394">
        <v>401.02</v>
      </c>
      <c r="D6394">
        <v>15.17</v>
      </c>
      <c r="E6394" t="s">
        <v>9</v>
      </c>
      <c r="F6394">
        <v>38.630000000000003</v>
      </c>
      <c r="G6394" t="s">
        <v>10</v>
      </c>
      <c r="H6394" t="s">
        <v>12</v>
      </c>
    </row>
    <row r="6395" spans="1:8" x14ac:dyDescent="0.25">
      <c r="A6395" s="1">
        <v>45669.375</v>
      </c>
      <c r="B6395" t="s">
        <v>34</v>
      </c>
      <c r="C6395">
        <v>371.61</v>
      </c>
      <c r="D6395">
        <v>20.52</v>
      </c>
      <c r="E6395" t="s">
        <v>9</v>
      </c>
      <c r="F6395">
        <v>65.290000000000006</v>
      </c>
      <c r="G6395" t="s">
        <v>10</v>
      </c>
      <c r="H6395" t="s">
        <v>13</v>
      </c>
    </row>
    <row r="6396" spans="1:8" x14ac:dyDescent="0.25">
      <c r="A6396" s="1">
        <v>45669.416666666664</v>
      </c>
      <c r="B6396" t="s">
        <v>34</v>
      </c>
      <c r="C6396">
        <v>422.66</v>
      </c>
      <c r="D6396">
        <v>29.55</v>
      </c>
      <c r="E6396" t="s">
        <v>9</v>
      </c>
      <c r="F6396">
        <v>63.78</v>
      </c>
      <c r="G6396" t="s">
        <v>10</v>
      </c>
      <c r="H6396" t="s">
        <v>12</v>
      </c>
    </row>
    <row r="6397" spans="1:8" x14ac:dyDescent="0.25">
      <c r="A6397" s="1">
        <v>45669.458333333336</v>
      </c>
      <c r="B6397" t="s">
        <v>34</v>
      </c>
      <c r="C6397">
        <v>293.70999999999998</v>
      </c>
      <c r="D6397">
        <v>35.17</v>
      </c>
      <c r="E6397" t="s">
        <v>9</v>
      </c>
      <c r="F6397">
        <v>39.74</v>
      </c>
      <c r="G6397" t="s">
        <v>10</v>
      </c>
      <c r="H6397" t="s">
        <v>12</v>
      </c>
    </row>
    <row r="6398" spans="1:8" x14ac:dyDescent="0.25">
      <c r="A6398" s="1">
        <v>45669.5</v>
      </c>
      <c r="B6398" t="s">
        <v>34</v>
      </c>
      <c r="C6398">
        <v>136.53</v>
      </c>
      <c r="D6398">
        <v>21.06</v>
      </c>
      <c r="E6398" t="s">
        <v>9</v>
      </c>
      <c r="F6398">
        <v>67.63</v>
      </c>
      <c r="G6398" t="s">
        <v>10</v>
      </c>
      <c r="H6398" t="s">
        <v>12</v>
      </c>
    </row>
    <row r="6399" spans="1:8" x14ac:dyDescent="0.25">
      <c r="A6399" s="1">
        <v>45669.541666666664</v>
      </c>
      <c r="B6399" t="s">
        <v>34</v>
      </c>
      <c r="C6399">
        <v>75.64</v>
      </c>
      <c r="D6399">
        <v>44.69</v>
      </c>
      <c r="E6399" t="s">
        <v>9</v>
      </c>
      <c r="F6399">
        <v>64.819999999999993</v>
      </c>
      <c r="G6399" t="s">
        <v>10</v>
      </c>
      <c r="H6399" t="s">
        <v>13</v>
      </c>
    </row>
    <row r="6400" spans="1:8" x14ac:dyDescent="0.25">
      <c r="A6400" s="1">
        <v>45669.583333333336</v>
      </c>
      <c r="B6400" t="s">
        <v>34</v>
      </c>
      <c r="C6400">
        <v>185.21</v>
      </c>
      <c r="D6400">
        <v>94.78</v>
      </c>
      <c r="E6400" t="s">
        <v>14</v>
      </c>
      <c r="F6400">
        <v>54.35</v>
      </c>
      <c r="G6400" t="s">
        <v>10</v>
      </c>
      <c r="H6400" t="s">
        <v>12</v>
      </c>
    </row>
    <row r="6401" spans="1:8" x14ac:dyDescent="0.25">
      <c r="A6401" s="1">
        <v>45669.625</v>
      </c>
      <c r="B6401" t="s">
        <v>34</v>
      </c>
      <c r="C6401">
        <v>190.98</v>
      </c>
      <c r="D6401">
        <v>21.34</v>
      </c>
      <c r="E6401" t="s">
        <v>9</v>
      </c>
      <c r="F6401">
        <v>50.83</v>
      </c>
      <c r="G6401" t="s">
        <v>10</v>
      </c>
      <c r="H6401" t="s">
        <v>11</v>
      </c>
    </row>
    <row r="6402" spans="1:8" x14ac:dyDescent="0.25">
      <c r="A6402" s="1">
        <v>45669.666666666664</v>
      </c>
      <c r="B6402" t="s">
        <v>34</v>
      </c>
      <c r="C6402">
        <v>267.16000000000003</v>
      </c>
      <c r="D6402">
        <v>50.74</v>
      </c>
      <c r="E6402" t="s">
        <v>9</v>
      </c>
      <c r="F6402">
        <v>77.77</v>
      </c>
      <c r="G6402" t="s">
        <v>10</v>
      </c>
      <c r="H6402" t="s">
        <v>13</v>
      </c>
    </row>
    <row r="6403" spans="1:8" x14ac:dyDescent="0.25">
      <c r="A6403" s="1">
        <v>45669.708333333336</v>
      </c>
      <c r="B6403" t="s">
        <v>34</v>
      </c>
      <c r="C6403">
        <v>460.42</v>
      </c>
      <c r="D6403">
        <v>86.94</v>
      </c>
      <c r="E6403" t="s">
        <v>14</v>
      </c>
      <c r="F6403">
        <v>54.94</v>
      </c>
      <c r="G6403" t="s">
        <v>10</v>
      </c>
      <c r="H6403" t="s">
        <v>12</v>
      </c>
    </row>
    <row r="6404" spans="1:8" x14ac:dyDescent="0.25">
      <c r="A6404" s="1">
        <v>45669.75</v>
      </c>
      <c r="B6404" t="s">
        <v>34</v>
      </c>
      <c r="C6404">
        <v>78.81</v>
      </c>
      <c r="D6404">
        <v>85.75</v>
      </c>
      <c r="E6404" t="s">
        <v>14</v>
      </c>
      <c r="F6404">
        <v>48.64</v>
      </c>
      <c r="G6404" t="s">
        <v>10</v>
      </c>
      <c r="H6404" t="s">
        <v>13</v>
      </c>
    </row>
    <row r="6405" spans="1:8" x14ac:dyDescent="0.25">
      <c r="A6405" s="1">
        <v>45669.791666666664</v>
      </c>
      <c r="B6405" t="s">
        <v>34</v>
      </c>
      <c r="C6405">
        <v>70.87</v>
      </c>
      <c r="D6405">
        <v>88.07</v>
      </c>
      <c r="E6405" t="s">
        <v>14</v>
      </c>
      <c r="F6405">
        <v>35.92</v>
      </c>
      <c r="G6405" t="s">
        <v>10</v>
      </c>
      <c r="H6405" t="s">
        <v>12</v>
      </c>
    </row>
    <row r="6406" spans="1:8" x14ac:dyDescent="0.25">
      <c r="A6406" s="1">
        <v>45669.833333333336</v>
      </c>
      <c r="B6406" t="s">
        <v>34</v>
      </c>
      <c r="C6406">
        <v>251.13</v>
      </c>
      <c r="D6406">
        <v>64.290000000000006</v>
      </c>
      <c r="E6406" t="s">
        <v>9</v>
      </c>
      <c r="F6406">
        <v>66.94</v>
      </c>
      <c r="G6406" t="s">
        <v>10</v>
      </c>
      <c r="H6406" t="s">
        <v>11</v>
      </c>
    </row>
    <row r="6407" spans="1:8" x14ac:dyDescent="0.25">
      <c r="A6407" s="1">
        <v>45669.875</v>
      </c>
      <c r="B6407" t="s">
        <v>34</v>
      </c>
      <c r="C6407">
        <v>326.83</v>
      </c>
      <c r="D6407">
        <v>32.409999999999997</v>
      </c>
      <c r="E6407" t="s">
        <v>9</v>
      </c>
      <c r="F6407">
        <v>82.31</v>
      </c>
      <c r="G6407" t="s">
        <v>10</v>
      </c>
      <c r="H6407" t="s">
        <v>13</v>
      </c>
    </row>
    <row r="6408" spans="1:8" x14ac:dyDescent="0.25">
      <c r="A6408" s="1">
        <v>45669.916666666664</v>
      </c>
      <c r="B6408" t="s">
        <v>34</v>
      </c>
      <c r="C6408">
        <v>389.14</v>
      </c>
      <c r="D6408">
        <v>82.65</v>
      </c>
      <c r="E6408" t="s">
        <v>9</v>
      </c>
      <c r="F6408">
        <v>67.180000000000007</v>
      </c>
      <c r="G6408" t="s">
        <v>10</v>
      </c>
      <c r="H6408" t="s">
        <v>12</v>
      </c>
    </row>
    <row r="6409" spans="1:8" x14ac:dyDescent="0.25">
      <c r="A6409" s="1">
        <v>45669.958333333336</v>
      </c>
      <c r="B6409" t="s">
        <v>34</v>
      </c>
      <c r="C6409">
        <v>149.84</v>
      </c>
      <c r="D6409">
        <v>65.23</v>
      </c>
      <c r="E6409" t="s">
        <v>9</v>
      </c>
      <c r="F6409">
        <v>55.64</v>
      </c>
      <c r="G6409" t="s">
        <v>10</v>
      </c>
      <c r="H6409" t="s">
        <v>13</v>
      </c>
    </row>
    <row r="6410" spans="1:8" x14ac:dyDescent="0.25">
      <c r="A6410" s="1">
        <v>45670</v>
      </c>
      <c r="B6410" t="s">
        <v>34</v>
      </c>
      <c r="C6410">
        <v>450.27</v>
      </c>
      <c r="D6410">
        <v>62.11</v>
      </c>
      <c r="E6410" t="s">
        <v>9</v>
      </c>
      <c r="F6410">
        <v>85.18</v>
      </c>
      <c r="G6410" t="s">
        <v>10</v>
      </c>
      <c r="H6410" t="s">
        <v>12</v>
      </c>
    </row>
    <row r="6411" spans="1:8" x14ac:dyDescent="0.25">
      <c r="A6411" s="1">
        <v>45670.041666666664</v>
      </c>
      <c r="B6411" t="s">
        <v>34</v>
      </c>
      <c r="C6411">
        <v>243.74</v>
      </c>
      <c r="D6411">
        <v>39.85</v>
      </c>
      <c r="E6411" t="s">
        <v>9</v>
      </c>
      <c r="F6411">
        <v>86.76</v>
      </c>
      <c r="G6411" t="s">
        <v>10</v>
      </c>
      <c r="H6411" t="s">
        <v>13</v>
      </c>
    </row>
    <row r="6412" spans="1:8" x14ac:dyDescent="0.25">
      <c r="A6412" s="1">
        <v>45670.083333333336</v>
      </c>
      <c r="B6412" t="s">
        <v>34</v>
      </c>
      <c r="C6412">
        <v>340.27</v>
      </c>
      <c r="D6412">
        <v>31.95</v>
      </c>
      <c r="E6412" t="s">
        <v>9</v>
      </c>
      <c r="F6412">
        <v>38.619999999999997</v>
      </c>
      <c r="G6412" t="s">
        <v>10</v>
      </c>
      <c r="H6412" t="s">
        <v>11</v>
      </c>
    </row>
    <row r="6413" spans="1:8" x14ac:dyDescent="0.25">
      <c r="A6413" s="1">
        <v>45670.125</v>
      </c>
      <c r="B6413" t="s">
        <v>34</v>
      </c>
      <c r="C6413">
        <v>98.63</v>
      </c>
      <c r="D6413">
        <v>36.9</v>
      </c>
      <c r="E6413" t="s">
        <v>9</v>
      </c>
      <c r="F6413">
        <v>65.5</v>
      </c>
      <c r="G6413" t="s">
        <v>10</v>
      </c>
      <c r="H6413" t="s">
        <v>11</v>
      </c>
    </row>
    <row r="6414" spans="1:8" x14ac:dyDescent="0.25">
      <c r="A6414" s="1">
        <v>45670.166666666664</v>
      </c>
      <c r="B6414" t="s">
        <v>34</v>
      </c>
      <c r="C6414">
        <v>212.01</v>
      </c>
      <c r="D6414">
        <v>77.34</v>
      </c>
      <c r="E6414" t="s">
        <v>9</v>
      </c>
      <c r="F6414">
        <v>74.72</v>
      </c>
      <c r="G6414" t="s">
        <v>10</v>
      </c>
      <c r="H6414" t="s">
        <v>13</v>
      </c>
    </row>
    <row r="6415" spans="1:8" x14ac:dyDescent="0.25">
      <c r="A6415" s="1">
        <v>45670.208333333336</v>
      </c>
      <c r="B6415" t="s">
        <v>34</v>
      </c>
      <c r="C6415">
        <v>304.32</v>
      </c>
      <c r="D6415">
        <v>31.59</v>
      </c>
      <c r="E6415" t="s">
        <v>9</v>
      </c>
      <c r="F6415">
        <v>55.37</v>
      </c>
      <c r="G6415" t="s">
        <v>10</v>
      </c>
      <c r="H6415" t="s">
        <v>13</v>
      </c>
    </row>
    <row r="6416" spans="1:8" x14ac:dyDescent="0.25">
      <c r="A6416" s="1">
        <v>45670.25</v>
      </c>
      <c r="B6416" t="s">
        <v>34</v>
      </c>
      <c r="C6416">
        <v>488.14</v>
      </c>
      <c r="D6416">
        <v>20.46</v>
      </c>
      <c r="E6416" t="s">
        <v>9</v>
      </c>
      <c r="F6416">
        <v>57.62</v>
      </c>
      <c r="G6416" t="s">
        <v>10</v>
      </c>
      <c r="H6416" t="s">
        <v>13</v>
      </c>
    </row>
    <row r="6417" spans="1:8" x14ac:dyDescent="0.25">
      <c r="A6417" s="1">
        <v>45670.291666666664</v>
      </c>
      <c r="B6417" t="s">
        <v>34</v>
      </c>
      <c r="C6417">
        <v>420.91</v>
      </c>
      <c r="D6417">
        <v>86.92</v>
      </c>
      <c r="E6417" t="s">
        <v>14</v>
      </c>
      <c r="F6417">
        <v>84.42</v>
      </c>
      <c r="G6417" t="s">
        <v>10</v>
      </c>
      <c r="H6417" t="s">
        <v>11</v>
      </c>
    </row>
    <row r="6418" spans="1:8" x14ac:dyDescent="0.25">
      <c r="A6418" s="1">
        <v>45670.333333333336</v>
      </c>
      <c r="B6418" t="s">
        <v>34</v>
      </c>
      <c r="C6418">
        <v>175.97</v>
      </c>
      <c r="D6418">
        <v>65.819999999999993</v>
      </c>
      <c r="E6418" t="s">
        <v>9</v>
      </c>
      <c r="F6418">
        <v>48.97</v>
      </c>
      <c r="G6418" t="s">
        <v>10</v>
      </c>
      <c r="H6418" t="s">
        <v>13</v>
      </c>
    </row>
    <row r="6419" spans="1:8" x14ac:dyDescent="0.25">
      <c r="A6419" s="1">
        <v>45670.375</v>
      </c>
      <c r="B6419" t="s">
        <v>34</v>
      </c>
      <c r="C6419">
        <v>373.48</v>
      </c>
      <c r="D6419">
        <v>31.3</v>
      </c>
      <c r="E6419" t="s">
        <v>9</v>
      </c>
      <c r="F6419">
        <v>69.52</v>
      </c>
      <c r="G6419" t="s">
        <v>10</v>
      </c>
      <c r="H6419" t="s">
        <v>12</v>
      </c>
    </row>
    <row r="6420" spans="1:8" x14ac:dyDescent="0.25">
      <c r="A6420" s="1">
        <v>45670.416666666664</v>
      </c>
      <c r="B6420" t="s">
        <v>34</v>
      </c>
      <c r="C6420">
        <v>212.44</v>
      </c>
      <c r="D6420">
        <v>67.709999999999994</v>
      </c>
      <c r="E6420" t="s">
        <v>9</v>
      </c>
      <c r="F6420">
        <v>63.87</v>
      </c>
      <c r="G6420" t="s">
        <v>10</v>
      </c>
      <c r="H6420" t="s">
        <v>12</v>
      </c>
    </row>
    <row r="6421" spans="1:8" x14ac:dyDescent="0.25">
      <c r="A6421" s="1">
        <v>45670.458333333336</v>
      </c>
      <c r="B6421" t="s">
        <v>34</v>
      </c>
      <c r="C6421">
        <v>102.04</v>
      </c>
      <c r="D6421">
        <v>25.21</v>
      </c>
      <c r="E6421" t="s">
        <v>9</v>
      </c>
      <c r="F6421">
        <v>42.97</v>
      </c>
      <c r="G6421" t="s">
        <v>10</v>
      </c>
      <c r="H6421" t="s">
        <v>11</v>
      </c>
    </row>
    <row r="6422" spans="1:8" x14ac:dyDescent="0.25">
      <c r="A6422" s="1">
        <v>45670.5</v>
      </c>
      <c r="B6422" t="s">
        <v>34</v>
      </c>
      <c r="C6422">
        <v>215.95</v>
      </c>
      <c r="D6422">
        <v>27.43</v>
      </c>
      <c r="E6422" t="s">
        <v>9</v>
      </c>
      <c r="F6422">
        <v>60.2</v>
      </c>
      <c r="G6422" t="s">
        <v>10</v>
      </c>
      <c r="H6422" t="s">
        <v>12</v>
      </c>
    </row>
    <row r="6423" spans="1:8" x14ac:dyDescent="0.25">
      <c r="A6423" s="1">
        <v>45670.541666666664</v>
      </c>
      <c r="B6423" t="s">
        <v>34</v>
      </c>
      <c r="C6423">
        <v>429.22</v>
      </c>
      <c r="D6423">
        <v>72.91</v>
      </c>
      <c r="E6423" t="s">
        <v>9</v>
      </c>
      <c r="F6423">
        <v>55.56</v>
      </c>
      <c r="G6423" t="s">
        <v>10</v>
      </c>
      <c r="H6423" t="s">
        <v>13</v>
      </c>
    </row>
    <row r="6424" spans="1:8" x14ac:dyDescent="0.25">
      <c r="A6424" s="1">
        <v>45670.583333333336</v>
      </c>
      <c r="B6424" t="s">
        <v>34</v>
      </c>
      <c r="C6424">
        <v>284.11</v>
      </c>
      <c r="D6424">
        <v>16.86</v>
      </c>
      <c r="E6424" t="s">
        <v>9</v>
      </c>
      <c r="F6424">
        <v>46.92</v>
      </c>
      <c r="G6424" t="s">
        <v>10</v>
      </c>
      <c r="H6424" t="s">
        <v>12</v>
      </c>
    </row>
    <row r="6425" spans="1:8" x14ac:dyDescent="0.25">
      <c r="A6425" s="1">
        <v>45670.625</v>
      </c>
      <c r="B6425" t="s">
        <v>34</v>
      </c>
      <c r="C6425">
        <v>373.09</v>
      </c>
      <c r="D6425">
        <v>19.02</v>
      </c>
      <c r="E6425" t="s">
        <v>9</v>
      </c>
      <c r="F6425">
        <v>72.569999999999993</v>
      </c>
      <c r="G6425" t="s">
        <v>10</v>
      </c>
      <c r="H6425" t="s">
        <v>13</v>
      </c>
    </row>
    <row r="6426" spans="1:8" x14ac:dyDescent="0.25">
      <c r="A6426" s="1">
        <v>45670.666666666664</v>
      </c>
      <c r="B6426" t="s">
        <v>34</v>
      </c>
      <c r="C6426">
        <v>314.23</v>
      </c>
      <c r="D6426">
        <v>62.4</v>
      </c>
      <c r="E6426" t="s">
        <v>9</v>
      </c>
      <c r="F6426">
        <v>48.13</v>
      </c>
      <c r="G6426" t="s">
        <v>10</v>
      </c>
      <c r="H6426" t="s">
        <v>12</v>
      </c>
    </row>
    <row r="6427" spans="1:8" x14ac:dyDescent="0.25">
      <c r="A6427" s="1">
        <v>45670.708333333336</v>
      </c>
      <c r="B6427" t="s">
        <v>34</v>
      </c>
      <c r="C6427">
        <v>347.63</v>
      </c>
      <c r="D6427">
        <v>60.44</v>
      </c>
      <c r="E6427" t="s">
        <v>9</v>
      </c>
      <c r="F6427">
        <v>50.11</v>
      </c>
      <c r="G6427" t="s">
        <v>10</v>
      </c>
      <c r="H6427" t="s">
        <v>11</v>
      </c>
    </row>
    <row r="6428" spans="1:8" x14ac:dyDescent="0.25">
      <c r="A6428" s="1">
        <v>45670.75</v>
      </c>
      <c r="B6428" t="s">
        <v>34</v>
      </c>
      <c r="C6428">
        <v>326.76</v>
      </c>
      <c r="D6428">
        <v>86.18</v>
      </c>
      <c r="E6428" t="s">
        <v>14</v>
      </c>
      <c r="F6428">
        <v>33.619999999999997</v>
      </c>
      <c r="G6428" t="s">
        <v>10</v>
      </c>
      <c r="H6428" t="s">
        <v>11</v>
      </c>
    </row>
    <row r="6429" spans="1:8" x14ac:dyDescent="0.25">
      <c r="A6429" s="1">
        <v>45670.791666666664</v>
      </c>
      <c r="B6429" t="s">
        <v>34</v>
      </c>
      <c r="C6429">
        <v>343.11</v>
      </c>
      <c r="D6429">
        <v>49.69</v>
      </c>
      <c r="E6429" t="s">
        <v>9</v>
      </c>
      <c r="F6429">
        <v>53.87</v>
      </c>
      <c r="G6429" t="s">
        <v>10</v>
      </c>
      <c r="H6429" t="s">
        <v>12</v>
      </c>
    </row>
    <row r="6430" spans="1:8" x14ac:dyDescent="0.25">
      <c r="A6430" s="1">
        <v>45670.833333333336</v>
      </c>
      <c r="B6430" t="s">
        <v>34</v>
      </c>
      <c r="C6430">
        <v>489.64</v>
      </c>
      <c r="D6430">
        <v>18.64</v>
      </c>
      <c r="E6430" t="s">
        <v>9</v>
      </c>
      <c r="F6430">
        <v>55.57</v>
      </c>
      <c r="G6430" t="s">
        <v>10</v>
      </c>
      <c r="H6430" t="s">
        <v>11</v>
      </c>
    </row>
    <row r="6431" spans="1:8" x14ac:dyDescent="0.25">
      <c r="A6431" s="1">
        <v>45670.875</v>
      </c>
      <c r="B6431" t="s">
        <v>34</v>
      </c>
      <c r="C6431">
        <v>163.44999999999999</v>
      </c>
      <c r="D6431">
        <v>93.61</v>
      </c>
      <c r="E6431" t="s">
        <v>14</v>
      </c>
      <c r="F6431">
        <v>68.459999999999994</v>
      </c>
      <c r="G6431" t="s">
        <v>10</v>
      </c>
      <c r="H6431" t="s">
        <v>12</v>
      </c>
    </row>
    <row r="6432" spans="1:8" x14ac:dyDescent="0.25">
      <c r="A6432" s="1">
        <v>45670.916666666664</v>
      </c>
      <c r="B6432" t="s">
        <v>34</v>
      </c>
      <c r="C6432">
        <v>475.14</v>
      </c>
      <c r="D6432">
        <v>81.010000000000005</v>
      </c>
      <c r="E6432" t="s">
        <v>9</v>
      </c>
      <c r="F6432">
        <v>89.09</v>
      </c>
      <c r="G6432" t="s">
        <v>10</v>
      </c>
      <c r="H6432" t="s">
        <v>12</v>
      </c>
    </row>
    <row r="6433" spans="1:8" x14ac:dyDescent="0.25">
      <c r="A6433" s="1">
        <v>45670.958333333336</v>
      </c>
      <c r="B6433" t="s">
        <v>34</v>
      </c>
      <c r="C6433">
        <v>245.88</v>
      </c>
      <c r="D6433">
        <v>71.91</v>
      </c>
      <c r="E6433" t="s">
        <v>9</v>
      </c>
      <c r="F6433">
        <v>45.95</v>
      </c>
      <c r="G6433" t="s">
        <v>10</v>
      </c>
      <c r="H6433" t="s">
        <v>13</v>
      </c>
    </row>
    <row r="6434" spans="1:8" x14ac:dyDescent="0.25">
      <c r="A6434" s="1">
        <v>45671</v>
      </c>
      <c r="B6434" t="s">
        <v>34</v>
      </c>
      <c r="C6434">
        <v>452.81</v>
      </c>
      <c r="D6434">
        <v>75.239999999999995</v>
      </c>
      <c r="E6434" t="s">
        <v>9</v>
      </c>
      <c r="F6434">
        <v>40.08</v>
      </c>
      <c r="G6434" t="s">
        <v>10</v>
      </c>
      <c r="H6434" t="s">
        <v>13</v>
      </c>
    </row>
    <row r="6435" spans="1:8" x14ac:dyDescent="0.25">
      <c r="A6435" s="1">
        <v>45671.041666666664</v>
      </c>
      <c r="B6435" t="s">
        <v>34</v>
      </c>
      <c r="C6435">
        <v>355.68</v>
      </c>
      <c r="D6435">
        <v>37.83</v>
      </c>
      <c r="E6435" t="s">
        <v>9</v>
      </c>
      <c r="F6435">
        <v>56.49</v>
      </c>
      <c r="G6435" t="s">
        <v>10</v>
      </c>
      <c r="H6435" t="s">
        <v>11</v>
      </c>
    </row>
    <row r="6436" spans="1:8" x14ac:dyDescent="0.25">
      <c r="A6436" s="1">
        <v>45671.083333333336</v>
      </c>
      <c r="B6436" t="s">
        <v>34</v>
      </c>
      <c r="C6436">
        <v>428.38</v>
      </c>
      <c r="D6436">
        <v>77.67</v>
      </c>
      <c r="E6436" t="s">
        <v>9</v>
      </c>
      <c r="F6436">
        <v>30.83</v>
      </c>
      <c r="G6436" t="s">
        <v>10</v>
      </c>
      <c r="H6436" t="s">
        <v>12</v>
      </c>
    </row>
    <row r="6437" spans="1:8" x14ac:dyDescent="0.25">
      <c r="A6437" s="1">
        <v>45671.125</v>
      </c>
      <c r="B6437" t="s">
        <v>34</v>
      </c>
      <c r="C6437">
        <v>81.150000000000006</v>
      </c>
      <c r="D6437">
        <v>72.14</v>
      </c>
      <c r="E6437" t="s">
        <v>9</v>
      </c>
      <c r="F6437">
        <v>38.86</v>
      </c>
      <c r="G6437" t="s">
        <v>10</v>
      </c>
      <c r="H6437" t="s">
        <v>13</v>
      </c>
    </row>
    <row r="6438" spans="1:8" x14ac:dyDescent="0.25">
      <c r="A6438" s="1">
        <v>45671.166666666664</v>
      </c>
      <c r="B6438" t="s">
        <v>34</v>
      </c>
      <c r="C6438">
        <v>247.84</v>
      </c>
      <c r="D6438">
        <v>74.7</v>
      </c>
      <c r="E6438" t="s">
        <v>9</v>
      </c>
      <c r="F6438">
        <v>68.42</v>
      </c>
      <c r="G6438" t="s">
        <v>10</v>
      </c>
      <c r="H6438" t="s">
        <v>11</v>
      </c>
    </row>
    <row r="6439" spans="1:8" x14ac:dyDescent="0.25">
      <c r="A6439" s="1">
        <v>45671.208333333336</v>
      </c>
      <c r="B6439" t="s">
        <v>34</v>
      </c>
      <c r="C6439">
        <v>296.45</v>
      </c>
      <c r="D6439">
        <v>31.68</v>
      </c>
      <c r="E6439" t="s">
        <v>9</v>
      </c>
      <c r="F6439">
        <v>31.51</v>
      </c>
      <c r="G6439" t="s">
        <v>10</v>
      </c>
      <c r="H6439" t="s">
        <v>12</v>
      </c>
    </row>
    <row r="6440" spans="1:8" x14ac:dyDescent="0.25">
      <c r="A6440" s="1">
        <v>45671.25</v>
      </c>
      <c r="B6440" t="s">
        <v>34</v>
      </c>
      <c r="C6440">
        <v>141.91</v>
      </c>
      <c r="D6440">
        <v>70.209999999999994</v>
      </c>
      <c r="E6440" t="s">
        <v>9</v>
      </c>
      <c r="F6440">
        <v>30.19</v>
      </c>
      <c r="G6440" t="s">
        <v>10</v>
      </c>
      <c r="H6440" t="s">
        <v>12</v>
      </c>
    </row>
    <row r="6441" spans="1:8" x14ac:dyDescent="0.25">
      <c r="A6441" s="1">
        <v>45671.291666666664</v>
      </c>
      <c r="B6441" t="s">
        <v>34</v>
      </c>
      <c r="C6441">
        <v>230.48</v>
      </c>
      <c r="D6441">
        <v>38.549999999999997</v>
      </c>
      <c r="E6441" t="s">
        <v>9</v>
      </c>
      <c r="F6441">
        <v>60.94</v>
      </c>
      <c r="G6441" t="s">
        <v>10</v>
      </c>
      <c r="H6441" t="s">
        <v>11</v>
      </c>
    </row>
    <row r="6442" spans="1:8" x14ac:dyDescent="0.25">
      <c r="A6442" s="1">
        <v>45671.333333333336</v>
      </c>
      <c r="B6442" t="s">
        <v>34</v>
      </c>
      <c r="C6442">
        <v>126.92</v>
      </c>
      <c r="D6442">
        <v>28.72</v>
      </c>
      <c r="E6442" t="s">
        <v>9</v>
      </c>
      <c r="F6442">
        <v>36.619999999999997</v>
      </c>
      <c r="G6442" t="s">
        <v>10</v>
      </c>
      <c r="H6442" t="s">
        <v>11</v>
      </c>
    </row>
    <row r="6443" spans="1:8" x14ac:dyDescent="0.25">
      <c r="A6443" s="1">
        <v>45671.375</v>
      </c>
      <c r="B6443" t="s">
        <v>34</v>
      </c>
      <c r="C6443">
        <v>265.54000000000002</v>
      </c>
      <c r="D6443">
        <v>45.77</v>
      </c>
      <c r="E6443" t="s">
        <v>9</v>
      </c>
      <c r="F6443">
        <v>31.95</v>
      </c>
      <c r="G6443" t="s">
        <v>10</v>
      </c>
      <c r="H6443" t="s">
        <v>12</v>
      </c>
    </row>
    <row r="6444" spans="1:8" x14ac:dyDescent="0.25">
      <c r="A6444" s="1">
        <v>45671.416666666664</v>
      </c>
      <c r="B6444" t="s">
        <v>34</v>
      </c>
      <c r="C6444">
        <v>257.19</v>
      </c>
      <c r="D6444">
        <v>17.22</v>
      </c>
      <c r="E6444" t="s">
        <v>9</v>
      </c>
      <c r="F6444">
        <v>83.34</v>
      </c>
      <c r="G6444" t="s">
        <v>10</v>
      </c>
      <c r="H6444" t="s">
        <v>12</v>
      </c>
    </row>
    <row r="6445" spans="1:8" x14ac:dyDescent="0.25">
      <c r="A6445" s="1">
        <v>45671.458333333336</v>
      </c>
      <c r="B6445" t="s">
        <v>34</v>
      </c>
      <c r="C6445">
        <v>403.17</v>
      </c>
      <c r="D6445">
        <v>18.72</v>
      </c>
      <c r="E6445" t="s">
        <v>9</v>
      </c>
      <c r="F6445">
        <v>40.450000000000003</v>
      </c>
      <c r="G6445" t="s">
        <v>10</v>
      </c>
      <c r="H6445" t="s">
        <v>13</v>
      </c>
    </row>
    <row r="6446" spans="1:8" x14ac:dyDescent="0.25">
      <c r="A6446" s="1">
        <v>45671.5</v>
      </c>
      <c r="B6446" t="s">
        <v>34</v>
      </c>
      <c r="C6446">
        <v>251.63</v>
      </c>
      <c r="D6446">
        <v>63.09</v>
      </c>
      <c r="E6446" t="s">
        <v>9</v>
      </c>
      <c r="F6446">
        <v>62.81</v>
      </c>
      <c r="G6446" t="s">
        <v>10</v>
      </c>
      <c r="H6446" t="s">
        <v>11</v>
      </c>
    </row>
    <row r="6447" spans="1:8" x14ac:dyDescent="0.25">
      <c r="A6447" s="1">
        <v>45671.541666666664</v>
      </c>
      <c r="B6447" t="s">
        <v>34</v>
      </c>
      <c r="C6447">
        <v>307.12</v>
      </c>
      <c r="D6447">
        <v>48.43</v>
      </c>
      <c r="E6447" t="s">
        <v>9</v>
      </c>
      <c r="F6447">
        <v>44.44</v>
      </c>
      <c r="G6447" t="s">
        <v>10</v>
      </c>
      <c r="H6447" t="s">
        <v>11</v>
      </c>
    </row>
    <row r="6448" spans="1:8" x14ac:dyDescent="0.25">
      <c r="A6448" s="1">
        <v>45671.583333333336</v>
      </c>
      <c r="B6448" t="s">
        <v>34</v>
      </c>
      <c r="C6448">
        <v>470.05</v>
      </c>
      <c r="D6448">
        <v>18.39</v>
      </c>
      <c r="E6448" t="s">
        <v>9</v>
      </c>
      <c r="F6448">
        <v>39.159999999999997</v>
      </c>
      <c r="G6448" t="s">
        <v>10</v>
      </c>
      <c r="H6448" t="s">
        <v>11</v>
      </c>
    </row>
    <row r="6449" spans="1:8" x14ac:dyDescent="0.25">
      <c r="A6449" s="1">
        <v>45671.625</v>
      </c>
      <c r="B6449" t="s">
        <v>34</v>
      </c>
      <c r="C6449">
        <v>420.27</v>
      </c>
      <c r="D6449">
        <v>31.5</v>
      </c>
      <c r="E6449" t="s">
        <v>9</v>
      </c>
      <c r="F6449">
        <v>70.52</v>
      </c>
      <c r="G6449" t="s">
        <v>10</v>
      </c>
      <c r="H6449" t="s">
        <v>13</v>
      </c>
    </row>
    <row r="6450" spans="1:8" x14ac:dyDescent="0.25">
      <c r="A6450" s="1">
        <v>45671.666666666664</v>
      </c>
      <c r="B6450" t="s">
        <v>34</v>
      </c>
      <c r="C6450">
        <v>301.43</v>
      </c>
      <c r="D6450">
        <v>53.26</v>
      </c>
      <c r="E6450" t="s">
        <v>9</v>
      </c>
      <c r="F6450">
        <v>55.41</v>
      </c>
      <c r="G6450" t="s">
        <v>10</v>
      </c>
      <c r="H6450" t="s">
        <v>13</v>
      </c>
    </row>
    <row r="6451" spans="1:8" x14ac:dyDescent="0.25">
      <c r="A6451" s="1">
        <v>45671.708333333336</v>
      </c>
      <c r="B6451" t="s">
        <v>34</v>
      </c>
      <c r="C6451">
        <v>367.23</v>
      </c>
      <c r="D6451">
        <v>66.87</v>
      </c>
      <c r="E6451" t="s">
        <v>9</v>
      </c>
      <c r="F6451">
        <v>50.5</v>
      </c>
      <c r="G6451" t="s">
        <v>10</v>
      </c>
      <c r="H6451" t="s">
        <v>13</v>
      </c>
    </row>
    <row r="6452" spans="1:8" x14ac:dyDescent="0.25">
      <c r="A6452" s="1">
        <v>45671.75</v>
      </c>
      <c r="B6452" t="s">
        <v>34</v>
      </c>
      <c r="C6452">
        <v>314.73</v>
      </c>
      <c r="D6452">
        <v>52.9</v>
      </c>
      <c r="E6452" t="s">
        <v>9</v>
      </c>
      <c r="F6452">
        <v>64.290000000000006</v>
      </c>
      <c r="G6452" t="s">
        <v>10</v>
      </c>
      <c r="H6452" t="s">
        <v>13</v>
      </c>
    </row>
    <row r="6453" spans="1:8" x14ac:dyDescent="0.25">
      <c r="A6453" s="1">
        <v>45671.791666666664</v>
      </c>
      <c r="B6453" t="s">
        <v>34</v>
      </c>
      <c r="C6453">
        <v>444.17</v>
      </c>
      <c r="D6453">
        <v>65.84</v>
      </c>
      <c r="E6453" t="s">
        <v>9</v>
      </c>
      <c r="F6453">
        <v>79.16</v>
      </c>
      <c r="G6453" t="s">
        <v>10</v>
      </c>
      <c r="H6453" t="s">
        <v>12</v>
      </c>
    </row>
    <row r="6454" spans="1:8" x14ac:dyDescent="0.25">
      <c r="A6454" s="1">
        <v>45671.833333333336</v>
      </c>
      <c r="B6454" t="s">
        <v>34</v>
      </c>
      <c r="C6454">
        <v>319.95999999999998</v>
      </c>
      <c r="D6454">
        <v>70.52</v>
      </c>
      <c r="E6454" t="s">
        <v>9</v>
      </c>
      <c r="F6454">
        <v>57.84</v>
      </c>
      <c r="G6454" t="s">
        <v>10</v>
      </c>
      <c r="H6454" t="s">
        <v>12</v>
      </c>
    </row>
    <row r="6455" spans="1:8" x14ac:dyDescent="0.25">
      <c r="A6455" s="1">
        <v>45671.875</v>
      </c>
      <c r="B6455" t="s">
        <v>34</v>
      </c>
      <c r="C6455">
        <v>374.26</v>
      </c>
      <c r="D6455">
        <v>78.260000000000005</v>
      </c>
      <c r="E6455" t="s">
        <v>9</v>
      </c>
      <c r="F6455">
        <v>52.3</v>
      </c>
      <c r="G6455" t="s">
        <v>10</v>
      </c>
      <c r="H6455" t="s">
        <v>12</v>
      </c>
    </row>
    <row r="6456" spans="1:8" x14ac:dyDescent="0.25">
      <c r="A6456" s="1">
        <v>45671.916666666664</v>
      </c>
      <c r="B6456" t="s">
        <v>34</v>
      </c>
      <c r="C6456">
        <v>249.69</v>
      </c>
      <c r="D6456">
        <v>83.46</v>
      </c>
      <c r="E6456" t="s">
        <v>9</v>
      </c>
      <c r="F6456">
        <v>31.49</v>
      </c>
      <c r="G6456" t="s">
        <v>10</v>
      </c>
      <c r="H6456" t="s">
        <v>12</v>
      </c>
    </row>
    <row r="6457" spans="1:8" x14ac:dyDescent="0.25">
      <c r="A6457" s="1">
        <v>45671.958333333336</v>
      </c>
      <c r="B6457" t="s">
        <v>34</v>
      </c>
      <c r="C6457">
        <v>366.79</v>
      </c>
      <c r="D6457">
        <v>70.72</v>
      </c>
      <c r="E6457" t="s">
        <v>9</v>
      </c>
      <c r="F6457">
        <v>84.95</v>
      </c>
      <c r="G6457" t="s">
        <v>10</v>
      </c>
      <c r="H6457" t="s">
        <v>11</v>
      </c>
    </row>
    <row r="6458" spans="1:8" x14ac:dyDescent="0.25">
      <c r="A6458" s="1">
        <v>45672</v>
      </c>
      <c r="B6458" t="s">
        <v>34</v>
      </c>
      <c r="C6458">
        <v>326.29000000000002</v>
      </c>
      <c r="D6458">
        <v>89.35</v>
      </c>
      <c r="E6458" t="s">
        <v>14</v>
      </c>
      <c r="F6458">
        <v>69.33</v>
      </c>
      <c r="G6458" t="s">
        <v>10</v>
      </c>
      <c r="H6458" t="s">
        <v>12</v>
      </c>
    </row>
    <row r="6459" spans="1:8" x14ac:dyDescent="0.25">
      <c r="A6459" s="1">
        <v>45672.041666666664</v>
      </c>
      <c r="B6459" t="s">
        <v>34</v>
      </c>
      <c r="C6459">
        <v>190.56</v>
      </c>
      <c r="D6459">
        <v>91.45</v>
      </c>
      <c r="E6459" t="s">
        <v>14</v>
      </c>
      <c r="F6459">
        <v>38.92</v>
      </c>
      <c r="G6459" t="s">
        <v>10</v>
      </c>
      <c r="H6459" t="s">
        <v>11</v>
      </c>
    </row>
    <row r="6460" spans="1:8" x14ac:dyDescent="0.25">
      <c r="A6460" s="1">
        <v>45672.083333333336</v>
      </c>
      <c r="B6460" t="s">
        <v>34</v>
      </c>
      <c r="C6460">
        <v>327.54000000000002</v>
      </c>
      <c r="D6460">
        <v>61.3</v>
      </c>
      <c r="E6460" t="s">
        <v>9</v>
      </c>
      <c r="F6460">
        <v>38.090000000000003</v>
      </c>
      <c r="G6460" t="s">
        <v>10</v>
      </c>
      <c r="H6460" t="s">
        <v>13</v>
      </c>
    </row>
    <row r="6461" spans="1:8" x14ac:dyDescent="0.25">
      <c r="A6461" s="1">
        <v>45672.125</v>
      </c>
      <c r="B6461" t="s">
        <v>34</v>
      </c>
      <c r="C6461">
        <v>81.3</v>
      </c>
      <c r="D6461">
        <v>28.98</v>
      </c>
      <c r="E6461" t="s">
        <v>9</v>
      </c>
      <c r="F6461">
        <v>84.78</v>
      </c>
      <c r="G6461" t="s">
        <v>10</v>
      </c>
      <c r="H6461" t="s">
        <v>13</v>
      </c>
    </row>
    <row r="6462" spans="1:8" x14ac:dyDescent="0.25">
      <c r="A6462" s="1">
        <v>45672.166666666664</v>
      </c>
      <c r="B6462" t="s">
        <v>34</v>
      </c>
      <c r="C6462">
        <v>310.51</v>
      </c>
      <c r="D6462">
        <v>40.21</v>
      </c>
      <c r="E6462" t="s">
        <v>9</v>
      </c>
      <c r="F6462">
        <v>63.32</v>
      </c>
      <c r="G6462" t="s">
        <v>10</v>
      </c>
      <c r="H6462" t="s">
        <v>11</v>
      </c>
    </row>
    <row r="6463" spans="1:8" x14ac:dyDescent="0.25">
      <c r="A6463" s="1">
        <v>45672.208333333336</v>
      </c>
      <c r="B6463" t="s">
        <v>34</v>
      </c>
      <c r="C6463">
        <v>53.63</v>
      </c>
      <c r="D6463">
        <v>76.91</v>
      </c>
      <c r="E6463" t="s">
        <v>9</v>
      </c>
      <c r="F6463">
        <v>78.94</v>
      </c>
      <c r="G6463" t="s">
        <v>10</v>
      </c>
      <c r="H6463" t="s">
        <v>12</v>
      </c>
    </row>
    <row r="6464" spans="1:8" x14ac:dyDescent="0.25">
      <c r="A6464" s="1">
        <v>45672.25</v>
      </c>
      <c r="B6464" t="s">
        <v>34</v>
      </c>
      <c r="C6464">
        <v>208.86</v>
      </c>
      <c r="D6464">
        <v>50.14</v>
      </c>
      <c r="E6464" t="s">
        <v>9</v>
      </c>
      <c r="F6464">
        <v>36.03</v>
      </c>
      <c r="G6464" t="s">
        <v>10</v>
      </c>
      <c r="H6464" t="s">
        <v>13</v>
      </c>
    </row>
    <row r="6465" spans="1:8" x14ac:dyDescent="0.25">
      <c r="A6465" s="1">
        <v>45672.291666666664</v>
      </c>
      <c r="B6465" t="s">
        <v>34</v>
      </c>
      <c r="C6465">
        <v>314.5</v>
      </c>
      <c r="D6465">
        <v>91.92</v>
      </c>
      <c r="E6465" t="s">
        <v>14</v>
      </c>
      <c r="F6465">
        <v>36.21</v>
      </c>
      <c r="G6465" t="s">
        <v>10</v>
      </c>
      <c r="H6465" t="s">
        <v>12</v>
      </c>
    </row>
    <row r="6466" spans="1:8" x14ac:dyDescent="0.25">
      <c r="A6466" s="1">
        <v>45672.333333333336</v>
      </c>
      <c r="B6466" t="s">
        <v>34</v>
      </c>
      <c r="C6466">
        <v>298.43</v>
      </c>
      <c r="D6466">
        <v>63.23</v>
      </c>
      <c r="E6466" t="s">
        <v>9</v>
      </c>
      <c r="F6466">
        <v>31.83</v>
      </c>
      <c r="G6466" t="s">
        <v>10</v>
      </c>
      <c r="H6466" t="s">
        <v>13</v>
      </c>
    </row>
    <row r="6467" spans="1:8" x14ac:dyDescent="0.25">
      <c r="A6467" s="1">
        <v>45672.375</v>
      </c>
      <c r="B6467" t="s">
        <v>34</v>
      </c>
      <c r="C6467">
        <v>415.92</v>
      </c>
      <c r="D6467">
        <v>24.44</v>
      </c>
      <c r="E6467" t="s">
        <v>9</v>
      </c>
      <c r="F6467">
        <v>85.54</v>
      </c>
      <c r="G6467" t="s">
        <v>10</v>
      </c>
      <c r="H6467" t="s">
        <v>12</v>
      </c>
    </row>
    <row r="6468" spans="1:8" x14ac:dyDescent="0.25">
      <c r="A6468" s="1">
        <v>45672.416666666664</v>
      </c>
      <c r="B6468" t="s">
        <v>34</v>
      </c>
      <c r="C6468">
        <v>475.1</v>
      </c>
      <c r="D6468">
        <v>65.37</v>
      </c>
      <c r="E6468" t="s">
        <v>9</v>
      </c>
      <c r="F6468">
        <v>33.14</v>
      </c>
      <c r="G6468" t="s">
        <v>10</v>
      </c>
      <c r="H6468" t="s">
        <v>12</v>
      </c>
    </row>
    <row r="6469" spans="1:8" x14ac:dyDescent="0.25">
      <c r="A6469" s="1">
        <v>45672.458333333336</v>
      </c>
      <c r="B6469" t="s">
        <v>34</v>
      </c>
      <c r="C6469">
        <v>287.12</v>
      </c>
      <c r="D6469">
        <v>69.64</v>
      </c>
      <c r="E6469" t="s">
        <v>9</v>
      </c>
      <c r="F6469">
        <v>59.46</v>
      </c>
      <c r="G6469" t="s">
        <v>10</v>
      </c>
      <c r="H6469" t="s">
        <v>12</v>
      </c>
    </row>
    <row r="6470" spans="1:8" x14ac:dyDescent="0.25">
      <c r="A6470" s="1">
        <v>45672.5</v>
      </c>
      <c r="B6470" t="s">
        <v>34</v>
      </c>
      <c r="C6470">
        <v>204.51</v>
      </c>
      <c r="D6470">
        <v>59.47</v>
      </c>
      <c r="E6470" t="s">
        <v>9</v>
      </c>
      <c r="F6470">
        <v>70.790000000000006</v>
      </c>
      <c r="G6470" t="s">
        <v>10</v>
      </c>
      <c r="H6470" t="s">
        <v>13</v>
      </c>
    </row>
    <row r="6471" spans="1:8" x14ac:dyDescent="0.25">
      <c r="A6471" s="1">
        <v>45672.541666666664</v>
      </c>
      <c r="B6471" t="s">
        <v>34</v>
      </c>
      <c r="C6471">
        <v>83.04</v>
      </c>
      <c r="D6471">
        <v>50.38</v>
      </c>
      <c r="E6471" t="s">
        <v>9</v>
      </c>
      <c r="F6471">
        <v>68.099999999999994</v>
      </c>
      <c r="G6471" t="s">
        <v>10</v>
      </c>
      <c r="H6471" t="s">
        <v>11</v>
      </c>
    </row>
    <row r="6472" spans="1:8" x14ac:dyDescent="0.25">
      <c r="A6472" s="1">
        <v>45672.583333333336</v>
      </c>
      <c r="B6472" t="s">
        <v>34</v>
      </c>
      <c r="C6472">
        <v>484.73</v>
      </c>
      <c r="D6472">
        <v>32.380000000000003</v>
      </c>
      <c r="E6472" t="s">
        <v>9</v>
      </c>
      <c r="F6472">
        <v>34.450000000000003</v>
      </c>
      <c r="G6472" t="s">
        <v>10</v>
      </c>
      <c r="H6472" t="s">
        <v>13</v>
      </c>
    </row>
    <row r="6473" spans="1:8" x14ac:dyDescent="0.25">
      <c r="A6473" s="1">
        <v>45672.625</v>
      </c>
      <c r="B6473" t="s">
        <v>34</v>
      </c>
      <c r="C6473">
        <v>113.54</v>
      </c>
      <c r="D6473">
        <v>75.47</v>
      </c>
      <c r="E6473" t="s">
        <v>9</v>
      </c>
      <c r="F6473">
        <v>49.36</v>
      </c>
      <c r="G6473" t="s">
        <v>10</v>
      </c>
      <c r="H6473" t="s">
        <v>12</v>
      </c>
    </row>
    <row r="6474" spans="1:8" x14ac:dyDescent="0.25">
      <c r="A6474" s="1">
        <v>45672.666666666664</v>
      </c>
      <c r="B6474" t="s">
        <v>34</v>
      </c>
      <c r="C6474">
        <v>74.3</v>
      </c>
      <c r="D6474">
        <v>54.12</v>
      </c>
      <c r="E6474" t="s">
        <v>9</v>
      </c>
      <c r="F6474">
        <v>49.73</v>
      </c>
      <c r="G6474" t="s">
        <v>10</v>
      </c>
      <c r="H6474" t="s">
        <v>13</v>
      </c>
    </row>
    <row r="6475" spans="1:8" x14ac:dyDescent="0.25">
      <c r="A6475" s="1">
        <v>45672.708333333336</v>
      </c>
      <c r="B6475" t="s">
        <v>34</v>
      </c>
      <c r="C6475">
        <v>359.71</v>
      </c>
      <c r="D6475">
        <v>42.01</v>
      </c>
      <c r="E6475" t="s">
        <v>9</v>
      </c>
      <c r="F6475">
        <v>55.65</v>
      </c>
      <c r="G6475" t="s">
        <v>10</v>
      </c>
      <c r="H6475" t="s">
        <v>11</v>
      </c>
    </row>
    <row r="6476" spans="1:8" x14ac:dyDescent="0.25">
      <c r="A6476" s="1">
        <v>45672.75</v>
      </c>
      <c r="B6476" t="s">
        <v>34</v>
      </c>
      <c r="C6476">
        <v>482.54</v>
      </c>
      <c r="D6476">
        <v>40.950000000000003</v>
      </c>
      <c r="E6476" t="s">
        <v>9</v>
      </c>
      <c r="F6476">
        <v>62.49</v>
      </c>
      <c r="G6476" t="s">
        <v>10</v>
      </c>
      <c r="H6476" t="s">
        <v>12</v>
      </c>
    </row>
    <row r="6477" spans="1:8" x14ac:dyDescent="0.25">
      <c r="A6477" s="1">
        <v>45672.791666666664</v>
      </c>
      <c r="B6477" t="s">
        <v>34</v>
      </c>
      <c r="C6477">
        <v>292.77</v>
      </c>
      <c r="D6477">
        <v>63.27</v>
      </c>
      <c r="E6477" t="s">
        <v>9</v>
      </c>
      <c r="F6477">
        <v>62.77</v>
      </c>
      <c r="G6477" t="s">
        <v>10</v>
      </c>
      <c r="H6477" t="s">
        <v>11</v>
      </c>
    </row>
    <row r="6478" spans="1:8" x14ac:dyDescent="0.25">
      <c r="A6478" s="1">
        <v>45672.833333333336</v>
      </c>
      <c r="B6478" t="s">
        <v>34</v>
      </c>
      <c r="C6478">
        <v>237.06</v>
      </c>
      <c r="D6478">
        <v>57.09</v>
      </c>
      <c r="E6478" t="s">
        <v>9</v>
      </c>
      <c r="F6478">
        <v>88.51</v>
      </c>
      <c r="G6478" t="s">
        <v>10</v>
      </c>
      <c r="H6478" t="s">
        <v>13</v>
      </c>
    </row>
    <row r="6479" spans="1:8" x14ac:dyDescent="0.25">
      <c r="A6479" s="1">
        <v>45672.875</v>
      </c>
      <c r="B6479" t="s">
        <v>34</v>
      </c>
      <c r="C6479">
        <v>241.97</v>
      </c>
      <c r="D6479">
        <v>92.93</v>
      </c>
      <c r="E6479" t="s">
        <v>14</v>
      </c>
      <c r="F6479">
        <v>36.47</v>
      </c>
      <c r="G6479" t="s">
        <v>10</v>
      </c>
      <c r="H6479" t="s">
        <v>12</v>
      </c>
    </row>
    <row r="6480" spans="1:8" x14ac:dyDescent="0.25">
      <c r="A6480" s="1">
        <v>45672.916666666664</v>
      </c>
      <c r="B6480" t="s">
        <v>34</v>
      </c>
      <c r="C6480">
        <v>318.55</v>
      </c>
      <c r="D6480">
        <v>18.55</v>
      </c>
      <c r="E6480" t="s">
        <v>9</v>
      </c>
      <c r="F6480">
        <v>81.45</v>
      </c>
      <c r="G6480" t="s">
        <v>10</v>
      </c>
      <c r="H6480" t="s">
        <v>11</v>
      </c>
    </row>
    <row r="6481" spans="1:8" x14ac:dyDescent="0.25">
      <c r="A6481" s="1">
        <v>45672.958333333336</v>
      </c>
      <c r="B6481" t="s">
        <v>34</v>
      </c>
      <c r="C6481">
        <v>67.8</v>
      </c>
      <c r="D6481">
        <v>28.36</v>
      </c>
      <c r="E6481" t="s">
        <v>9</v>
      </c>
      <c r="F6481">
        <v>47.6</v>
      </c>
      <c r="G6481" t="s">
        <v>10</v>
      </c>
      <c r="H6481" t="s">
        <v>11</v>
      </c>
    </row>
    <row r="6482" spans="1:8" x14ac:dyDescent="0.25">
      <c r="A6482" s="1">
        <v>45658</v>
      </c>
      <c r="B6482" t="s">
        <v>35</v>
      </c>
      <c r="C6482">
        <v>444.14</v>
      </c>
      <c r="D6482">
        <v>78.67</v>
      </c>
      <c r="E6482" t="s">
        <v>9</v>
      </c>
      <c r="F6482">
        <v>40.92</v>
      </c>
      <c r="G6482" t="s">
        <v>20</v>
      </c>
      <c r="H6482" t="s">
        <v>12</v>
      </c>
    </row>
    <row r="6483" spans="1:8" x14ac:dyDescent="0.25">
      <c r="A6483" s="1">
        <v>45658.041666666664</v>
      </c>
      <c r="B6483" t="s">
        <v>35</v>
      </c>
      <c r="C6483">
        <v>183.23</v>
      </c>
      <c r="D6483">
        <v>33.979999999999997</v>
      </c>
      <c r="E6483" t="s">
        <v>9</v>
      </c>
      <c r="F6483">
        <v>56.9</v>
      </c>
      <c r="G6483" t="s">
        <v>20</v>
      </c>
      <c r="H6483" t="s">
        <v>11</v>
      </c>
    </row>
    <row r="6484" spans="1:8" x14ac:dyDescent="0.25">
      <c r="A6484" s="1">
        <v>45658.083333333336</v>
      </c>
      <c r="B6484" t="s">
        <v>35</v>
      </c>
      <c r="C6484">
        <v>299.36</v>
      </c>
      <c r="D6484">
        <v>63.34</v>
      </c>
      <c r="E6484" t="s">
        <v>9</v>
      </c>
      <c r="F6484">
        <v>58.2</v>
      </c>
      <c r="G6484" t="s">
        <v>20</v>
      </c>
      <c r="H6484" t="s">
        <v>13</v>
      </c>
    </row>
    <row r="6485" spans="1:8" x14ac:dyDescent="0.25">
      <c r="A6485" s="1">
        <v>45658.125</v>
      </c>
      <c r="B6485" t="s">
        <v>35</v>
      </c>
      <c r="C6485">
        <v>226.94</v>
      </c>
      <c r="D6485">
        <v>53.51</v>
      </c>
      <c r="E6485" t="s">
        <v>9</v>
      </c>
      <c r="F6485">
        <v>50.97</v>
      </c>
      <c r="G6485" t="s">
        <v>20</v>
      </c>
      <c r="H6485" t="s">
        <v>11</v>
      </c>
    </row>
    <row r="6486" spans="1:8" x14ac:dyDescent="0.25">
      <c r="A6486" s="1">
        <v>45658.166666666664</v>
      </c>
      <c r="B6486" t="s">
        <v>35</v>
      </c>
      <c r="C6486">
        <v>380.2</v>
      </c>
      <c r="D6486">
        <v>52</v>
      </c>
      <c r="E6486" t="s">
        <v>9</v>
      </c>
      <c r="F6486">
        <v>68.7</v>
      </c>
      <c r="G6486" t="s">
        <v>20</v>
      </c>
      <c r="H6486" t="s">
        <v>12</v>
      </c>
    </row>
    <row r="6487" spans="1:8" x14ac:dyDescent="0.25">
      <c r="A6487" s="1">
        <v>45658.208333333336</v>
      </c>
      <c r="B6487" t="s">
        <v>35</v>
      </c>
      <c r="C6487">
        <v>347.52</v>
      </c>
      <c r="D6487">
        <v>54.25</v>
      </c>
      <c r="E6487" t="s">
        <v>9</v>
      </c>
      <c r="F6487">
        <v>30.13</v>
      </c>
      <c r="G6487" t="s">
        <v>20</v>
      </c>
      <c r="H6487" t="s">
        <v>11</v>
      </c>
    </row>
    <row r="6488" spans="1:8" x14ac:dyDescent="0.25">
      <c r="A6488" s="1">
        <v>45658.25</v>
      </c>
      <c r="B6488" t="s">
        <v>35</v>
      </c>
      <c r="C6488">
        <v>296.47000000000003</v>
      </c>
      <c r="D6488">
        <v>63.14</v>
      </c>
      <c r="E6488" t="s">
        <v>9</v>
      </c>
      <c r="F6488">
        <v>58.35</v>
      </c>
      <c r="G6488" t="s">
        <v>20</v>
      </c>
      <c r="H6488" t="s">
        <v>12</v>
      </c>
    </row>
    <row r="6489" spans="1:8" x14ac:dyDescent="0.25">
      <c r="A6489" s="1">
        <v>45658.291666666664</v>
      </c>
      <c r="B6489" t="s">
        <v>35</v>
      </c>
      <c r="C6489">
        <v>381</v>
      </c>
      <c r="D6489">
        <v>91.9</v>
      </c>
      <c r="E6489" t="s">
        <v>14</v>
      </c>
      <c r="F6489">
        <v>52.45</v>
      </c>
      <c r="G6489" t="s">
        <v>20</v>
      </c>
      <c r="H6489" t="s">
        <v>13</v>
      </c>
    </row>
    <row r="6490" spans="1:8" x14ac:dyDescent="0.25">
      <c r="A6490" s="1">
        <v>45658.333333333336</v>
      </c>
      <c r="B6490" t="s">
        <v>35</v>
      </c>
      <c r="C6490">
        <v>88.18</v>
      </c>
      <c r="D6490">
        <v>22.73</v>
      </c>
      <c r="E6490" t="s">
        <v>9</v>
      </c>
      <c r="F6490">
        <v>47.94</v>
      </c>
      <c r="G6490" t="s">
        <v>20</v>
      </c>
      <c r="H6490" t="s">
        <v>12</v>
      </c>
    </row>
    <row r="6491" spans="1:8" x14ac:dyDescent="0.25">
      <c r="A6491" s="1">
        <v>45658.375</v>
      </c>
      <c r="B6491" t="s">
        <v>35</v>
      </c>
      <c r="C6491">
        <v>176.85</v>
      </c>
      <c r="D6491">
        <v>86.83</v>
      </c>
      <c r="E6491" t="s">
        <v>14</v>
      </c>
      <c r="F6491">
        <v>39.56</v>
      </c>
      <c r="G6491" t="s">
        <v>20</v>
      </c>
      <c r="H6491" t="s">
        <v>13</v>
      </c>
    </row>
    <row r="6492" spans="1:8" x14ac:dyDescent="0.25">
      <c r="A6492" s="1">
        <v>45658.416666666664</v>
      </c>
      <c r="B6492" t="s">
        <v>35</v>
      </c>
      <c r="C6492">
        <v>418.14</v>
      </c>
      <c r="D6492">
        <v>79.83</v>
      </c>
      <c r="E6492" t="s">
        <v>9</v>
      </c>
      <c r="F6492">
        <v>42.94</v>
      </c>
      <c r="G6492" t="s">
        <v>20</v>
      </c>
      <c r="H6492" t="s">
        <v>12</v>
      </c>
    </row>
    <row r="6493" spans="1:8" x14ac:dyDescent="0.25">
      <c r="A6493" s="1">
        <v>45658.458333333336</v>
      </c>
      <c r="B6493" t="s">
        <v>35</v>
      </c>
      <c r="C6493">
        <v>241.61</v>
      </c>
      <c r="D6493">
        <v>89.49</v>
      </c>
      <c r="E6493" t="s">
        <v>14</v>
      </c>
      <c r="F6493">
        <v>39.69</v>
      </c>
      <c r="G6493" t="s">
        <v>20</v>
      </c>
      <c r="H6493" t="s">
        <v>12</v>
      </c>
    </row>
    <row r="6494" spans="1:8" x14ac:dyDescent="0.25">
      <c r="A6494" s="1">
        <v>45658.5</v>
      </c>
      <c r="B6494" t="s">
        <v>35</v>
      </c>
      <c r="C6494">
        <v>162.47</v>
      </c>
      <c r="D6494">
        <v>39.4</v>
      </c>
      <c r="E6494" t="s">
        <v>9</v>
      </c>
      <c r="F6494">
        <v>61.73</v>
      </c>
      <c r="G6494" t="s">
        <v>20</v>
      </c>
      <c r="H6494" t="s">
        <v>12</v>
      </c>
    </row>
    <row r="6495" spans="1:8" x14ac:dyDescent="0.25">
      <c r="A6495" s="1">
        <v>45658.541666666664</v>
      </c>
      <c r="B6495" t="s">
        <v>35</v>
      </c>
      <c r="C6495">
        <v>269.60000000000002</v>
      </c>
      <c r="D6495">
        <v>77.430000000000007</v>
      </c>
      <c r="E6495" t="s">
        <v>9</v>
      </c>
      <c r="F6495">
        <v>79.62</v>
      </c>
      <c r="G6495" t="s">
        <v>20</v>
      </c>
      <c r="H6495" t="s">
        <v>11</v>
      </c>
    </row>
    <row r="6496" spans="1:8" x14ac:dyDescent="0.25">
      <c r="A6496" s="1">
        <v>45658.583333333336</v>
      </c>
      <c r="B6496" t="s">
        <v>35</v>
      </c>
      <c r="C6496">
        <v>360.19</v>
      </c>
      <c r="D6496">
        <v>58.33</v>
      </c>
      <c r="E6496" t="s">
        <v>9</v>
      </c>
      <c r="F6496">
        <v>50.83</v>
      </c>
      <c r="G6496" t="s">
        <v>20</v>
      </c>
      <c r="H6496" t="s">
        <v>12</v>
      </c>
    </row>
    <row r="6497" spans="1:8" x14ac:dyDescent="0.25">
      <c r="A6497" s="1">
        <v>45658.625</v>
      </c>
      <c r="B6497" t="s">
        <v>35</v>
      </c>
      <c r="C6497">
        <v>323.18</v>
      </c>
      <c r="D6497">
        <v>75.45</v>
      </c>
      <c r="E6497" t="s">
        <v>9</v>
      </c>
      <c r="F6497">
        <v>55.53</v>
      </c>
      <c r="G6497" t="s">
        <v>20</v>
      </c>
      <c r="H6497" t="s">
        <v>12</v>
      </c>
    </row>
    <row r="6498" spans="1:8" x14ac:dyDescent="0.25">
      <c r="A6498" s="1">
        <v>45658.666666666664</v>
      </c>
      <c r="B6498" t="s">
        <v>35</v>
      </c>
      <c r="C6498">
        <v>61.98</v>
      </c>
      <c r="D6498">
        <v>82</v>
      </c>
      <c r="E6498" t="s">
        <v>9</v>
      </c>
      <c r="F6498">
        <v>40.630000000000003</v>
      </c>
      <c r="G6498" t="s">
        <v>20</v>
      </c>
      <c r="H6498" t="s">
        <v>13</v>
      </c>
    </row>
    <row r="6499" spans="1:8" x14ac:dyDescent="0.25">
      <c r="A6499" s="1">
        <v>45658.708333333336</v>
      </c>
      <c r="B6499" t="s">
        <v>35</v>
      </c>
      <c r="C6499">
        <v>116.77</v>
      </c>
      <c r="D6499">
        <v>37.74</v>
      </c>
      <c r="E6499" t="s">
        <v>9</v>
      </c>
      <c r="F6499">
        <v>31.93</v>
      </c>
      <c r="G6499" t="s">
        <v>20</v>
      </c>
      <c r="H6499" t="s">
        <v>13</v>
      </c>
    </row>
    <row r="6500" spans="1:8" x14ac:dyDescent="0.25">
      <c r="A6500" s="1">
        <v>45658.75</v>
      </c>
      <c r="B6500" t="s">
        <v>35</v>
      </c>
      <c r="C6500">
        <v>195.98</v>
      </c>
      <c r="D6500">
        <v>40.229999999999997</v>
      </c>
      <c r="E6500" t="s">
        <v>9</v>
      </c>
      <c r="F6500">
        <v>49.62</v>
      </c>
      <c r="G6500" t="s">
        <v>20</v>
      </c>
      <c r="H6500" t="s">
        <v>13</v>
      </c>
    </row>
    <row r="6501" spans="1:8" x14ac:dyDescent="0.25">
      <c r="A6501" s="1">
        <v>45658.791666666664</v>
      </c>
      <c r="B6501" t="s">
        <v>35</v>
      </c>
      <c r="C6501">
        <v>429.32</v>
      </c>
      <c r="D6501">
        <v>15.6</v>
      </c>
      <c r="E6501" t="s">
        <v>9</v>
      </c>
      <c r="F6501">
        <v>44.02</v>
      </c>
      <c r="G6501" t="s">
        <v>20</v>
      </c>
      <c r="H6501" t="s">
        <v>13</v>
      </c>
    </row>
    <row r="6502" spans="1:8" x14ac:dyDescent="0.25">
      <c r="A6502" s="1">
        <v>45658.833333333336</v>
      </c>
      <c r="B6502" t="s">
        <v>35</v>
      </c>
      <c r="C6502">
        <v>422.38</v>
      </c>
      <c r="D6502">
        <v>35.549999999999997</v>
      </c>
      <c r="E6502" t="s">
        <v>9</v>
      </c>
      <c r="F6502">
        <v>83.35</v>
      </c>
      <c r="G6502" t="s">
        <v>20</v>
      </c>
      <c r="H6502" t="s">
        <v>13</v>
      </c>
    </row>
    <row r="6503" spans="1:8" x14ac:dyDescent="0.25">
      <c r="A6503" s="1">
        <v>45658.875</v>
      </c>
      <c r="B6503" t="s">
        <v>35</v>
      </c>
      <c r="C6503">
        <v>305.52</v>
      </c>
      <c r="D6503">
        <v>27.18</v>
      </c>
      <c r="E6503" t="s">
        <v>9</v>
      </c>
      <c r="F6503">
        <v>34.17</v>
      </c>
      <c r="G6503" t="s">
        <v>20</v>
      </c>
      <c r="H6503" t="s">
        <v>11</v>
      </c>
    </row>
    <row r="6504" spans="1:8" x14ac:dyDescent="0.25">
      <c r="A6504" s="1">
        <v>45658.916666666664</v>
      </c>
      <c r="B6504" t="s">
        <v>35</v>
      </c>
      <c r="C6504">
        <v>479.53</v>
      </c>
      <c r="D6504">
        <v>83.01</v>
      </c>
      <c r="E6504" t="s">
        <v>9</v>
      </c>
      <c r="F6504">
        <v>80.81</v>
      </c>
      <c r="G6504" t="s">
        <v>20</v>
      </c>
      <c r="H6504" t="s">
        <v>12</v>
      </c>
    </row>
    <row r="6505" spans="1:8" x14ac:dyDescent="0.25">
      <c r="A6505" s="1">
        <v>45658.958333333336</v>
      </c>
      <c r="B6505" t="s">
        <v>35</v>
      </c>
      <c r="C6505">
        <v>237.76</v>
      </c>
      <c r="D6505">
        <v>35.1</v>
      </c>
      <c r="E6505" t="s">
        <v>9</v>
      </c>
      <c r="F6505">
        <v>77.3</v>
      </c>
      <c r="G6505" t="s">
        <v>20</v>
      </c>
      <c r="H6505" t="s">
        <v>11</v>
      </c>
    </row>
    <row r="6506" spans="1:8" x14ac:dyDescent="0.25">
      <c r="A6506" s="1">
        <v>45659</v>
      </c>
      <c r="B6506" t="s">
        <v>35</v>
      </c>
      <c r="C6506">
        <v>338.38</v>
      </c>
      <c r="D6506">
        <v>84.85</v>
      </c>
      <c r="E6506" t="s">
        <v>9</v>
      </c>
      <c r="F6506">
        <v>69.63</v>
      </c>
      <c r="G6506" t="s">
        <v>20</v>
      </c>
      <c r="H6506" t="s">
        <v>12</v>
      </c>
    </row>
    <row r="6507" spans="1:8" x14ac:dyDescent="0.25">
      <c r="A6507" s="1">
        <v>45659.041666666664</v>
      </c>
      <c r="B6507" t="s">
        <v>35</v>
      </c>
      <c r="C6507">
        <v>263.27999999999997</v>
      </c>
      <c r="D6507">
        <v>72.099999999999994</v>
      </c>
      <c r="E6507" t="s">
        <v>9</v>
      </c>
      <c r="F6507">
        <v>88.8</v>
      </c>
      <c r="G6507" t="s">
        <v>20</v>
      </c>
      <c r="H6507" t="s">
        <v>11</v>
      </c>
    </row>
    <row r="6508" spans="1:8" x14ac:dyDescent="0.25">
      <c r="A6508" s="1">
        <v>45659.083333333336</v>
      </c>
      <c r="B6508" t="s">
        <v>35</v>
      </c>
      <c r="C6508">
        <v>467.11</v>
      </c>
      <c r="D6508">
        <v>56.32</v>
      </c>
      <c r="E6508" t="s">
        <v>9</v>
      </c>
      <c r="F6508">
        <v>68.59</v>
      </c>
      <c r="G6508" t="s">
        <v>20</v>
      </c>
      <c r="H6508" t="s">
        <v>12</v>
      </c>
    </row>
    <row r="6509" spans="1:8" x14ac:dyDescent="0.25">
      <c r="A6509" s="1">
        <v>45659.125</v>
      </c>
      <c r="B6509" t="s">
        <v>35</v>
      </c>
      <c r="C6509">
        <v>187.56</v>
      </c>
      <c r="D6509">
        <v>24.71</v>
      </c>
      <c r="E6509" t="s">
        <v>9</v>
      </c>
      <c r="F6509">
        <v>49.04</v>
      </c>
      <c r="G6509" t="s">
        <v>20</v>
      </c>
      <c r="H6509" t="s">
        <v>11</v>
      </c>
    </row>
    <row r="6510" spans="1:8" x14ac:dyDescent="0.25">
      <c r="A6510" s="1">
        <v>45659.166666666664</v>
      </c>
      <c r="B6510" t="s">
        <v>35</v>
      </c>
      <c r="C6510">
        <v>180.99</v>
      </c>
      <c r="D6510">
        <v>89.17</v>
      </c>
      <c r="E6510" t="s">
        <v>14</v>
      </c>
      <c r="F6510">
        <v>35.26</v>
      </c>
      <c r="G6510" t="s">
        <v>20</v>
      </c>
      <c r="H6510" t="s">
        <v>11</v>
      </c>
    </row>
    <row r="6511" spans="1:8" x14ac:dyDescent="0.25">
      <c r="A6511" s="1">
        <v>45659.208333333336</v>
      </c>
      <c r="B6511" t="s">
        <v>35</v>
      </c>
      <c r="C6511">
        <v>426.29</v>
      </c>
      <c r="D6511">
        <v>28.62</v>
      </c>
      <c r="E6511" t="s">
        <v>9</v>
      </c>
      <c r="F6511">
        <v>38.74</v>
      </c>
      <c r="G6511" t="s">
        <v>20</v>
      </c>
      <c r="H6511" t="s">
        <v>12</v>
      </c>
    </row>
    <row r="6512" spans="1:8" x14ac:dyDescent="0.25">
      <c r="A6512" s="1">
        <v>45659.25</v>
      </c>
      <c r="B6512" t="s">
        <v>35</v>
      </c>
      <c r="C6512">
        <v>216.77</v>
      </c>
      <c r="D6512">
        <v>59.47</v>
      </c>
      <c r="E6512" t="s">
        <v>9</v>
      </c>
      <c r="F6512">
        <v>86.82</v>
      </c>
      <c r="G6512" t="s">
        <v>20</v>
      </c>
      <c r="H6512" t="s">
        <v>12</v>
      </c>
    </row>
    <row r="6513" spans="1:8" x14ac:dyDescent="0.25">
      <c r="A6513" s="1">
        <v>45659.291666666664</v>
      </c>
      <c r="B6513" t="s">
        <v>35</v>
      </c>
      <c r="C6513">
        <v>403.75</v>
      </c>
      <c r="D6513">
        <v>40.229999999999997</v>
      </c>
      <c r="E6513" t="s">
        <v>9</v>
      </c>
      <c r="F6513">
        <v>70.069999999999993</v>
      </c>
      <c r="G6513" t="s">
        <v>20</v>
      </c>
      <c r="H6513" t="s">
        <v>12</v>
      </c>
    </row>
    <row r="6514" spans="1:8" x14ac:dyDescent="0.25">
      <c r="A6514" s="1">
        <v>45659.333333333336</v>
      </c>
      <c r="B6514" t="s">
        <v>35</v>
      </c>
      <c r="C6514">
        <v>293.12</v>
      </c>
      <c r="D6514">
        <v>85.71</v>
      </c>
      <c r="E6514" t="s">
        <v>14</v>
      </c>
      <c r="F6514">
        <v>82.6</v>
      </c>
      <c r="G6514" t="s">
        <v>20</v>
      </c>
      <c r="H6514" t="s">
        <v>11</v>
      </c>
    </row>
    <row r="6515" spans="1:8" x14ac:dyDescent="0.25">
      <c r="A6515" s="1">
        <v>45659.375</v>
      </c>
      <c r="B6515" t="s">
        <v>35</v>
      </c>
      <c r="C6515">
        <v>145.02000000000001</v>
      </c>
      <c r="D6515">
        <v>46.29</v>
      </c>
      <c r="E6515" t="s">
        <v>9</v>
      </c>
      <c r="F6515">
        <v>37.799999999999997</v>
      </c>
      <c r="G6515" t="s">
        <v>20</v>
      </c>
      <c r="H6515" t="s">
        <v>11</v>
      </c>
    </row>
    <row r="6516" spans="1:8" x14ac:dyDescent="0.25">
      <c r="A6516" s="1">
        <v>45659.416666666664</v>
      </c>
      <c r="B6516" t="s">
        <v>35</v>
      </c>
      <c r="C6516">
        <v>429.2</v>
      </c>
      <c r="D6516">
        <v>35.46</v>
      </c>
      <c r="E6516" t="s">
        <v>9</v>
      </c>
      <c r="F6516">
        <v>51.54</v>
      </c>
      <c r="G6516" t="s">
        <v>20</v>
      </c>
      <c r="H6516" t="s">
        <v>11</v>
      </c>
    </row>
    <row r="6517" spans="1:8" x14ac:dyDescent="0.25">
      <c r="A6517" s="1">
        <v>45659.458333333336</v>
      </c>
      <c r="B6517" t="s">
        <v>35</v>
      </c>
      <c r="C6517">
        <v>453.69</v>
      </c>
      <c r="D6517">
        <v>57.27</v>
      </c>
      <c r="E6517" t="s">
        <v>9</v>
      </c>
      <c r="F6517">
        <v>38.08</v>
      </c>
      <c r="G6517" t="s">
        <v>20</v>
      </c>
      <c r="H6517" t="s">
        <v>13</v>
      </c>
    </row>
    <row r="6518" spans="1:8" x14ac:dyDescent="0.25">
      <c r="A6518" s="1">
        <v>45659.5</v>
      </c>
      <c r="B6518" t="s">
        <v>35</v>
      </c>
      <c r="C6518">
        <v>71.209999999999994</v>
      </c>
      <c r="D6518">
        <v>55.92</v>
      </c>
      <c r="E6518" t="s">
        <v>9</v>
      </c>
      <c r="F6518">
        <v>77.739999999999995</v>
      </c>
      <c r="G6518" t="s">
        <v>20</v>
      </c>
      <c r="H6518" t="s">
        <v>12</v>
      </c>
    </row>
    <row r="6519" spans="1:8" x14ac:dyDescent="0.25">
      <c r="A6519" s="1">
        <v>45659.541666666664</v>
      </c>
      <c r="B6519" t="s">
        <v>35</v>
      </c>
      <c r="C6519">
        <v>114.99</v>
      </c>
      <c r="D6519">
        <v>65.319999999999993</v>
      </c>
      <c r="E6519" t="s">
        <v>9</v>
      </c>
      <c r="F6519">
        <v>54.29</v>
      </c>
      <c r="G6519" t="s">
        <v>20</v>
      </c>
      <c r="H6519" t="s">
        <v>12</v>
      </c>
    </row>
    <row r="6520" spans="1:8" x14ac:dyDescent="0.25">
      <c r="A6520" s="1">
        <v>45659.583333333336</v>
      </c>
      <c r="B6520" t="s">
        <v>35</v>
      </c>
      <c r="C6520">
        <v>423.86</v>
      </c>
      <c r="D6520">
        <v>36.39</v>
      </c>
      <c r="E6520" t="s">
        <v>9</v>
      </c>
      <c r="F6520">
        <v>51.75</v>
      </c>
      <c r="G6520" t="s">
        <v>20</v>
      </c>
      <c r="H6520" t="s">
        <v>11</v>
      </c>
    </row>
    <row r="6521" spans="1:8" x14ac:dyDescent="0.25">
      <c r="A6521" s="1">
        <v>45659.625</v>
      </c>
      <c r="B6521" t="s">
        <v>35</v>
      </c>
      <c r="C6521">
        <v>443.05</v>
      </c>
      <c r="D6521">
        <v>31.19</v>
      </c>
      <c r="E6521" t="s">
        <v>9</v>
      </c>
      <c r="F6521">
        <v>47.64</v>
      </c>
      <c r="G6521" t="s">
        <v>20</v>
      </c>
      <c r="H6521" t="s">
        <v>12</v>
      </c>
    </row>
    <row r="6522" spans="1:8" x14ac:dyDescent="0.25">
      <c r="A6522" s="1">
        <v>45659.666666666664</v>
      </c>
      <c r="B6522" t="s">
        <v>35</v>
      </c>
      <c r="C6522">
        <v>199.98</v>
      </c>
      <c r="D6522">
        <v>56.86</v>
      </c>
      <c r="E6522" t="s">
        <v>9</v>
      </c>
      <c r="F6522">
        <v>50.87</v>
      </c>
      <c r="G6522" t="s">
        <v>20</v>
      </c>
      <c r="H6522" t="s">
        <v>11</v>
      </c>
    </row>
    <row r="6523" spans="1:8" x14ac:dyDescent="0.25">
      <c r="A6523" s="1">
        <v>45659.708333333336</v>
      </c>
      <c r="B6523" t="s">
        <v>35</v>
      </c>
      <c r="C6523">
        <v>208.53</v>
      </c>
      <c r="D6523">
        <v>24.19</v>
      </c>
      <c r="E6523" t="s">
        <v>9</v>
      </c>
      <c r="F6523">
        <v>62.46</v>
      </c>
      <c r="G6523" t="s">
        <v>20</v>
      </c>
      <c r="H6523" t="s">
        <v>13</v>
      </c>
    </row>
    <row r="6524" spans="1:8" x14ac:dyDescent="0.25">
      <c r="A6524" s="1">
        <v>45659.75</v>
      </c>
      <c r="B6524" t="s">
        <v>35</v>
      </c>
      <c r="C6524">
        <v>144.57</v>
      </c>
      <c r="D6524">
        <v>52.43</v>
      </c>
      <c r="E6524" t="s">
        <v>9</v>
      </c>
      <c r="F6524">
        <v>47.31</v>
      </c>
      <c r="G6524" t="s">
        <v>20</v>
      </c>
      <c r="H6524" t="s">
        <v>11</v>
      </c>
    </row>
    <row r="6525" spans="1:8" x14ac:dyDescent="0.25">
      <c r="A6525" s="1">
        <v>45659.791666666664</v>
      </c>
      <c r="B6525" t="s">
        <v>35</v>
      </c>
      <c r="C6525">
        <v>244.65</v>
      </c>
      <c r="D6525">
        <v>91.62</v>
      </c>
      <c r="E6525" t="s">
        <v>14</v>
      </c>
      <c r="F6525">
        <v>83.45</v>
      </c>
      <c r="G6525" t="s">
        <v>20</v>
      </c>
      <c r="H6525" t="s">
        <v>13</v>
      </c>
    </row>
    <row r="6526" spans="1:8" x14ac:dyDescent="0.25">
      <c r="A6526" s="1">
        <v>45659.833333333336</v>
      </c>
      <c r="B6526" t="s">
        <v>35</v>
      </c>
      <c r="C6526">
        <v>211.09</v>
      </c>
      <c r="D6526">
        <v>74.17</v>
      </c>
      <c r="E6526" t="s">
        <v>9</v>
      </c>
      <c r="F6526">
        <v>55.44</v>
      </c>
      <c r="G6526" t="s">
        <v>20</v>
      </c>
      <c r="H6526" t="s">
        <v>13</v>
      </c>
    </row>
    <row r="6527" spans="1:8" x14ac:dyDescent="0.25">
      <c r="A6527" s="1">
        <v>45659.875</v>
      </c>
      <c r="B6527" t="s">
        <v>35</v>
      </c>
      <c r="C6527">
        <v>354.1</v>
      </c>
      <c r="D6527">
        <v>24.94</v>
      </c>
      <c r="E6527" t="s">
        <v>9</v>
      </c>
      <c r="F6527">
        <v>48</v>
      </c>
      <c r="G6527" t="s">
        <v>20</v>
      </c>
      <c r="H6527" t="s">
        <v>11</v>
      </c>
    </row>
    <row r="6528" spans="1:8" x14ac:dyDescent="0.25">
      <c r="A6528" s="1">
        <v>45659.916666666664</v>
      </c>
      <c r="B6528" t="s">
        <v>35</v>
      </c>
      <c r="C6528">
        <v>498.06</v>
      </c>
      <c r="D6528">
        <v>76.17</v>
      </c>
      <c r="E6528" t="s">
        <v>9</v>
      </c>
      <c r="F6528">
        <v>71.55</v>
      </c>
      <c r="G6528" t="s">
        <v>20</v>
      </c>
      <c r="H6528" t="s">
        <v>12</v>
      </c>
    </row>
    <row r="6529" spans="1:8" x14ac:dyDescent="0.25">
      <c r="A6529" s="1">
        <v>45659.958333333336</v>
      </c>
      <c r="B6529" t="s">
        <v>35</v>
      </c>
      <c r="C6529">
        <v>235.05</v>
      </c>
      <c r="D6529">
        <v>42.46</v>
      </c>
      <c r="E6529" t="s">
        <v>9</v>
      </c>
      <c r="F6529">
        <v>62.25</v>
      </c>
      <c r="G6529" t="s">
        <v>20</v>
      </c>
      <c r="H6529" t="s">
        <v>13</v>
      </c>
    </row>
    <row r="6530" spans="1:8" x14ac:dyDescent="0.25">
      <c r="A6530" s="1">
        <v>45660</v>
      </c>
      <c r="B6530" t="s">
        <v>35</v>
      </c>
      <c r="C6530">
        <v>275.17</v>
      </c>
      <c r="D6530">
        <v>17.8</v>
      </c>
      <c r="E6530" t="s">
        <v>9</v>
      </c>
      <c r="F6530">
        <v>46.84</v>
      </c>
      <c r="G6530" t="s">
        <v>20</v>
      </c>
      <c r="H6530" t="s">
        <v>12</v>
      </c>
    </row>
    <row r="6531" spans="1:8" x14ac:dyDescent="0.25">
      <c r="A6531" s="1">
        <v>45660.041666666664</v>
      </c>
      <c r="B6531" t="s">
        <v>35</v>
      </c>
      <c r="C6531">
        <v>249.4</v>
      </c>
      <c r="D6531">
        <v>61.57</v>
      </c>
      <c r="E6531" t="s">
        <v>9</v>
      </c>
      <c r="F6531">
        <v>87.42</v>
      </c>
      <c r="G6531" t="s">
        <v>20</v>
      </c>
      <c r="H6531" t="s">
        <v>11</v>
      </c>
    </row>
    <row r="6532" spans="1:8" x14ac:dyDescent="0.25">
      <c r="A6532" s="1">
        <v>45660.083333333336</v>
      </c>
      <c r="B6532" t="s">
        <v>35</v>
      </c>
      <c r="C6532">
        <v>371</v>
      </c>
      <c r="D6532">
        <v>17.46</v>
      </c>
      <c r="E6532" t="s">
        <v>9</v>
      </c>
      <c r="F6532">
        <v>45.5</v>
      </c>
      <c r="G6532" t="s">
        <v>20</v>
      </c>
      <c r="H6532" t="s">
        <v>12</v>
      </c>
    </row>
    <row r="6533" spans="1:8" x14ac:dyDescent="0.25">
      <c r="A6533" s="1">
        <v>45660.125</v>
      </c>
      <c r="B6533" t="s">
        <v>35</v>
      </c>
      <c r="C6533">
        <v>134.35</v>
      </c>
      <c r="D6533">
        <v>54.75</v>
      </c>
      <c r="E6533" t="s">
        <v>9</v>
      </c>
      <c r="F6533">
        <v>74.400000000000006</v>
      </c>
      <c r="G6533" t="s">
        <v>20</v>
      </c>
      <c r="H6533" t="s">
        <v>13</v>
      </c>
    </row>
    <row r="6534" spans="1:8" x14ac:dyDescent="0.25">
      <c r="A6534" s="1">
        <v>45660.166666666664</v>
      </c>
      <c r="B6534" t="s">
        <v>35</v>
      </c>
      <c r="C6534">
        <v>421</v>
      </c>
      <c r="D6534">
        <v>86.29</v>
      </c>
      <c r="E6534" t="s">
        <v>14</v>
      </c>
      <c r="F6534">
        <v>51.03</v>
      </c>
      <c r="G6534" t="s">
        <v>20</v>
      </c>
      <c r="H6534" t="s">
        <v>13</v>
      </c>
    </row>
    <row r="6535" spans="1:8" x14ac:dyDescent="0.25">
      <c r="A6535" s="1">
        <v>45660.208333333336</v>
      </c>
      <c r="B6535" t="s">
        <v>35</v>
      </c>
      <c r="C6535">
        <v>327.37</v>
      </c>
      <c r="D6535">
        <v>39.6</v>
      </c>
      <c r="E6535" t="s">
        <v>9</v>
      </c>
      <c r="F6535">
        <v>32.74</v>
      </c>
      <c r="G6535" t="s">
        <v>20</v>
      </c>
      <c r="H6535" t="s">
        <v>11</v>
      </c>
    </row>
    <row r="6536" spans="1:8" x14ac:dyDescent="0.25">
      <c r="A6536" s="1">
        <v>45660.25</v>
      </c>
      <c r="B6536" t="s">
        <v>35</v>
      </c>
      <c r="C6536">
        <v>359.34</v>
      </c>
      <c r="D6536">
        <v>48.18</v>
      </c>
      <c r="E6536" t="s">
        <v>9</v>
      </c>
      <c r="F6536">
        <v>85.71</v>
      </c>
      <c r="G6536" t="s">
        <v>20</v>
      </c>
      <c r="H6536" t="s">
        <v>13</v>
      </c>
    </row>
    <row r="6537" spans="1:8" x14ac:dyDescent="0.25">
      <c r="A6537" s="1">
        <v>45660.291666666664</v>
      </c>
      <c r="B6537" t="s">
        <v>35</v>
      </c>
      <c r="C6537">
        <v>67.599999999999994</v>
      </c>
      <c r="D6537">
        <v>90.9</v>
      </c>
      <c r="E6537" t="s">
        <v>14</v>
      </c>
      <c r="F6537">
        <v>87.89</v>
      </c>
      <c r="G6537" t="s">
        <v>20</v>
      </c>
      <c r="H6537" t="s">
        <v>11</v>
      </c>
    </row>
    <row r="6538" spans="1:8" x14ac:dyDescent="0.25">
      <c r="A6538" s="1">
        <v>45660.333333333336</v>
      </c>
      <c r="B6538" t="s">
        <v>35</v>
      </c>
      <c r="C6538">
        <v>341.19</v>
      </c>
      <c r="D6538">
        <v>92.26</v>
      </c>
      <c r="E6538" t="s">
        <v>14</v>
      </c>
      <c r="F6538">
        <v>80.599999999999994</v>
      </c>
      <c r="G6538" t="s">
        <v>20</v>
      </c>
      <c r="H6538" t="s">
        <v>12</v>
      </c>
    </row>
    <row r="6539" spans="1:8" x14ac:dyDescent="0.25">
      <c r="A6539" s="1">
        <v>45660.375</v>
      </c>
      <c r="B6539" t="s">
        <v>35</v>
      </c>
      <c r="C6539">
        <v>142.93</v>
      </c>
      <c r="D6539">
        <v>14.31</v>
      </c>
      <c r="E6539" t="s">
        <v>9</v>
      </c>
      <c r="F6539">
        <v>88.83</v>
      </c>
      <c r="G6539" t="s">
        <v>20</v>
      </c>
      <c r="H6539" t="s">
        <v>13</v>
      </c>
    </row>
    <row r="6540" spans="1:8" x14ac:dyDescent="0.25">
      <c r="A6540" s="1">
        <v>45660.416666666664</v>
      </c>
      <c r="B6540" t="s">
        <v>35</v>
      </c>
      <c r="C6540">
        <v>69.72</v>
      </c>
      <c r="D6540">
        <v>16.39</v>
      </c>
      <c r="E6540" t="s">
        <v>9</v>
      </c>
      <c r="F6540">
        <v>78.040000000000006</v>
      </c>
      <c r="G6540" t="s">
        <v>20</v>
      </c>
      <c r="H6540" t="s">
        <v>11</v>
      </c>
    </row>
    <row r="6541" spans="1:8" x14ac:dyDescent="0.25">
      <c r="A6541" s="1">
        <v>45660.458333333336</v>
      </c>
      <c r="B6541" t="s">
        <v>35</v>
      </c>
      <c r="C6541">
        <v>310.11</v>
      </c>
      <c r="D6541">
        <v>82.27</v>
      </c>
      <c r="E6541" t="s">
        <v>9</v>
      </c>
      <c r="F6541">
        <v>34.67</v>
      </c>
      <c r="G6541" t="s">
        <v>20</v>
      </c>
      <c r="H6541" t="s">
        <v>12</v>
      </c>
    </row>
    <row r="6542" spans="1:8" x14ac:dyDescent="0.25">
      <c r="A6542" s="1">
        <v>45660.5</v>
      </c>
      <c r="B6542" t="s">
        <v>35</v>
      </c>
      <c r="C6542">
        <v>226.41</v>
      </c>
      <c r="D6542">
        <v>52.93</v>
      </c>
      <c r="E6542" t="s">
        <v>9</v>
      </c>
      <c r="F6542">
        <v>56.68</v>
      </c>
      <c r="G6542" t="s">
        <v>20</v>
      </c>
      <c r="H6542" t="s">
        <v>12</v>
      </c>
    </row>
    <row r="6543" spans="1:8" x14ac:dyDescent="0.25">
      <c r="A6543" s="1">
        <v>45660.541666666664</v>
      </c>
      <c r="B6543" t="s">
        <v>35</v>
      </c>
      <c r="C6543">
        <v>394.09</v>
      </c>
      <c r="D6543">
        <v>34.880000000000003</v>
      </c>
      <c r="E6543" t="s">
        <v>9</v>
      </c>
      <c r="F6543">
        <v>70.45</v>
      </c>
      <c r="G6543" t="s">
        <v>20</v>
      </c>
      <c r="H6543" t="s">
        <v>13</v>
      </c>
    </row>
    <row r="6544" spans="1:8" x14ac:dyDescent="0.25">
      <c r="A6544" s="1">
        <v>45660.583333333336</v>
      </c>
      <c r="B6544" t="s">
        <v>35</v>
      </c>
      <c r="C6544">
        <v>358.15</v>
      </c>
      <c r="D6544">
        <v>41.4</v>
      </c>
      <c r="E6544" t="s">
        <v>9</v>
      </c>
      <c r="F6544">
        <v>86.2</v>
      </c>
      <c r="G6544" t="s">
        <v>20</v>
      </c>
      <c r="H6544" t="s">
        <v>11</v>
      </c>
    </row>
    <row r="6545" spans="1:8" x14ac:dyDescent="0.25">
      <c r="A6545" s="1">
        <v>45660.625</v>
      </c>
      <c r="B6545" t="s">
        <v>35</v>
      </c>
      <c r="C6545">
        <v>295.49</v>
      </c>
      <c r="D6545">
        <v>21.07</v>
      </c>
      <c r="E6545" t="s">
        <v>9</v>
      </c>
      <c r="F6545">
        <v>56.57</v>
      </c>
      <c r="G6545" t="s">
        <v>20</v>
      </c>
      <c r="H6545" t="s">
        <v>13</v>
      </c>
    </row>
    <row r="6546" spans="1:8" x14ac:dyDescent="0.25">
      <c r="A6546" s="1">
        <v>45660.666666666664</v>
      </c>
      <c r="B6546" t="s">
        <v>35</v>
      </c>
      <c r="C6546">
        <v>417.67</v>
      </c>
      <c r="D6546">
        <v>43.03</v>
      </c>
      <c r="E6546" t="s">
        <v>9</v>
      </c>
      <c r="F6546">
        <v>69.209999999999994</v>
      </c>
      <c r="G6546" t="s">
        <v>20</v>
      </c>
      <c r="H6546" t="s">
        <v>12</v>
      </c>
    </row>
    <row r="6547" spans="1:8" x14ac:dyDescent="0.25">
      <c r="A6547" s="1">
        <v>45660.708333333336</v>
      </c>
      <c r="B6547" t="s">
        <v>35</v>
      </c>
      <c r="C6547">
        <v>134.81</v>
      </c>
      <c r="D6547">
        <v>80.06</v>
      </c>
      <c r="E6547" t="s">
        <v>9</v>
      </c>
      <c r="F6547">
        <v>81.58</v>
      </c>
      <c r="G6547" t="s">
        <v>20</v>
      </c>
      <c r="H6547" t="s">
        <v>13</v>
      </c>
    </row>
    <row r="6548" spans="1:8" x14ac:dyDescent="0.25">
      <c r="A6548" s="1">
        <v>45660.75</v>
      </c>
      <c r="B6548" t="s">
        <v>35</v>
      </c>
      <c r="C6548">
        <v>63.34</v>
      </c>
      <c r="D6548">
        <v>67.459999999999994</v>
      </c>
      <c r="E6548" t="s">
        <v>9</v>
      </c>
      <c r="F6548">
        <v>54.87</v>
      </c>
      <c r="G6548" t="s">
        <v>20</v>
      </c>
      <c r="H6548" t="s">
        <v>12</v>
      </c>
    </row>
    <row r="6549" spans="1:8" x14ac:dyDescent="0.25">
      <c r="A6549" s="1">
        <v>45660.791666666664</v>
      </c>
      <c r="B6549" t="s">
        <v>35</v>
      </c>
      <c r="C6549">
        <v>132.83000000000001</v>
      </c>
      <c r="D6549">
        <v>16.95</v>
      </c>
      <c r="E6549" t="s">
        <v>9</v>
      </c>
      <c r="F6549">
        <v>81.44</v>
      </c>
      <c r="G6549" t="s">
        <v>20</v>
      </c>
      <c r="H6549" t="s">
        <v>13</v>
      </c>
    </row>
    <row r="6550" spans="1:8" x14ac:dyDescent="0.25">
      <c r="A6550" s="1">
        <v>45660.833333333336</v>
      </c>
      <c r="B6550" t="s">
        <v>35</v>
      </c>
      <c r="C6550">
        <v>167.62</v>
      </c>
      <c r="D6550">
        <v>43.25</v>
      </c>
      <c r="E6550" t="s">
        <v>9</v>
      </c>
      <c r="F6550">
        <v>59.56</v>
      </c>
      <c r="G6550" t="s">
        <v>20</v>
      </c>
      <c r="H6550" t="s">
        <v>12</v>
      </c>
    </row>
    <row r="6551" spans="1:8" x14ac:dyDescent="0.25">
      <c r="A6551" s="1">
        <v>45660.875</v>
      </c>
      <c r="B6551" t="s">
        <v>35</v>
      </c>
      <c r="C6551">
        <v>298.73</v>
      </c>
      <c r="D6551">
        <v>33.33</v>
      </c>
      <c r="E6551" t="s">
        <v>9</v>
      </c>
      <c r="F6551">
        <v>68.12</v>
      </c>
      <c r="G6551" t="s">
        <v>20</v>
      </c>
      <c r="H6551" t="s">
        <v>12</v>
      </c>
    </row>
    <row r="6552" spans="1:8" x14ac:dyDescent="0.25">
      <c r="A6552" s="1">
        <v>45660.916666666664</v>
      </c>
      <c r="B6552" t="s">
        <v>35</v>
      </c>
      <c r="C6552">
        <v>348.84</v>
      </c>
      <c r="D6552">
        <v>91.49</v>
      </c>
      <c r="E6552" t="s">
        <v>14</v>
      </c>
      <c r="F6552">
        <v>30.91</v>
      </c>
      <c r="G6552" t="s">
        <v>20</v>
      </c>
      <c r="H6552" t="s">
        <v>13</v>
      </c>
    </row>
    <row r="6553" spans="1:8" x14ac:dyDescent="0.25">
      <c r="A6553" s="1">
        <v>45660.958333333336</v>
      </c>
      <c r="B6553" t="s">
        <v>35</v>
      </c>
      <c r="C6553">
        <v>275.39999999999998</v>
      </c>
      <c r="D6553">
        <v>87.91</v>
      </c>
      <c r="E6553" t="s">
        <v>14</v>
      </c>
      <c r="F6553">
        <v>73.849999999999994</v>
      </c>
      <c r="G6553" t="s">
        <v>20</v>
      </c>
      <c r="H6553" t="s">
        <v>13</v>
      </c>
    </row>
    <row r="6554" spans="1:8" x14ac:dyDescent="0.25">
      <c r="A6554" s="1">
        <v>45661</v>
      </c>
      <c r="B6554" t="s">
        <v>35</v>
      </c>
      <c r="C6554">
        <v>64.22</v>
      </c>
      <c r="D6554">
        <v>42.69</v>
      </c>
      <c r="E6554" t="s">
        <v>9</v>
      </c>
      <c r="F6554">
        <v>50.75</v>
      </c>
      <c r="G6554" t="s">
        <v>20</v>
      </c>
      <c r="H6554" t="s">
        <v>13</v>
      </c>
    </row>
    <row r="6555" spans="1:8" x14ac:dyDescent="0.25">
      <c r="A6555" s="1">
        <v>45661.041666666664</v>
      </c>
      <c r="B6555" t="s">
        <v>35</v>
      </c>
      <c r="C6555">
        <v>344.41</v>
      </c>
      <c r="D6555">
        <v>75.489999999999995</v>
      </c>
      <c r="E6555" t="s">
        <v>9</v>
      </c>
      <c r="F6555">
        <v>36.799999999999997</v>
      </c>
      <c r="G6555" t="s">
        <v>20</v>
      </c>
      <c r="H6555" t="s">
        <v>11</v>
      </c>
    </row>
    <row r="6556" spans="1:8" x14ac:dyDescent="0.25">
      <c r="A6556" s="1">
        <v>45661.083333333336</v>
      </c>
      <c r="B6556" t="s">
        <v>35</v>
      </c>
      <c r="C6556">
        <v>322.77999999999997</v>
      </c>
      <c r="D6556">
        <v>43.41</v>
      </c>
      <c r="E6556" t="s">
        <v>9</v>
      </c>
      <c r="F6556">
        <v>44.95</v>
      </c>
      <c r="G6556" t="s">
        <v>20</v>
      </c>
      <c r="H6556" t="s">
        <v>13</v>
      </c>
    </row>
    <row r="6557" spans="1:8" x14ac:dyDescent="0.25">
      <c r="A6557" s="1">
        <v>45661.125</v>
      </c>
      <c r="B6557" t="s">
        <v>35</v>
      </c>
      <c r="C6557">
        <v>119.07</v>
      </c>
      <c r="D6557">
        <v>16.739999999999998</v>
      </c>
      <c r="E6557" t="s">
        <v>9</v>
      </c>
      <c r="F6557">
        <v>74.73</v>
      </c>
      <c r="G6557" t="s">
        <v>20</v>
      </c>
      <c r="H6557" t="s">
        <v>13</v>
      </c>
    </row>
    <row r="6558" spans="1:8" x14ac:dyDescent="0.25">
      <c r="A6558" s="1">
        <v>45661.166666666664</v>
      </c>
      <c r="B6558" t="s">
        <v>35</v>
      </c>
      <c r="C6558">
        <v>210.96</v>
      </c>
      <c r="D6558">
        <v>45.45</v>
      </c>
      <c r="E6558" t="s">
        <v>9</v>
      </c>
      <c r="F6558">
        <v>47.17</v>
      </c>
      <c r="G6558" t="s">
        <v>20</v>
      </c>
      <c r="H6558" t="s">
        <v>12</v>
      </c>
    </row>
    <row r="6559" spans="1:8" x14ac:dyDescent="0.25">
      <c r="A6559" s="1">
        <v>45661.208333333336</v>
      </c>
      <c r="B6559" t="s">
        <v>35</v>
      </c>
      <c r="C6559">
        <v>248.98</v>
      </c>
      <c r="D6559">
        <v>41.99</v>
      </c>
      <c r="E6559" t="s">
        <v>9</v>
      </c>
      <c r="F6559">
        <v>56.56</v>
      </c>
      <c r="G6559" t="s">
        <v>20</v>
      </c>
      <c r="H6559" t="s">
        <v>12</v>
      </c>
    </row>
    <row r="6560" spans="1:8" x14ac:dyDescent="0.25">
      <c r="A6560" s="1">
        <v>45661.25</v>
      </c>
      <c r="B6560" t="s">
        <v>35</v>
      </c>
      <c r="C6560">
        <v>434.22</v>
      </c>
      <c r="D6560">
        <v>73.8</v>
      </c>
      <c r="E6560" t="s">
        <v>9</v>
      </c>
      <c r="F6560">
        <v>50.08</v>
      </c>
      <c r="G6560" t="s">
        <v>20</v>
      </c>
      <c r="H6560" t="s">
        <v>13</v>
      </c>
    </row>
    <row r="6561" spans="1:8" x14ac:dyDescent="0.25">
      <c r="A6561" s="1">
        <v>45661.291666666664</v>
      </c>
      <c r="B6561" t="s">
        <v>35</v>
      </c>
      <c r="C6561">
        <v>495.69</v>
      </c>
      <c r="D6561">
        <v>35.53</v>
      </c>
      <c r="E6561" t="s">
        <v>9</v>
      </c>
      <c r="F6561">
        <v>80.58</v>
      </c>
      <c r="G6561" t="s">
        <v>20</v>
      </c>
      <c r="H6561" t="s">
        <v>11</v>
      </c>
    </row>
    <row r="6562" spans="1:8" x14ac:dyDescent="0.25">
      <c r="A6562" s="1">
        <v>45661.333333333336</v>
      </c>
      <c r="B6562" t="s">
        <v>35</v>
      </c>
      <c r="C6562">
        <v>89.53</v>
      </c>
      <c r="D6562">
        <v>67.569999999999993</v>
      </c>
      <c r="E6562" t="s">
        <v>9</v>
      </c>
      <c r="F6562">
        <v>66.05</v>
      </c>
      <c r="G6562" t="s">
        <v>20</v>
      </c>
      <c r="H6562" t="s">
        <v>13</v>
      </c>
    </row>
    <row r="6563" spans="1:8" x14ac:dyDescent="0.25">
      <c r="A6563" s="1">
        <v>45661.375</v>
      </c>
      <c r="B6563" t="s">
        <v>35</v>
      </c>
      <c r="C6563">
        <v>171.75</v>
      </c>
      <c r="D6563">
        <v>80.58</v>
      </c>
      <c r="E6563" t="s">
        <v>9</v>
      </c>
      <c r="F6563">
        <v>74.83</v>
      </c>
      <c r="G6563" t="s">
        <v>20</v>
      </c>
      <c r="H6563" t="s">
        <v>11</v>
      </c>
    </row>
    <row r="6564" spans="1:8" x14ac:dyDescent="0.25">
      <c r="A6564" s="1">
        <v>45661.416666666664</v>
      </c>
      <c r="B6564" t="s">
        <v>35</v>
      </c>
      <c r="C6564">
        <v>330.04</v>
      </c>
      <c r="D6564">
        <v>60.98</v>
      </c>
      <c r="E6564" t="s">
        <v>9</v>
      </c>
      <c r="F6564">
        <v>86.62</v>
      </c>
      <c r="G6564" t="s">
        <v>20</v>
      </c>
      <c r="H6564" t="s">
        <v>13</v>
      </c>
    </row>
    <row r="6565" spans="1:8" x14ac:dyDescent="0.25">
      <c r="A6565" s="1">
        <v>45661.458333333336</v>
      </c>
      <c r="B6565" t="s">
        <v>35</v>
      </c>
      <c r="C6565">
        <v>53.59</v>
      </c>
      <c r="D6565">
        <v>81.48</v>
      </c>
      <c r="E6565" t="s">
        <v>9</v>
      </c>
      <c r="F6565">
        <v>60.98</v>
      </c>
      <c r="G6565" t="s">
        <v>20</v>
      </c>
      <c r="H6565" t="s">
        <v>12</v>
      </c>
    </row>
    <row r="6566" spans="1:8" x14ac:dyDescent="0.25">
      <c r="A6566" s="1">
        <v>45661.5</v>
      </c>
      <c r="B6566" t="s">
        <v>35</v>
      </c>
      <c r="C6566">
        <v>177.44</v>
      </c>
      <c r="D6566">
        <v>60.24</v>
      </c>
      <c r="E6566" t="s">
        <v>9</v>
      </c>
      <c r="F6566">
        <v>33.57</v>
      </c>
      <c r="G6566" t="s">
        <v>20</v>
      </c>
      <c r="H6566" t="s">
        <v>12</v>
      </c>
    </row>
    <row r="6567" spans="1:8" x14ac:dyDescent="0.25">
      <c r="A6567" s="1">
        <v>45661.541666666664</v>
      </c>
      <c r="B6567" t="s">
        <v>35</v>
      </c>
      <c r="C6567">
        <v>428.93</v>
      </c>
      <c r="D6567">
        <v>45.52</v>
      </c>
      <c r="E6567" t="s">
        <v>9</v>
      </c>
      <c r="F6567">
        <v>61.75</v>
      </c>
      <c r="G6567" t="s">
        <v>20</v>
      </c>
      <c r="H6567" t="s">
        <v>11</v>
      </c>
    </row>
    <row r="6568" spans="1:8" x14ac:dyDescent="0.25">
      <c r="A6568" s="1">
        <v>45661.583333333336</v>
      </c>
      <c r="B6568" t="s">
        <v>35</v>
      </c>
      <c r="C6568">
        <v>385.09</v>
      </c>
      <c r="D6568">
        <v>86.81</v>
      </c>
      <c r="E6568" t="s">
        <v>14</v>
      </c>
      <c r="F6568">
        <v>45.61</v>
      </c>
      <c r="G6568" t="s">
        <v>20</v>
      </c>
      <c r="H6568" t="s">
        <v>11</v>
      </c>
    </row>
    <row r="6569" spans="1:8" x14ac:dyDescent="0.25">
      <c r="A6569" s="1">
        <v>45661.625</v>
      </c>
      <c r="B6569" t="s">
        <v>35</v>
      </c>
      <c r="C6569">
        <v>272.02999999999997</v>
      </c>
      <c r="D6569">
        <v>27.36</v>
      </c>
      <c r="E6569" t="s">
        <v>9</v>
      </c>
      <c r="F6569">
        <v>36.97</v>
      </c>
      <c r="G6569" t="s">
        <v>20</v>
      </c>
      <c r="H6569" t="s">
        <v>12</v>
      </c>
    </row>
    <row r="6570" spans="1:8" x14ac:dyDescent="0.25">
      <c r="A6570" s="1">
        <v>45661.666666666664</v>
      </c>
      <c r="B6570" t="s">
        <v>35</v>
      </c>
      <c r="C6570">
        <v>152.88</v>
      </c>
      <c r="D6570">
        <v>66.22</v>
      </c>
      <c r="E6570" t="s">
        <v>9</v>
      </c>
      <c r="F6570">
        <v>37.81</v>
      </c>
      <c r="G6570" t="s">
        <v>20</v>
      </c>
      <c r="H6570" t="s">
        <v>13</v>
      </c>
    </row>
    <row r="6571" spans="1:8" x14ac:dyDescent="0.25">
      <c r="A6571" s="1">
        <v>45661.708333333336</v>
      </c>
      <c r="B6571" t="s">
        <v>35</v>
      </c>
      <c r="C6571">
        <v>456.18</v>
      </c>
      <c r="D6571">
        <v>82.49</v>
      </c>
      <c r="E6571" t="s">
        <v>9</v>
      </c>
      <c r="F6571">
        <v>83.59</v>
      </c>
      <c r="G6571" t="s">
        <v>20</v>
      </c>
      <c r="H6571" t="s">
        <v>11</v>
      </c>
    </row>
    <row r="6572" spans="1:8" x14ac:dyDescent="0.25">
      <c r="A6572" s="1">
        <v>45661.75</v>
      </c>
      <c r="B6572" t="s">
        <v>35</v>
      </c>
      <c r="C6572">
        <v>474.07</v>
      </c>
      <c r="D6572">
        <v>58.68</v>
      </c>
      <c r="E6572" t="s">
        <v>9</v>
      </c>
      <c r="F6572">
        <v>59.72</v>
      </c>
      <c r="G6572" t="s">
        <v>20</v>
      </c>
      <c r="H6572" t="s">
        <v>11</v>
      </c>
    </row>
    <row r="6573" spans="1:8" x14ac:dyDescent="0.25">
      <c r="A6573" s="1">
        <v>45661.791666666664</v>
      </c>
      <c r="B6573" t="s">
        <v>35</v>
      </c>
      <c r="C6573">
        <v>261.14</v>
      </c>
      <c r="D6573">
        <v>74.16</v>
      </c>
      <c r="E6573" t="s">
        <v>9</v>
      </c>
      <c r="F6573">
        <v>89.99</v>
      </c>
      <c r="G6573" t="s">
        <v>20</v>
      </c>
      <c r="H6573" t="s">
        <v>11</v>
      </c>
    </row>
    <row r="6574" spans="1:8" x14ac:dyDescent="0.25">
      <c r="A6574" s="1">
        <v>45661.833333333336</v>
      </c>
      <c r="B6574" t="s">
        <v>35</v>
      </c>
      <c r="C6574">
        <v>355.12</v>
      </c>
      <c r="D6574">
        <v>67.010000000000005</v>
      </c>
      <c r="E6574" t="s">
        <v>9</v>
      </c>
      <c r="F6574">
        <v>71.709999999999994</v>
      </c>
      <c r="G6574" t="s">
        <v>20</v>
      </c>
      <c r="H6574" t="s">
        <v>13</v>
      </c>
    </row>
    <row r="6575" spans="1:8" x14ac:dyDescent="0.25">
      <c r="A6575" s="1">
        <v>45661.875</v>
      </c>
      <c r="B6575" t="s">
        <v>35</v>
      </c>
      <c r="C6575">
        <v>94.57</v>
      </c>
      <c r="D6575">
        <v>50.9</v>
      </c>
      <c r="E6575" t="s">
        <v>9</v>
      </c>
      <c r="F6575">
        <v>55.65</v>
      </c>
      <c r="G6575" t="s">
        <v>20</v>
      </c>
      <c r="H6575" t="s">
        <v>11</v>
      </c>
    </row>
    <row r="6576" spans="1:8" x14ac:dyDescent="0.25">
      <c r="A6576" s="1">
        <v>45661.916666666664</v>
      </c>
      <c r="B6576" t="s">
        <v>35</v>
      </c>
      <c r="C6576">
        <v>391.66</v>
      </c>
      <c r="D6576">
        <v>79.92</v>
      </c>
      <c r="E6576" t="s">
        <v>9</v>
      </c>
      <c r="F6576">
        <v>61.3</v>
      </c>
      <c r="G6576" t="s">
        <v>20</v>
      </c>
      <c r="H6576" t="s">
        <v>13</v>
      </c>
    </row>
    <row r="6577" spans="1:8" x14ac:dyDescent="0.25">
      <c r="A6577" s="1">
        <v>45661.958333333336</v>
      </c>
      <c r="B6577" t="s">
        <v>35</v>
      </c>
      <c r="C6577">
        <v>279.44</v>
      </c>
      <c r="D6577">
        <v>91.71</v>
      </c>
      <c r="E6577" t="s">
        <v>14</v>
      </c>
      <c r="F6577">
        <v>88.73</v>
      </c>
      <c r="G6577" t="s">
        <v>20</v>
      </c>
      <c r="H6577" t="s">
        <v>13</v>
      </c>
    </row>
    <row r="6578" spans="1:8" x14ac:dyDescent="0.25">
      <c r="A6578" s="1">
        <v>45662</v>
      </c>
      <c r="B6578" t="s">
        <v>35</v>
      </c>
      <c r="C6578">
        <v>457.64</v>
      </c>
      <c r="D6578">
        <v>94.5</v>
      </c>
      <c r="E6578" t="s">
        <v>14</v>
      </c>
      <c r="F6578">
        <v>55.31</v>
      </c>
      <c r="G6578" t="s">
        <v>20</v>
      </c>
      <c r="H6578" t="s">
        <v>11</v>
      </c>
    </row>
    <row r="6579" spans="1:8" x14ac:dyDescent="0.25">
      <c r="A6579" s="1">
        <v>45662.041666666664</v>
      </c>
      <c r="B6579" t="s">
        <v>35</v>
      </c>
      <c r="C6579">
        <v>178.85</v>
      </c>
      <c r="D6579">
        <v>58.82</v>
      </c>
      <c r="E6579" t="s">
        <v>9</v>
      </c>
      <c r="F6579">
        <v>64.33</v>
      </c>
      <c r="G6579" t="s">
        <v>20</v>
      </c>
      <c r="H6579" t="s">
        <v>11</v>
      </c>
    </row>
    <row r="6580" spans="1:8" x14ac:dyDescent="0.25">
      <c r="A6580" s="1">
        <v>45662.083333333336</v>
      </c>
      <c r="B6580" t="s">
        <v>35</v>
      </c>
      <c r="C6580">
        <v>82.15</v>
      </c>
      <c r="D6580">
        <v>74.25</v>
      </c>
      <c r="E6580" t="s">
        <v>9</v>
      </c>
      <c r="F6580">
        <v>63.66</v>
      </c>
      <c r="G6580" t="s">
        <v>20</v>
      </c>
      <c r="H6580" t="s">
        <v>11</v>
      </c>
    </row>
    <row r="6581" spans="1:8" x14ac:dyDescent="0.25">
      <c r="A6581" s="1">
        <v>45662.125</v>
      </c>
      <c r="B6581" t="s">
        <v>35</v>
      </c>
      <c r="C6581">
        <v>227.77</v>
      </c>
      <c r="D6581">
        <v>82.02</v>
      </c>
      <c r="E6581" t="s">
        <v>9</v>
      </c>
      <c r="F6581">
        <v>68</v>
      </c>
      <c r="G6581" t="s">
        <v>20</v>
      </c>
      <c r="H6581" t="s">
        <v>12</v>
      </c>
    </row>
    <row r="6582" spans="1:8" x14ac:dyDescent="0.25">
      <c r="A6582" s="1">
        <v>45662.166666666664</v>
      </c>
      <c r="B6582" t="s">
        <v>35</v>
      </c>
      <c r="C6582">
        <v>196.49</v>
      </c>
      <c r="D6582">
        <v>78.08</v>
      </c>
      <c r="E6582" t="s">
        <v>9</v>
      </c>
      <c r="F6582">
        <v>40.33</v>
      </c>
      <c r="G6582" t="s">
        <v>20</v>
      </c>
      <c r="H6582" t="s">
        <v>13</v>
      </c>
    </row>
    <row r="6583" spans="1:8" x14ac:dyDescent="0.25">
      <c r="A6583" s="1">
        <v>45662.208333333336</v>
      </c>
      <c r="B6583" t="s">
        <v>35</v>
      </c>
      <c r="C6583">
        <v>293.5</v>
      </c>
      <c r="D6583">
        <v>57.58</v>
      </c>
      <c r="E6583" t="s">
        <v>9</v>
      </c>
      <c r="F6583">
        <v>82.45</v>
      </c>
      <c r="G6583" t="s">
        <v>20</v>
      </c>
      <c r="H6583" t="s">
        <v>12</v>
      </c>
    </row>
    <row r="6584" spans="1:8" x14ac:dyDescent="0.25">
      <c r="A6584" s="1">
        <v>45662.25</v>
      </c>
      <c r="B6584" t="s">
        <v>35</v>
      </c>
      <c r="C6584">
        <v>114.06</v>
      </c>
      <c r="D6584">
        <v>46.27</v>
      </c>
      <c r="E6584" t="s">
        <v>9</v>
      </c>
      <c r="F6584">
        <v>48.51</v>
      </c>
      <c r="G6584" t="s">
        <v>20</v>
      </c>
      <c r="H6584" t="s">
        <v>11</v>
      </c>
    </row>
    <row r="6585" spans="1:8" x14ac:dyDescent="0.25">
      <c r="A6585" s="1">
        <v>45662.291666666664</v>
      </c>
      <c r="B6585" t="s">
        <v>35</v>
      </c>
      <c r="C6585">
        <v>489.41</v>
      </c>
      <c r="D6585">
        <v>31.41</v>
      </c>
      <c r="E6585" t="s">
        <v>9</v>
      </c>
      <c r="F6585">
        <v>86.1</v>
      </c>
      <c r="G6585" t="s">
        <v>20</v>
      </c>
      <c r="H6585" t="s">
        <v>12</v>
      </c>
    </row>
    <row r="6586" spans="1:8" x14ac:dyDescent="0.25">
      <c r="A6586" s="1">
        <v>45662.333333333336</v>
      </c>
      <c r="B6586" t="s">
        <v>35</v>
      </c>
      <c r="C6586">
        <v>288.52999999999997</v>
      </c>
      <c r="D6586">
        <v>55.87</v>
      </c>
      <c r="E6586" t="s">
        <v>9</v>
      </c>
      <c r="F6586">
        <v>67.430000000000007</v>
      </c>
      <c r="G6586" t="s">
        <v>20</v>
      </c>
      <c r="H6586" t="s">
        <v>12</v>
      </c>
    </row>
    <row r="6587" spans="1:8" x14ac:dyDescent="0.25">
      <c r="A6587" s="1">
        <v>45662.375</v>
      </c>
      <c r="B6587" t="s">
        <v>35</v>
      </c>
      <c r="C6587">
        <v>311.86</v>
      </c>
      <c r="D6587">
        <v>39.79</v>
      </c>
      <c r="E6587" t="s">
        <v>9</v>
      </c>
      <c r="F6587">
        <v>52.99</v>
      </c>
      <c r="G6587" t="s">
        <v>20</v>
      </c>
      <c r="H6587" t="s">
        <v>13</v>
      </c>
    </row>
    <row r="6588" spans="1:8" x14ac:dyDescent="0.25">
      <c r="A6588" s="1">
        <v>45662.416666666664</v>
      </c>
      <c r="B6588" t="s">
        <v>35</v>
      </c>
      <c r="C6588">
        <v>451.49</v>
      </c>
      <c r="D6588">
        <v>28.06</v>
      </c>
      <c r="E6588" t="s">
        <v>9</v>
      </c>
      <c r="F6588">
        <v>55.51</v>
      </c>
      <c r="G6588" t="s">
        <v>20</v>
      </c>
      <c r="H6588" t="s">
        <v>11</v>
      </c>
    </row>
    <row r="6589" spans="1:8" x14ac:dyDescent="0.25">
      <c r="A6589" s="1">
        <v>45662.458333333336</v>
      </c>
      <c r="B6589" t="s">
        <v>35</v>
      </c>
      <c r="C6589">
        <v>198.13</v>
      </c>
      <c r="D6589">
        <v>88.88</v>
      </c>
      <c r="E6589" t="s">
        <v>14</v>
      </c>
      <c r="F6589">
        <v>86.31</v>
      </c>
      <c r="G6589" t="s">
        <v>20</v>
      </c>
      <c r="H6589" t="s">
        <v>11</v>
      </c>
    </row>
    <row r="6590" spans="1:8" x14ac:dyDescent="0.25">
      <c r="A6590" s="1">
        <v>45662.5</v>
      </c>
      <c r="B6590" t="s">
        <v>35</v>
      </c>
      <c r="C6590">
        <v>61.59</v>
      </c>
      <c r="D6590">
        <v>76.459999999999994</v>
      </c>
      <c r="E6590" t="s">
        <v>9</v>
      </c>
      <c r="F6590">
        <v>34.93</v>
      </c>
      <c r="G6590" t="s">
        <v>20</v>
      </c>
      <c r="H6590" t="s">
        <v>13</v>
      </c>
    </row>
    <row r="6591" spans="1:8" x14ac:dyDescent="0.25">
      <c r="A6591" s="1">
        <v>45662.541666666664</v>
      </c>
      <c r="B6591" t="s">
        <v>35</v>
      </c>
      <c r="C6591">
        <v>411.54</v>
      </c>
      <c r="D6591">
        <v>36.9</v>
      </c>
      <c r="E6591" t="s">
        <v>9</v>
      </c>
      <c r="F6591">
        <v>56.95</v>
      </c>
      <c r="G6591" t="s">
        <v>20</v>
      </c>
      <c r="H6591" t="s">
        <v>13</v>
      </c>
    </row>
    <row r="6592" spans="1:8" x14ac:dyDescent="0.25">
      <c r="A6592" s="1">
        <v>45662.583333333336</v>
      </c>
      <c r="B6592" t="s">
        <v>35</v>
      </c>
      <c r="C6592">
        <v>448.03</v>
      </c>
      <c r="D6592">
        <v>69.08</v>
      </c>
      <c r="E6592" t="s">
        <v>9</v>
      </c>
      <c r="F6592">
        <v>51.75</v>
      </c>
      <c r="G6592" t="s">
        <v>20</v>
      </c>
      <c r="H6592" t="s">
        <v>11</v>
      </c>
    </row>
    <row r="6593" spans="1:8" x14ac:dyDescent="0.25">
      <c r="A6593" s="1">
        <v>45662.625</v>
      </c>
      <c r="B6593" t="s">
        <v>35</v>
      </c>
      <c r="C6593">
        <v>362.89</v>
      </c>
      <c r="D6593">
        <v>43.02</v>
      </c>
      <c r="E6593" t="s">
        <v>9</v>
      </c>
      <c r="F6593">
        <v>39.74</v>
      </c>
      <c r="G6593" t="s">
        <v>20</v>
      </c>
      <c r="H6593" t="s">
        <v>13</v>
      </c>
    </row>
    <row r="6594" spans="1:8" x14ac:dyDescent="0.25">
      <c r="A6594" s="1">
        <v>45662.666666666664</v>
      </c>
      <c r="B6594" t="s">
        <v>35</v>
      </c>
      <c r="C6594">
        <v>375.61</v>
      </c>
      <c r="D6594">
        <v>39.99</v>
      </c>
      <c r="E6594" t="s">
        <v>9</v>
      </c>
      <c r="F6594">
        <v>37.31</v>
      </c>
      <c r="G6594" t="s">
        <v>20</v>
      </c>
      <c r="H6594" t="s">
        <v>13</v>
      </c>
    </row>
    <row r="6595" spans="1:8" x14ac:dyDescent="0.25">
      <c r="A6595" s="1">
        <v>45662.708333333336</v>
      </c>
      <c r="B6595" t="s">
        <v>35</v>
      </c>
      <c r="C6595">
        <v>163.76</v>
      </c>
      <c r="D6595">
        <v>55.54</v>
      </c>
      <c r="E6595" t="s">
        <v>9</v>
      </c>
      <c r="F6595">
        <v>71.48</v>
      </c>
      <c r="G6595" t="s">
        <v>20</v>
      </c>
      <c r="H6595" t="s">
        <v>13</v>
      </c>
    </row>
    <row r="6596" spans="1:8" x14ac:dyDescent="0.25">
      <c r="A6596" s="1">
        <v>45662.75</v>
      </c>
      <c r="B6596" t="s">
        <v>35</v>
      </c>
      <c r="C6596">
        <v>50.93</v>
      </c>
      <c r="D6596">
        <v>41.86</v>
      </c>
      <c r="E6596" t="s">
        <v>9</v>
      </c>
      <c r="F6596">
        <v>59.67</v>
      </c>
      <c r="G6596" t="s">
        <v>20</v>
      </c>
      <c r="H6596" t="s">
        <v>12</v>
      </c>
    </row>
    <row r="6597" spans="1:8" x14ac:dyDescent="0.25">
      <c r="A6597" s="1">
        <v>45662.791666666664</v>
      </c>
      <c r="B6597" t="s">
        <v>35</v>
      </c>
      <c r="C6597">
        <v>315.76</v>
      </c>
      <c r="D6597">
        <v>80.760000000000005</v>
      </c>
      <c r="E6597" t="s">
        <v>9</v>
      </c>
      <c r="F6597">
        <v>69.38</v>
      </c>
      <c r="G6597" t="s">
        <v>20</v>
      </c>
      <c r="H6597" t="s">
        <v>13</v>
      </c>
    </row>
    <row r="6598" spans="1:8" x14ac:dyDescent="0.25">
      <c r="A6598" s="1">
        <v>45662.833333333336</v>
      </c>
      <c r="B6598" t="s">
        <v>35</v>
      </c>
      <c r="C6598">
        <v>374.08</v>
      </c>
      <c r="D6598">
        <v>33.96</v>
      </c>
      <c r="E6598" t="s">
        <v>9</v>
      </c>
      <c r="F6598">
        <v>42.88</v>
      </c>
      <c r="G6598" t="s">
        <v>20</v>
      </c>
      <c r="H6598" t="s">
        <v>12</v>
      </c>
    </row>
    <row r="6599" spans="1:8" x14ac:dyDescent="0.25">
      <c r="A6599" s="1">
        <v>45662.875</v>
      </c>
      <c r="B6599" t="s">
        <v>35</v>
      </c>
      <c r="C6599">
        <v>473.95</v>
      </c>
      <c r="D6599">
        <v>21.63</v>
      </c>
      <c r="E6599" t="s">
        <v>9</v>
      </c>
      <c r="F6599">
        <v>59.22</v>
      </c>
      <c r="G6599" t="s">
        <v>20</v>
      </c>
      <c r="H6599" t="s">
        <v>13</v>
      </c>
    </row>
    <row r="6600" spans="1:8" x14ac:dyDescent="0.25">
      <c r="A6600" s="1">
        <v>45662.916666666664</v>
      </c>
      <c r="B6600" t="s">
        <v>35</v>
      </c>
      <c r="C6600">
        <v>402.88</v>
      </c>
      <c r="D6600">
        <v>83.62</v>
      </c>
      <c r="E6600" t="s">
        <v>9</v>
      </c>
      <c r="F6600">
        <v>66.27</v>
      </c>
      <c r="G6600" t="s">
        <v>20</v>
      </c>
      <c r="H6600" t="s">
        <v>12</v>
      </c>
    </row>
    <row r="6601" spans="1:8" x14ac:dyDescent="0.25">
      <c r="A6601" s="1">
        <v>45662.958333333336</v>
      </c>
      <c r="B6601" t="s">
        <v>35</v>
      </c>
      <c r="C6601">
        <v>124.53</v>
      </c>
      <c r="D6601">
        <v>40.950000000000003</v>
      </c>
      <c r="E6601" t="s">
        <v>9</v>
      </c>
      <c r="F6601">
        <v>46.01</v>
      </c>
      <c r="G6601" t="s">
        <v>20</v>
      </c>
      <c r="H6601" t="s">
        <v>13</v>
      </c>
    </row>
    <row r="6602" spans="1:8" x14ac:dyDescent="0.25">
      <c r="A6602" s="1">
        <v>45663</v>
      </c>
      <c r="B6602" t="s">
        <v>35</v>
      </c>
      <c r="C6602">
        <v>193.89</v>
      </c>
      <c r="D6602">
        <v>30.04</v>
      </c>
      <c r="E6602" t="s">
        <v>9</v>
      </c>
      <c r="F6602">
        <v>55.12</v>
      </c>
      <c r="G6602" t="s">
        <v>20</v>
      </c>
      <c r="H6602" t="s">
        <v>12</v>
      </c>
    </row>
    <row r="6603" spans="1:8" x14ac:dyDescent="0.25">
      <c r="A6603" s="1">
        <v>45663.041666666664</v>
      </c>
      <c r="B6603" t="s">
        <v>35</v>
      </c>
      <c r="C6603">
        <v>268.02</v>
      </c>
      <c r="D6603">
        <v>82.87</v>
      </c>
      <c r="E6603" t="s">
        <v>9</v>
      </c>
      <c r="F6603">
        <v>73.81</v>
      </c>
      <c r="G6603" t="s">
        <v>20</v>
      </c>
      <c r="H6603" t="s">
        <v>13</v>
      </c>
    </row>
    <row r="6604" spans="1:8" x14ac:dyDescent="0.25">
      <c r="A6604" s="1">
        <v>45663.083333333336</v>
      </c>
      <c r="B6604" t="s">
        <v>35</v>
      </c>
      <c r="C6604">
        <v>412.78</v>
      </c>
      <c r="D6604">
        <v>25.79</v>
      </c>
      <c r="E6604" t="s">
        <v>9</v>
      </c>
      <c r="F6604">
        <v>58.86</v>
      </c>
      <c r="G6604" t="s">
        <v>20</v>
      </c>
      <c r="H6604" t="s">
        <v>12</v>
      </c>
    </row>
    <row r="6605" spans="1:8" x14ac:dyDescent="0.25">
      <c r="A6605" s="1">
        <v>45663.125</v>
      </c>
      <c r="B6605" t="s">
        <v>35</v>
      </c>
      <c r="C6605">
        <v>238.57</v>
      </c>
      <c r="D6605">
        <v>24.75</v>
      </c>
      <c r="E6605" t="s">
        <v>9</v>
      </c>
      <c r="F6605">
        <v>36.869999999999997</v>
      </c>
      <c r="G6605" t="s">
        <v>20</v>
      </c>
      <c r="H6605" t="s">
        <v>11</v>
      </c>
    </row>
    <row r="6606" spans="1:8" x14ac:dyDescent="0.25">
      <c r="A6606" s="1">
        <v>45663.166666666664</v>
      </c>
      <c r="B6606" t="s">
        <v>35</v>
      </c>
      <c r="C6606">
        <v>177.28</v>
      </c>
      <c r="D6606">
        <v>40.799999999999997</v>
      </c>
      <c r="E6606" t="s">
        <v>9</v>
      </c>
      <c r="F6606">
        <v>71.97</v>
      </c>
      <c r="G6606" t="s">
        <v>20</v>
      </c>
      <c r="H6606" t="s">
        <v>12</v>
      </c>
    </row>
    <row r="6607" spans="1:8" x14ac:dyDescent="0.25">
      <c r="A6607" s="1">
        <v>45663.208333333336</v>
      </c>
      <c r="B6607" t="s">
        <v>35</v>
      </c>
      <c r="C6607">
        <v>446.16</v>
      </c>
      <c r="D6607">
        <v>91.27</v>
      </c>
      <c r="E6607" t="s">
        <v>14</v>
      </c>
      <c r="F6607">
        <v>64.510000000000005</v>
      </c>
      <c r="G6607" t="s">
        <v>20</v>
      </c>
      <c r="H6607" t="s">
        <v>12</v>
      </c>
    </row>
    <row r="6608" spans="1:8" x14ac:dyDescent="0.25">
      <c r="A6608" s="1">
        <v>45663.25</v>
      </c>
      <c r="B6608" t="s">
        <v>35</v>
      </c>
      <c r="C6608">
        <v>473.48</v>
      </c>
      <c r="D6608">
        <v>49.96</v>
      </c>
      <c r="E6608" t="s">
        <v>9</v>
      </c>
      <c r="F6608">
        <v>77.34</v>
      </c>
      <c r="G6608" t="s">
        <v>20</v>
      </c>
      <c r="H6608" t="s">
        <v>12</v>
      </c>
    </row>
    <row r="6609" spans="1:8" x14ac:dyDescent="0.25">
      <c r="A6609" s="1">
        <v>45663.291666666664</v>
      </c>
      <c r="B6609" t="s">
        <v>35</v>
      </c>
      <c r="C6609">
        <v>318.58</v>
      </c>
      <c r="D6609">
        <v>60.93</v>
      </c>
      <c r="E6609" t="s">
        <v>9</v>
      </c>
      <c r="F6609">
        <v>69.55</v>
      </c>
      <c r="G6609" t="s">
        <v>20</v>
      </c>
      <c r="H6609" t="s">
        <v>11</v>
      </c>
    </row>
    <row r="6610" spans="1:8" x14ac:dyDescent="0.25">
      <c r="A6610" s="1">
        <v>45663.333333333336</v>
      </c>
      <c r="B6610" t="s">
        <v>35</v>
      </c>
      <c r="C6610">
        <v>85.26</v>
      </c>
      <c r="D6610">
        <v>39.130000000000003</v>
      </c>
      <c r="E6610" t="s">
        <v>9</v>
      </c>
      <c r="F6610">
        <v>70.41</v>
      </c>
      <c r="G6610" t="s">
        <v>20</v>
      </c>
      <c r="H6610" t="s">
        <v>11</v>
      </c>
    </row>
    <row r="6611" spans="1:8" x14ac:dyDescent="0.25">
      <c r="A6611" s="1">
        <v>45663.375</v>
      </c>
      <c r="B6611" t="s">
        <v>35</v>
      </c>
      <c r="C6611">
        <v>491.13</v>
      </c>
      <c r="D6611">
        <v>58.93</v>
      </c>
      <c r="E6611" t="s">
        <v>9</v>
      </c>
      <c r="F6611">
        <v>86.29</v>
      </c>
      <c r="G6611" t="s">
        <v>20</v>
      </c>
      <c r="H6611" t="s">
        <v>11</v>
      </c>
    </row>
    <row r="6612" spans="1:8" x14ac:dyDescent="0.25">
      <c r="A6612" s="1">
        <v>45663.416666666664</v>
      </c>
      <c r="B6612" t="s">
        <v>35</v>
      </c>
      <c r="C6612">
        <v>264.86</v>
      </c>
      <c r="D6612">
        <v>26.49</v>
      </c>
      <c r="E6612" t="s">
        <v>9</v>
      </c>
      <c r="F6612">
        <v>74.599999999999994</v>
      </c>
      <c r="G6612" t="s">
        <v>20</v>
      </c>
      <c r="H6612" t="s">
        <v>11</v>
      </c>
    </row>
    <row r="6613" spans="1:8" x14ac:dyDescent="0.25">
      <c r="A6613" s="1">
        <v>45663.458333333336</v>
      </c>
      <c r="B6613" t="s">
        <v>35</v>
      </c>
      <c r="C6613">
        <v>339.54</v>
      </c>
      <c r="D6613">
        <v>49.05</v>
      </c>
      <c r="E6613" t="s">
        <v>9</v>
      </c>
      <c r="F6613">
        <v>77.930000000000007</v>
      </c>
      <c r="G6613" t="s">
        <v>20</v>
      </c>
      <c r="H6613" t="s">
        <v>11</v>
      </c>
    </row>
    <row r="6614" spans="1:8" x14ac:dyDescent="0.25">
      <c r="A6614" s="1">
        <v>45663.5</v>
      </c>
      <c r="B6614" t="s">
        <v>35</v>
      </c>
      <c r="C6614">
        <v>190.46</v>
      </c>
      <c r="D6614">
        <v>70.92</v>
      </c>
      <c r="E6614" t="s">
        <v>9</v>
      </c>
      <c r="F6614">
        <v>59.67</v>
      </c>
      <c r="G6614" t="s">
        <v>20</v>
      </c>
      <c r="H6614" t="s">
        <v>11</v>
      </c>
    </row>
    <row r="6615" spans="1:8" x14ac:dyDescent="0.25">
      <c r="A6615" s="1">
        <v>45663.541666666664</v>
      </c>
      <c r="B6615" t="s">
        <v>35</v>
      </c>
      <c r="C6615">
        <v>235.83</v>
      </c>
      <c r="D6615">
        <v>86.52</v>
      </c>
      <c r="E6615" t="s">
        <v>14</v>
      </c>
      <c r="F6615">
        <v>51.57</v>
      </c>
      <c r="G6615" t="s">
        <v>20</v>
      </c>
      <c r="H6615" t="s">
        <v>11</v>
      </c>
    </row>
    <row r="6616" spans="1:8" x14ac:dyDescent="0.25">
      <c r="A6616" s="1">
        <v>45663.583333333336</v>
      </c>
      <c r="B6616" t="s">
        <v>35</v>
      </c>
      <c r="C6616">
        <v>272.2</v>
      </c>
      <c r="D6616">
        <v>83.48</v>
      </c>
      <c r="E6616" t="s">
        <v>9</v>
      </c>
      <c r="F6616">
        <v>83.69</v>
      </c>
      <c r="G6616" t="s">
        <v>20</v>
      </c>
      <c r="H6616" t="s">
        <v>12</v>
      </c>
    </row>
    <row r="6617" spans="1:8" x14ac:dyDescent="0.25">
      <c r="A6617" s="1">
        <v>45663.625</v>
      </c>
      <c r="B6617" t="s">
        <v>35</v>
      </c>
      <c r="C6617">
        <v>116.35</v>
      </c>
      <c r="D6617">
        <v>80.2</v>
      </c>
      <c r="E6617" t="s">
        <v>9</v>
      </c>
      <c r="F6617">
        <v>43.53</v>
      </c>
      <c r="G6617" t="s">
        <v>20</v>
      </c>
      <c r="H6617" t="s">
        <v>13</v>
      </c>
    </row>
    <row r="6618" spans="1:8" x14ac:dyDescent="0.25">
      <c r="A6618" s="1">
        <v>45663.666666666664</v>
      </c>
      <c r="B6618" t="s">
        <v>35</v>
      </c>
      <c r="C6618">
        <v>56.91</v>
      </c>
      <c r="D6618">
        <v>46.98</v>
      </c>
      <c r="E6618" t="s">
        <v>9</v>
      </c>
      <c r="F6618">
        <v>60.47</v>
      </c>
      <c r="G6618" t="s">
        <v>20</v>
      </c>
      <c r="H6618" t="s">
        <v>12</v>
      </c>
    </row>
    <row r="6619" spans="1:8" x14ac:dyDescent="0.25">
      <c r="A6619" s="1">
        <v>45663.708333333336</v>
      </c>
      <c r="B6619" t="s">
        <v>35</v>
      </c>
      <c r="C6619">
        <v>419.98</v>
      </c>
      <c r="D6619">
        <v>76.260000000000005</v>
      </c>
      <c r="E6619" t="s">
        <v>9</v>
      </c>
      <c r="F6619">
        <v>72.819999999999993</v>
      </c>
      <c r="G6619" t="s">
        <v>20</v>
      </c>
      <c r="H6619" t="s">
        <v>11</v>
      </c>
    </row>
    <row r="6620" spans="1:8" x14ac:dyDescent="0.25">
      <c r="A6620" s="1">
        <v>45663.75</v>
      </c>
      <c r="B6620" t="s">
        <v>35</v>
      </c>
      <c r="C6620">
        <v>158.04</v>
      </c>
      <c r="D6620">
        <v>38.369999999999997</v>
      </c>
      <c r="E6620" t="s">
        <v>9</v>
      </c>
      <c r="F6620">
        <v>47.94</v>
      </c>
      <c r="G6620" t="s">
        <v>20</v>
      </c>
      <c r="H6620" t="s">
        <v>11</v>
      </c>
    </row>
    <row r="6621" spans="1:8" x14ac:dyDescent="0.25">
      <c r="A6621" s="1">
        <v>45663.791666666664</v>
      </c>
      <c r="B6621" t="s">
        <v>35</v>
      </c>
      <c r="C6621">
        <v>480.59</v>
      </c>
      <c r="D6621">
        <v>87.03</v>
      </c>
      <c r="E6621" t="s">
        <v>14</v>
      </c>
      <c r="F6621">
        <v>36.9</v>
      </c>
      <c r="G6621" t="s">
        <v>20</v>
      </c>
      <c r="H6621" t="s">
        <v>11</v>
      </c>
    </row>
    <row r="6622" spans="1:8" x14ac:dyDescent="0.25">
      <c r="A6622" s="1">
        <v>45663.833333333336</v>
      </c>
      <c r="B6622" t="s">
        <v>35</v>
      </c>
      <c r="C6622">
        <v>175.82</v>
      </c>
      <c r="D6622">
        <v>73.11</v>
      </c>
      <c r="E6622" t="s">
        <v>9</v>
      </c>
      <c r="F6622">
        <v>30.82</v>
      </c>
      <c r="G6622" t="s">
        <v>20</v>
      </c>
      <c r="H6622" t="s">
        <v>12</v>
      </c>
    </row>
    <row r="6623" spans="1:8" x14ac:dyDescent="0.25">
      <c r="A6623" s="1">
        <v>45663.875</v>
      </c>
      <c r="B6623" t="s">
        <v>35</v>
      </c>
      <c r="C6623">
        <v>223.2</v>
      </c>
      <c r="D6623">
        <v>94.35</v>
      </c>
      <c r="E6623" t="s">
        <v>14</v>
      </c>
      <c r="F6623">
        <v>64.14</v>
      </c>
      <c r="G6623" t="s">
        <v>20</v>
      </c>
      <c r="H6623" t="s">
        <v>12</v>
      </c>
    </row>
    <row r="6624" spans="1:8" x14ac:dyDescent="0.25">
      <c r="A6624" s="1">
        <v>45663.916666666664</v>
      </c>
      <c r="B6624" t="s">
        <v>35</v>
      </c>
      <c r="C6624">
        <v>276.52999999999997</v>
      </c>
      <c r="D6624">
        <v>90.77</v>
      </c>
      <c r="E6624" t="s">
        <v>14</v>
      </c>
      <c r="F6624">
        <v>84.91</v>
      </c>
      <c r="G6624" t="s">
        <v>20</v>
      </c>
      <c r="H6624" t="s">
        <v>11</v>
      </c>
    </row>
    <row r="6625" spans="1:8" x14ac:dyDescent="0.25">
      <c r="A6625" s="1">
        <v>45663.958333333336</v>
      </c>
      <c r="B6625" t="s">
        <v>35</v>
      </c>
      <c r="C6625">
        <v>314.91000000000003</v>
      </c>
      <c r="D6625">
        <v>19.27</v>
      </c>
      <c r="E6625" t="s">
        <v>9</v>
      </c>
      <c r="F6625">
        <v>59.57</v>
      </c>
      <c r="G6625" t="s">
        <v>20</v>
      </c>
      <c r="H6625" t="s">
        <v>12</v>
      </c>
    </row>
    <row r="6626" spans="1:8" x14ac:dyDescent="0.25">
      <c r="A6626" s="1">
        <v>45664</v>
      </c>
      <c r="B6626" t="s">
        <v>35</v>
      </c>
      <c r="C6626">
        <v>224.33</v>
      </c>
      <c r="D6626">
        <v>62.1</v>
      </c>
      <c r="E6626" t="s">
        <v>9</v>
      </c>
      <c r="F6626">
        <v>36.4</v>
      </c>
      <c r="G6626" t="s">
        <v>20</v>
      </c>
      <c r="H6626" t="s">
        <v>11</v>
      </c>
    </row>
    <row r="6627" spans="1:8" x14ac:dyDescent="0.25">
      <c r="A6627" s="1">
        <v>45664.041666666664</v>
      </c>
      <c r="B6627" t="s">
        <v>35</v>
      </c>
      <c r="C6627">
        <v>400.25</v>
      </c>
      <c r="D6627">
        <v>43.65</v>
      </c>
      <c r="E6627" t="s">
        <v>9</v>
      </c>
      <c r="F6627">
        <v>67.260000000000005</v>
      </c>
      <c r="G6627" t="s">
        <v>20</v>
      </c>
      <c r="H6627" t="s">
        <v>11</v>
      </c>
    </row>
    <row r="6628" spans="1:8" x14ac:dyDescent="0.25">
      <c r="A6628" s="1">
        <v>45664.083333333336</v>
      </c>
      <c r="B6628" t="s">
        <v>35</v>
      </c>
      <c r="C6628">
        <v>224.25</v>
      </c>
      <c r="D6628">
        <v>92.28</v>
      </c>
      <c r="E6628" t="s">
        <v>14</v>
      </c>
      <c r="F6628">
        <v>35.06</v>
      </c>
      <c r="G6628" t="s">
        <v>20</v>
      </c>
      <c r="H6628" t="s">
        <v>13</v>
      </c>
    </row>
    <row r="6629" spans="1:8" x14ac:dyDescent="0.25">
      <c r="A6629" s="1">
        <v>45664.125</v>
      </c>
      <c r="B6629" t="s">
        <v>35</v>
      </c>
      <c r="C6629">
        <v>325.58</v>
      </c>
      <c r="D6629">
        <v>26.94</v>
      </c>
      <c r="E6629" t="s">
        <v>9</v>
      </c>
      <c r="F6629">
        <v>57.38</v>
      </c>
      <c r="G6629" t="s">
        <v>20</v>
      </c>
      <c r="H6629" t="s">
        <v>11</v>
      </c>
    </row>
    <row r="6630" spans="1:8" x14ac:dyDescent="0.25">
      <c r="A6630" s="1">
        <v>45664.166666666664</v>
      </c>
      <c r="B6630" t="s">
        <v>35</v>
      </c>
      <c r="C6630">
        <v>206.9</v>
      </c>
      <c r="D6630">
        <v>24.48</v>
      </c>
      <c r="E6630" t="s">
        <v>9</v>
      </c>
      <c r="F6630">
        <v>38.659999999999997</v>
      </c>
      <c r="G6630" t="s">
        <v>20</v>
      </c>
      <c r="H6630" t="s">
        <v>13</v>
      </c>
    </row>
    <row r="6631" spans="1:8" x14ac:dyDescent="0.25">
      <c r="A6631" s="1">
        <v>45664.208333333336</v>
      </c>
      <c r="B6631" t="s">
        <v>35</v>
      </c>
      <c r="C6631">
        <v>285.75</v>
      </c>
      <c r="D6631">
        <v>53.94</v>
      </c>
      <c r="E6631" t="s">
        <v>9</v>
      </c>
      <c r="F6631">
        <v>45.05</v>
      </c>
      <c r="G6631" t="s">
        <v>20</v>
      </c>
      <c r="H6631" t="s">
        <v>12</v>
      </c>
    </row>
    <row r="6632" spans="1:8" x14ac:dyDescent="0.25">
      <c r="A6632" s="1">
        <v>45664.25</v>
      </c>
      <c r="B6632" t="s">
        <v>35</v>
      </c>
      <c r="C6632">
        <v>210.06</v>
      </c>
      <c r="D6632">
        <v>20.03</v>
      </c>
      <c r="E6632" t="s">
        <v>9</v>
      </c>
      <c r="F6632">
        <v>81.400000000000006</v>
      </c>
      <c r="G6632" t="s">
        <v>20</v>
      </c>
      <c r="H6632" t="s">
        <v>12</v>
      </c>
    </row>
    <row r="6633" spans="1:8" x14ac:dyDescent="0.25">
      <c r="A6633" s="1">
        <v>45664.291666666664</v>
      </c>
      <c r="B6633" t="s">
        <v>35</v>
      </c>
      <c r="C6633">
        <v>372.88</v>
      </c>
      <c r="D6633">
        <v>50.52</v>
      </c>
      <c r="E6633" t="s">
        <v>9</v>
      </c>
      <c r="F6633">
        <v>81.08</v>
      </c>
      <c r="G6633" t="s">
        <v>20</v>
      </c>
      <c r="H6633" t="s">
        <v>13</v>
      </c>
    </row>
    <row r="6634" spans="1:8" x14ac:dyDescent="0.25">
      <c r="A6634" s="1">
        <v>45664.333333333336</v>
      </c>
      <c r="B6634" t="s">
        <v>35</v>
      </c>
      <c r="C6634">
        <v>387.17</v>
      </c>
      <c r="D6634">
        <v>56.17</v>
      </c>
      <c r="E6634" t="s">
        <v>9</v>
      </c>
      <c r="F6634">
        <v>60.62</v>
      </c>
      <c r="G6634" t="s">
        <v>20</v>
      </c>
      <c r="H6634" t="s">
        <v>13</v>
      </c>
    </row>
    <row r="6635" spans="1:8" x14ac:dyDescent="0.25">
      <c r="A6635" s="1">
        <v>45664.375</v>
      </c>
      <c r="B6635" t="s">
        <v>35</v>
      </c>
      <c r="C6635">
        <v>351.86</v>
      </c>
      <c r="D6635">
        <v>41.61</v>
      </c>
      <c r="E6635" t="s">
        <v>9</v>
      </c>
      <c r="F6635">
        <v>73.459999999999994</v>
      </c>
      <c r="G6635" t="s">
        <v>20</v>
      </c>
      <c r="H6635" t="s">
        <v>13</v>
      </c>
    </row>
    <row r="6636" spans="1:8" x14ac:dyDescent="0.25">
      <c r="A6636" s="1">
        <v>45664.416666666664</v>
      </c>
      <c r="B6636" t="s">
        <v>35</v>
      </c>
      <c r="C6636">
        <v>296.98</v>
      </c>
      <c r="D6636">
        <v>43.18</v>
      </c>
      <c r="E6636" t="s">
        <v>9</v>
      </c>
      <c r="F6636">
        <v>62.42</v>
      </c>
      <c r="G6636" t="s">
        <v>20</v>
      </c>
      <c r="H6636" t="s">
        <v>11</v>
      </c>
    </row>
    <row r="6637" spans="1:8" x14ac:dyDescent="0.25">
      <c r="A6637" s="1">
        <v>45664.458333333336</v>
      </c>
      <c r="B6637" t="s">
        <v>35</v>
      </c>
      <c r="C6637">
        <v>442.36</v>
      </c>
      <c r="D6637">
        <v>88.7</v>
      </c>
      <c r="E6637" t="s">
        <v>14</v>
      </c>
      <c r="F6637">
        <v>67.599999999999994</v>
      </c>
      <c r="G6637" t="s">
        <v>20</v>
      </c>
      <c r="H6637" t="s">
        <v>11</v>
      </c>
    </row>
    <row r="6638" spans="1:8" x14ac:dyDescent="0.25">
      <c r="A6638" s="1">
        <v>45664.5</v>
      </c>
      <c r="B6638" t="s">
        <v>35</v>
      </c>
      <c r="C6638">
        <v>493.99</v>
      </c>
      <c r="D6638">
        <v>63.79</v>
      </c>
      <c r="E6638" t="s">
        <v>9</v>
      </c>
      <c r="F6638">
        <v>84.53</v>
      </c>
      <c r="G6638" t="s">
        <v>20</v>
      </c>
      <c r="H6638" t="s">
        <v>13</v>
      </c>
    </row>
    <row r="6639" spans="1:8" x14ac:dyDescent="0.25">
      <c r="A6639" s="1">
        <v>45664.541666666664</v>
      </c>
      <c r="B6639" t="s">
        <v>35</v>
      </c>
      <c r="C6639">
        <v>442.13</v>
      </c>
      <c r="D6639">
        <v>86.61</v>
      </c>
      <c r="E6639" t="s">
        <v>14</v>
      </c>
      <c r="F6639">
        <v>69.040000000000006</v>
      </c>
      <c r="G6639" t="s">
        <v>20</v>
      </c>
      <c r="H6639" t="s">
        <v>12</v>
      </c>
    </row>
    <row r="6640" spans="1:8" x14ac:dyDescent="0.25">
      <c r="A6640" s="1">
        <v>45664.583333333336</v>
      </c>
      <c r="B6640" t="s">
        <v>35</v>
      </c>
      <c r="C6640">
        <v>325.83</v>
      </c>
      <c r="D6640">
        <v>56.55</v>
      </c>
      <c r="E6640" t="s">
        <v>9</v>
      </c>
      <c r="F6640">
        <v>88</v>
      </c>
      <c r="G6640" t="s">
        <v>20</v>
      </c>
      <c r="H6640" t="s">
        <v>12</v>
      </c>
    </row>
    <row r="6641" spans="1:8" x14ac:dyDescent="0.25">
      <c r="A6641" s="1">
        <v>45664.625</v>
      </c>
      <c r="B6641" t="s">
        <v>35</v>
      </c>
      <c r="C6641">
        <v>97.94</v>
      </c>
      <c r="D6641">
        <v>81.03</v>
      </c>
      <c r="E6641" t="s">
        <v>9</v>
      </c>
      <c r="F6641">
        <v>46.45</v>
      </c>
      <c r="G6641" t="s">
        <v>20</v>
      </c>
      <c r="H6641" t="s">
        <v>12</v>
      </c>
    </row>
    <row r="6642" spans="1:8" x14ac:dyDescent="0.25">
      <c r="A6642" s="1">
        <v>45664.666666666664</v>
      </c>
      <c r="B6642" t="s">
        <v>35</v>
      </c>
      <c r="C6642">
        <v>133.33000000000001</v>
      </c>
      <c r="D6642">
        <v>87.62</v>
      </c>
      <c r="E6642" t="s">
        <v>14</v>
      </c>
      <c r="F6642">
        <v>54.66</v>
      </c>
      <c r="G6642" t="s">
        <v>20</v>
      </c>
      <c r="H6642" t="s">
        <v>12</v>
      </c>
    </row>
    <row r="6643" spans="1:8" x14ac:dyDescent="0.25">
      <c r="A6643" s="1">
        <v>45664.708333333336</v>
      </c>
      <c r="B6643" t="s">
        <v>35</v>
      </c>
      <c r="C6643">
        <v>233.9</v>
      </c>
      <c r="D6643">
        <v>74.05</v>
      </c>
      <c r="E6643" t="s">
        <v>9</v>
      </c>
      <c r="F6643">
        <v>36.04</v>
      </c>
      <c r="G6643" t="s">
        <v>20</v>
      </c>
      <c r="H6643" t="s">
        <v>11</v>
      </c>
    </row>
    <row r="6644" spans="1:8" x14ac:dyDescent="0.25">
      <c r="A6644" s="1">
        <v>45664.75</v>
      </c>
      <c r="B6644" t="s">
        <v>35</v>
      </c>
      <c r="C6644">
        <v>166</v>
      </c>
      <c r="D6644">
        <v>53.71</v>
      </c>
      <c r="E6644" t="s">
        <v>9</v>
      </c>
      <c r="F6644">
        <v>86.77</v>
      </c>
      <c r="G6644" t="s">
        <v>20</v>
      </c>
      <c r="H6644" t="s">
        <v>12</v>
      </c>
    </row>
    <row r="6645" spans="1:8" x14ac:dyDescent="0.25">
      <c r="A6645" s="1">
        <v>45664.791666666664</v>
      </c>
      <c r="B6645" t="s">
        <v>35</v>
      </c>
      <c r="C6645">
        <v>337.88</v>
      </c>
      <c r="D6645">
        <v>48.65</v>
      </c>
      <c r="E6645" t="s">
        <v>9</v>
      </c>
      <c r="F6645">
        <v>32.81</v>
      </c>
      <c r="G6645" t="s">
        <v>20</v>
      </c>
      <c r="H6645" t="s">
        <v>12</v>
      </c>
    </row>
    <row r="6646" spans="1:8" x14ac:dyDescent="0.25">
      <c r="A6646" s="1">
        <v>45664.833333333336</v>
      </c>
      <c r="B6646" t="s">
        <v>35</v>
      </c>
      <c r="C6646">
        <v>79.66</v>
      </c>
      <c r="D6646">
        <v>85.59</v>
      </c>
      <c r="E6646" t="s">
        <v>14</v>
      </c>
      <c r="F6646">
        <v>75.180000000000007</v>
      </c>
      <c r="G6646" t="s">
        <v>20</v>
      </c>
      <c r="H6646" t="s">
        <v>11</v>
      </c>
    </row>
    <row r="6647" spans="1:8" x14ac:dyDescent="0.25">
      <c r="A6647" s="1">
        <v>45664.875</v>
      </c>
      <c r="B6647" t="s">
        <v>35</v>
      </c>
      <c r="C6647">
        <v>128.91</v>
      </c>
      <c r="D6647">
        <v>78.75</v>
      </c>
      <c r="E6647" t="s">
        <v>9</v>
      </c>
      <c r="F6647">
        <v>58.69</v>
      </c>
      <c r="G6647" t="s">
        <v>20</v>
      </c>
      <c r="H6647" t="s">
        <v>12</v>
      </c>
    </row>
    <row r="6648" spans="1:8" x14ac:dyDescent="0.25">
      <c r="A6648" s="1">
        <v>45664.916666666664</v>
      </c>
      <c r="B6648" t="s">
        <v>35</v>
      </c>
      <c r="C6648">
        <v>420.23</v>
      </c>
      <c r="D6648">
        <v>80.56</v>
      </c>
      <c r="E6648" t="s">
        <v>9</v>
      </c>
      <c r="F6648">
        <v>47.06</v>
      </c>
      <c r="G6648" t="s">
        <v>20</v>
      </c>
      <c r="H6648" t="s">
        <v>11</v>
      </c>
    </row>
    <row r="6649" spans="1:8" x14ac:dyDescent="0.25">
      <c r="A6649" s="1">
        <v>45664.958333333336</v>
      </c>
      <c r="B6649" t="s">
        <v>35</v>
      </c>
      <c r="C6649">
        <v>94.42</v>
      </c>
      <c r="D6649">
        <v>18.43</v>
      </c>
      <c r="E6649" t="s">
        <v>9</v>
      </c>
      <c r="F6649">
        <v>77.75</v>
      </c>
      <c r="G6649" t="s">
        <v>20</v>
      </c>
      <c r="H6649" t="s">
        <v>12</v>
      </c>
    </row>
    <row r="6650" spans="1:8" x14ac:dyDescent="0.25">
      <c r="A6650" s="1">
        <v>45665</v>
      </c>
      <c r="B6650" t="s">
        <v>35</v>
      </c>
      <c r="C6650">
        <v>465.2</v>
      </c>
      <c r="D6650">
        <v>58.33</v>
      </c>
      <c r="E6650" t="s">
        <v>9</v>
      </c>
      <c r="F6650">
        <v>33.74</v>
      </c>
      <c r="G6650" t="s">
        <v>20</v>
      </c>
      <c r="H6650" t="s">
        <v>13</v>
      </c>
    </row>
    <row r="6651" spans="1:8" x14ac:dyDescent="0.25">
      <c r="A6651" s="1">
        <v>45665.041666666664</v>
      </c>
      <c r="B6651" t="s">
        <v>35</v>
      </c>
      <c r="C6651">
        <v>423.63</v>
      </c>
      <c r="D6651">
        <v>35.71</v>
      </c>
      <c r="E6651" t="s">
        <v>9</v>
      </c>
      <c r="F6651">
        <v>50.6</v>
      </c>
      <c r="G6651" t="s">
        <v>20</v>
      </c>
      <c r="H6651" t="s">
        <v>12</v>
      </c>
    </row>
    <row r="6652" spans="1:8" x14ac:dyDescent="0.25">
      <c r="A6652" s="1">
        <v>45665.083333333336</v>
      </c>
      <c r="B6652" t="s">
        <v>35</v>
      </c>
      <c r="C6652">
        <v>232.42</v>
      </c>
      <c r="D6652">
        <v>58.24</v>
      </c>
      <c r="E6652" t="s">
        <v>9</v>
      </c>
      <c r="F6652">
        <v>43.52</v>
      </c>
      <c r="G6652" t="s">
        <v>20</v>
      </c>
      <c r="H6652" t="s">
        <v>13</v>
      </c>
    </row>
    <row r="6653" spans="1:8" x14ac:dyDescent="0.25">
      <c r="A6653" s="1">
        <v>45665.125</v>
      </c>
      <c r="B6653" t="s">
        <v>35</v>
      </c>
      <c r="C6653">
        <v>340.39</v>
      </c>
      <c r="D6653">
        <v>61.68</v>
      </c>
      <c r="E6653" t="s">
        <v>9</v>
      </c>
      <c r="F6653">
        <v>30.26</v>
      </c>
      <c r="G6653" t="s">
        <v>20</v>
      </c>
      <c r="H6653" t="s">
        <v>12</v>
      </c>
    </row>
    <row r="6654" spans="1:8" x14ac:dyDescent="0.25">
      <c r="A6654" s="1">
        <v>45665.166666666664</v>
      </c>
      <c r="B6654" t="s">
        <v>35</v>
      </c>
      <c r="C6654">
        <v>309.61</v>
      </c>
      <c r="D6654">
        <v>20.25</v>
      </c>
      <c r="E6654" t="s">
        <v>9</v>
      </c>
      <c r="F6654">
        <v>75.22</v>
      </c>
      <c r="G6654" t="s">
        <v>20</v>
      </c>
      <c r="H6654" t="s">
        <v>11</v>
      </c>
    </row>
    <row r="6655" spans="1:8" x14ac:dyDescent="0.25">
      <c r="A6655" s="1">
        <v>45665.208333333336</v>
      </c>
      <c r="B6655" t="s">
        <v>35</v>
      </c>
      <c r="C6655">
        <v>341.35</v>
      </c>
      <c r="D6655">
        <v>35.49</v>
      </c>
      <c r="E6655" t="s">
        <v>9</v>
      </c>
      <c r="F6655">
        <v>71.42</v>
      </c>
      <c r="G6655" t="s">
        <v>20</v>
      </c>
      <c r="H6655" t="s">
        <v>11</v>
      </c>
    </row>
    <row r="6656" spans="1:8" x14ac:dyDescent="0.25">
      <c r="A6656" s="1">
        <v>45665.25</v>
      </c>
      <c r="B6656" t="s">
        <v>35</v>
      </c>
      <c r="C6656">
        <v>339.18</v>
      </c>
      <c r="D6656">
        <v>68.61</v>
      </c>
      <c r="E6656" t="s">
        <v>9</v>
      </c>
      <c r="F6656">
        <v>73.28</v>
      </c>
      <c r="G6656" t="s">
        <v>20</v>
      </c>
      <c r="H6656" t="s">
        <v>12</v>
      </c>
    </row>
    <row r="6657" spans="1:8" x14ac:dyDescent="0.25">
      <c r="A6657" s="1">
        <v>45665.291666666664</v>
      </c>
      <c r="B6657" t="s">
        <v>35</v>
      </c>
      <c r="C6657">
        <v>127.67</v>
      </c>
      <c r="D6657">
        <v>54.54</v>
      </c>
      <c r="E6657" t="s">
        <v>9</v>
      </c>
      <c r="F6657">
        <v>57.14</v>
      </c>
      <c r="G6657" t="s">
        <v>20</v>
      </c>
      <c r="H6657" t="s">
        <v>13</v>
      </c>
    </row>
    <row r="6658" spans="1:8" x14ac:dyDescent="0.25">
      <c r="A6658" s="1">
        <v>45665.333333333336</v>
      </c>
      <c r="B6658" t="s">
        <v>35</v>
      </c>
      <c r="C6658">
        <v>453.73</v>
      </c>
      <c r="D6658">
        <v>64.260000000000005</v>
      </c>
      <c r="E6658" t="s">
        <v>9</v>
      </c>
      <c r="F6658">
        <v>55.39</v>
      </c>
      <c r="G6658" t="s">
        <v>20</v>
      </c>
      <c r="H6658" t="s">
        <v>11</v>
      </c>
    </row>
    <row r="6659" spans="1:8" x14ac:dyDescent="0.25">
      <c r="A6659" s="1">
        <v>45665.375</v>
      </c>
      <c r="B6659" t="s">
        <v>35</v>
      </c>
      <c r="C6659">
        <v>143.36000000000001</v>
      </c>
      <c r="D6659">
        <v>55.78</v>
      </c>
      <c r="E6659" t="s">
        <v>9</v>
      </c>
      <c r="F6659">
        <v>57.79</v>
      </c>
      <c r="G6659" t="s">
        <v>20</v>
      </c>
      <c r="H6659" t="s">
        <v>12</v>
      </c>
    </row>
    <row r="6660" spans="1:8" x14ac:dyDescent="0.25">
      <c r="A6660" s="1">
        <v>45665.416666666664</v>
      </c>
      <c r="B6660" t="s">
        <v>35</v>
      </c>
      <c r="C6660">
        <v>315.26</v>
      </c>
      <c r="D6660">
        <v>40.51</v>
      </c>
      <c r="E6660" t="s">
        <v>9</v>
      </c>
      <c r="F6660">
        <v>84.01</v>
      </c>
      <c r="G6660" t="s">
        <v>20</v>
      </c>
      <c r="H6660" t="s">
        <v>11</v>
      </c>
    </row>
    <row r="6661" spans="1:8" x14ac:dyDescent="0.25">
      <c r="A6661" s="1">
        <v>45665.458333333336</v>
      </c>
      <c r="B6661" t="s">
        <v>35</v>
      </c>
      <c r="C6661">
        <v>116.13</v>
      </c>
      <c r="D6661">
        <v>73.67</v>
      </c>
      <c r="E6661" t="s">
        <v>9</v>
      </c>
      <c r="F6661">
        <v>38.33</v>
      </c>
      <c r="G6661" t="s">
        <v>20</v>
      </c>
      <c r="H6661" t="s">
        <v>11</v>
      </c>
    </row>
    <row r="6662" spans="1:8" x14ac:dyDescent="0.25">
      <c r="A6662" s="1">
        <v>45665.5</v>
      </c>
      <c r="B6662" t="s">
        <v>35</v>
      </c>
      <c r="C6662">
        <v>368.83</v>
      </c>
      <c r="D6662">
        <v>68.88</v>
      </c>
      <c r="E6662" t="s">
        <v>9</v>
      </c>
      <c r="F6662">
        <v>73.56</v>
      </c>
      <c r="G6662" t="s">
        <v>20</v>
      </c>
      <c r="H6662" t="s">
        <v>13</v>
      </c>
    </row>
    <row r="6663" spans="1:8" x14ac:dyDescent="0.25">
      <c r="A6663" s="1">
        <v>45665.541666666664</v>
      </c>
      <c r="B6663" t="s">
        <v>35</v>
      </c>
      <c r="C6663">
        <v>83.69</v>
      </c>
      <c r="D6663">
        <v>25.12</v>
      </c>
      <c r="E6663" t="s">
        <v>9</v>
      </c>
      <c r="F6663">
        <v>66.069999999999993</v>
      </c>
      <c r="G6663" t="s">
        <v>20</v>
      </c>
      <c r="H6663" t="s">
        <v>12</v>
      </c>
    </row>
    <row r="6664" spans="1:8" x14ac:dyDescent="0.25">
      <c r="A6664" s="1">
        <v>45665.583333333336</v>
      </c>
      <c r="B6664" t="s">
        <v>35</v>
      </c>
      <c r="C6664">
        <v>212.97</v>
      </c>
      <c r="D6664">
        <v>82.92</v>
      </c>
      <c r="E6664" t="s">
        <v>9</v>
      </c>
      <c r="F6664">
        <v>72.87</v>
      </c>
      <c r="G6664" t="s">
        <v>20</v>
      </c>
      <c r="H6664" t="s">
        <v>13</v>
      </c>
    </row>
    <row r="6665" spans="1:8" x14ac:dyDescent="0.25">
      <c r="A6665" s="1">
        <v>45665.625</v>
      </c>
      <c r="B6665" t="s">
        <v>35</v>
      </c>
      <c r="C6665">
        <v>72.010000000000005</v>
      </c>
      <c r="D6665">
        <v>84.78</v>
      </c>
      <c r="E6665" t="s">
        <v>9</v>
      </c>
      <c r="F6665">
        <v>78.42</v>
      </c>
      <c r="G6665" t="s">
        <v>20</v>
      </c>
      <c r="H6665" t="s">
        <v>12</v>
      </c>
    </row>
    <row r="6666" spans="1:8" x14ac:dyDescent="0.25">
      <c r="A6666" s="1">
        <v>45665.666666666664</v>
      </c>
      <c r="B6666" t="s">
        <v>35</v>
      </c>
      <c r="C6666">
        <v>159.12</v>
      </c>
      <c r="D6666">
        <v>73.150000000000006</v>
      </c>
      <c r="E6666" t="s">
        <v>9</v>
      </c>
      <c r="F6666">
        <v>41.08</v>
      </c>
      <c r="G6666" t="s">
        <v>20</v>
      </c>
      <c r="H6666" t="s">
        <v>12</v>
      </c>
    </row>
    <row r="6667" spans="1:8" x14ac:dyDescent="0.25">
      <c r="A6667" s="1">
        <v>45665.708333333336</v>
      </c>
      <c r="B6667" t="s">
        <v>35</v>
      </c>
      <c r="C6667">
        <v>497.49</v>
      </c>
      <c r="D6667">
        <v>41.72</v>
      </c>
      <c r="E6667" t="s">
        <v>9</v>
      </c>
      <c r="F6667">
        <v>50.66</v>
      </c>
      <c r="G6667" t="s">
        <v>20</v>
      </c>
      <c r="H6667" t="s">
        <v>13</v>
      </c>
    </row>
    <row r="6668" spans="1:8" x14ac:dyDescent="0.25">
      <c r="A6668" s="1">
        <v>45665.75</v>
      </c>
      <c r="B6668" t="s">
        <v>35</v>
      </c>
      <c r="C6668">
        <v>334.7</v>
      </c>
      <c r="D6668">
        <v>53.44</v>
      </c>
      <c r="E6668" t="s">
        <v>9</v>
      </c>
      <c r="F6668">
        <v>86.84</v>
      </c>
      <c r="G6668" t="s">
        <v>20</v>
      </c>
      <c r="H6668" t="s">
        <v>12</v>
      </c>
    </row>
    <row r="6669" spans="1:8" x14ac:dyDescent="0.25">
      <c r="A6669" s="1">
        <v>45665.791666666664</v>
      </c>
      <c r="B6669" t="s">
        <v>35</v>
      </c>
      <c r="C6669">
        <v>350.55</v>
      </c>
      <c r="D6669">
        <v>58.42</v>
      </c>
      <c r="E6669" t="s">
        <v>9</v>
      </c>
      <c r="F6669">
        <v>78.23</v>
      </c>
      <c r="G6669" t="s">
        <v>20</v>
      </c>
      <c r="H6669" t="s">
        <v>13</v>
      </c>
    </row>
    <row r="6670" spans="1:8" x14ac:dyDescent="0.25">
      <c r="A6670" s="1">
        <v>45665.833333333336</v>
      </c>
      <c r="B6670" t="s">
        <v>35</v>
      </c>
      <c r="C6670">
        <v>167.42</v>
      </c>
      <c r="D6670">
        <v>88.65</v>
      </c>
      <c r="E6670" t="s">
        <v>14</v>
      </c>
      <c r="F6670">
        <v>85.8</v>
      </c>
      <c r="G6670" t="s">
        <v>20</v>
      </c>
      <c r="H6670" t="s">
        <v>11</v>
      </c>
    </row>
    <row r="6671" spans="1:8" x14ac:dyDescent="0.25">
      <c r="A6671" s="1">
        <v>45665.875</v>
      </c>
      <c r="B6671" t="s">
        <v>35</v>
      </c>
      <c r="C6671">
        <v>225</v>
      </c>
      <c r="D6671">
        <v>28.04</v>
      </c>
      <c r="E6671" t="s">
        <v>9</v>
      </c>
      <c r="F6671">
        <v>79.069999999999993</v>
      </c>
      <c r="G6671" t="s">
        <v>20</v>
      </c>
      <c r="H6671" t="s">
        <v>12</v>
      </c>
    </row>
    <row r="6672" spans="1:8" x14ac:dyDescent="0.25">
      <c r="A6672" s="1">
        <v>45665.916666666664</v>
      </c>
      <c r="B6672" t="s">
        <v>35</v>
      </c>
      <c r="C6672">
        <v>193.01</v>
      </c>
      <c r="D6672">
        <v>81.14</v>
      </c>
      <c r="E6672" t="s">
        <v>9</v>
      </c>
      <c r="F6672">
        <v>30.18</v>
      </c>
      <c r="G6672" t="s">
        <v>20</v>
      </c>
      <c r="H6672" t="s">
        <v>12</v>
      </c>
    </row>
    <row r="6673" spans="1:8" x14ac:dyDescent="0.25">
      <c r="A6673" s="1">
        <v>45665.958333333336</v>
      </c>
      <c r="B6673" t="s">
        <v>35</v>
      </c>
      <c r="C6673">
        <v>398.63</v>
      </c>
      <c r="D6673">
        <v>46.27</v>
      </c>
      <c r="E6673" t="s">
        <v>9</v>
      </c>
      <c r="F6673">
        <v>89.5</v>
      </c>
      <c r="G6673" t="s">
        <v>20</v>
      </c>
      <c r="H6673" t="s">
        <v>11</v>
      </c>
    </row>
    <row r="6674" spans="1:8" x14ac:dyDescent="0.25">
      <c r="A6674" s="1">
        <v>45666</v>
      </c>
      <c r="B6674" t="s">
        <v>35</v>
      </c>
      <c r="C6674">
        <v>168.95</v>
      </c>
      <c r="D6674">
        <v>18.16</v>
      </c>
      <c r="E6674" t="s">
        <v>9</v>
      </c>
      <c r="F6674">
        <v>86.43</v>
      </c>
      <c r="G6674" t="s">
        <v>20</v>
      </c>
      <c r="H6674" t="s">
        <v>13</v>
      </c>
    </row>
    <row r="6675" spans="1:8" x14ac:dyDescent="0.25">
      <c r="A6675" s="1">
        <v>45666.041666666664</v>
      </c>
      <c r="B6675" t="s">
        <v>35</v>
      </c>
      <c r="C6675">
        <v>353.68</v>
      </c>
      <c r="D6675">
        <v>69.67</v>
      </c>
      <c r="E6675" t="s">
        <v>9</v>
      </c>
      <c r="F6675">
        <v>82.47</v>
      </c>
      <c r="G6675" t="s">
        <v>20</v>
      </c>
      <c r="H6675" t="s">
        <v>12</v>
      </c>
    </row>
    <row r="6676" spans="1:8" x14ac:dyDescent="0.25">
      <c r="A6676" s="1">
        <v>45666.083333333336</v>
      </c>
      <c r="B6676" t="s">
        <v>35</v>
      </c>
      <c r="C6676">
        <v>244.22</v>
      </c>
      <c r="D6676">
        <v>28.31</v>
      </c>
      <c r="E6676" t="s">
        <v>9</v>
      </c>
      <c r="F6676">
        <v>58.39</v>
      </c>
      <c r="G6676" t="s">
        <v>20</v>
      </c>
      <c r="H6676" t="s">
        <v>12</v>
      </c>
    </row>
    <row r="6677" spans="1:8" x14ac:dyDescent="0.25">
      <c r="A6677" s="1">
        <v>45666.125</v>
      </c>
      <c r="B6677" t="s">
        <v>35</v>
      </c>
      <c r="C6677">
        <v>133.66999999999999</v>
      </c>
      <c r="D6677">
        <v>22.89</v>
      </c>
      <c r="E6677" t="s">
        <v>9</v>
      </c>
      <c r="F6677">
        <v>34.49</v>
      </c>
      <c r="G6677" t="s">
        <v>20</v>
      </c>
      <c r="H6677" t="s">
        <v>13</v>
      </c>
    </row>
    <row r="6678" spans="1:8" x14ac:dyDescent="0.25">
      <c r="A6678" s="1">
        <v>45666.166666666664</v>
      </c>
      <c r="B6678" t="s">
        <v>35</v>
      </c>
      <c r="C6678">
        <v>274.10000000000002</v>
      </c>
      <c r="D6678">
        <v>63.86</v>
      </c>
      <c r="E6678" t="s">
        <v>9</v>
      </c>
      <c r="F6678">
        <v>87.48</v>
      </c>
      <c r="G6678" t="s">
        <v>20</v>
      </c>
      <c r="H6678" t="s">
        <v>13</v>
      </c>
    </row>
    <row r="6679" spans="1:8" x14ac:dyDescent="0.25">
      <c r="A6679" s="1">
        <v>45666.208333333336</v>
      </c>
      <c r="B6679" t="s">
        <v>35</v>
      </c>
      <c r="C6679">
        <v>355.22</v>
      </c>
      <c r="D6679">
        <v>59.68</v>
      </c>
      <c r="E6679" t="s">
        <v>9</v>
      </c>
      <c r="F6679">
        <v>57.45</v>
      </c>
      <c r="G6679" t="s">
        <v>20</v>
      </c>
      <c r="H6679" t="s">
        <v>13</v>
      </c>
    </row>
    <row r="6680" spans="1:8" x14ac:dyDescent="0.25">
      <c r="A6680" s="1">
        <v>45666.25</v>
      </c>
      <c r="B6680" t="s">
        <v>35</v>
      </c>
      <c r="C6680">
        <v>326.89</v>
      </c>
      <c r="D6680">
        <v>92.34</v>
      </c>
      <c r="E6680" t="s">
        <v>14</v>
      </c>
      <c r="F6680">
        <v>37.46</v>
      </c>
      <c r="G6680" t="s">
        <v>20</v>
      </c>
      <c r="H6680" t="s">
        <v>11</v>
      </c>
    </row>
    <row r="6681" spans="1:8" x14ac:dyDescent="0.25">
      <c r="A6681" s="1">
        <v>45666.291666666664</v>
      </c>
      <c r="B6681" t="s">
        <v>35</v>
      </c>
      <c r="C6681">
        <v>256.18</v>
      </c>
      <c r="D6681">
        <v>17.239999999999998</v>
      </c>
      <c r="E6681" t="s">
        <v>9</v>
      </c>
      <c r="F6681">
        <v>80.069999999999993</v>
      </c>
      <c r="G6681" t="s">
        <v>20</v>
      </c>
      <c r="H6681" t="s">
        <v>12</v>
      </c>
    </row>
    <row r="6682" spans="1:8" x14ac:dyDescent="0.25">
      <c r="A6682" s="1">
        <v>45666.333333333336</v>
      </c>
      <c r="B6682" t="s">
        <v>35</v>
      </c>
      <c r="C6682">
        <v>428.48</v>
      </c>
      <c r="D6682">
        <v>73.150000000000006</v>
      </c>
      <c r="E6682" t="s">
        <v>9</v>
      </c>
      <c r="F6682">
        <v>57.77</v>
      </c>
      <c r="G6682" t="s">
        <v>20</v>
      </c>
      <c r="H6682" t="s">
        <v>11</v>
      </c>
    </row>
    <row r="6683" spans="1:8" x14ac:dyDescent="0.25">
      <c r="A6683" s="1">
        <v>45666.375</v>
      </c>
      <c r="B6683" t="s">
        <v>35</v>
      </c>
      <c r="C6683">
        <v>307.3</v>
      </c>
      <c r="D6683">
        <v>35.89</v>
      </c>
      <c r="E6683" t="s">
        <v>9</v>
      </c>
      <c r="F6683">
        <v>87.03</v>
      </c>
      <c r="G6683" t="s">
        <v>20</v>
      </c>
      <c r="H6683" t="s">
        <v>12</v>
      </c>
    </row>
    <row r="6684" spans="1:8" x14ac:dyDescent="0.25">
      <c r="A6684" s="1">
        <v>45666.416666666664</v>
      </c>
      <c r="B6684" t="s">
        <v>35</v>
      </c>
      <c r="C6684">
        <v>408.84</v>
      </c>
      <c r="D6684">
        <v>87.03</v>
      </c>
      <c r="E6684" t="s">
        <v>14</v>
      </c>
      <c r="F6684">
        <v>42.85</v>
      </c>
      <c r="G6684" t="s">
        <v>20</v>
      </c>
      <c r="H6684" t="s">
        <v>11</v>
      </c>
    </row>
    <row r="6685" spans="1:8" x14ac:dyDescent="0.25">
      <c r="A6685" s="1">
        <v>45666.458333333336</v>
      </c>
      <c r="B6685" t="s">
        <v>35</v>
      </c>
      <c r="C6685">
        <v>482.39</v>
      </c>
      <c r="D6685">
        <v>82.35</v>
      </c>
      <c r="E6685" t="s">
        <v>9</v>
      </c>
      <c r="F6685">
        <v>85.26</v>
      </c>
      <c r="G6685" t="s">
        <v>20</v>
      </c>
      <c r="H6685" t="s">
        <v>12</v>
      </c>
    </row>
    <row r="6686" spans="1:8" x14ac:dyDescent="0.25">
      <c r="A6686" s="1">
        <v>45666.5</v>
      </c>
      <c r="B6686" t="s">
        <v>35</v>
      </c>
      <c r="C6686">
        <v>55.06</v>
      </c>
      <c r="D6686">
        <v>35.17</v>
      </c>
      <c r="E6686" t="s">
        <v>9</v>
      </c>
      <c r="F6686">
        <v>49.4</v>
      </c>
      <c r="G6686" t="s">
        <v>20</v>
      </c>
      <c r="H6686" t="s">
        <v>12</v>
      </c>
    </row>
    <row r="6687" spans="1:8" x14ac:dyDescent="0.25">
      <c r="A6687" s="1">
        <v>45666.541666666664</v>
      </c>
      <c r="B6687" t="s">
        <v>35</v>
      </c>
      <c r="C6687">
        <v>474.96</v>
      </c>
      <c r="D6687">
        <v>85.21</v>
      </c>
      <c r="E6687" t="s">
        <v>14</v>
      </c>
      <c r="F6687">
        <v>73.849999999999994</v>
      </c>
      <c r="G6687" t="s">
        <v>20</v>
      </c>
      <c r="H6687" t="s">
        <v>13</v>
      </c>
    </row>
    <row r="6688" spans="1:8" x14ac:dyDescent="0.25">
      <c r="A6688" s="1">
        <v>45666.583333333336</v>
      </c>
      <c r="B6688" t="s">
        <v>35</v>
      </c>
      <c r="C6688">
        <v>132.11000000000001</v>
      </c>
      <c r="D6688">
        <v>47.57</v>
      </c>
      <c r="E6688" t="s">
        <v>9</v>
      </c>
      <c r="F6688">
        <v>42.91</v>
      </c>
      <c r="G6688" t="s">
        <v>20</v>
      </c>
      <c r="H6688" t="s">
        <v>13</v>
      </c>
    </row>
    <row r="6689" spans="1:8" x14ac:dyDescent="0.25">
      <c r="A6689" s="1">
        <v>45666.625</v>
      </c>
      <c r="B6689" t="s">
        <v>35</v>
      </c>
      <c r="C6689">
        <v>180.91</v>
      </c>
      <c r="D6689">
        <v>20.05</v>
      </c>
      <c r="E6689" t="s">
        <v>9</v>
      </c>
      <c r="F6689">
        <v>44.58</v>
      </c>
      <c r="G6689" t="s">
        <v>20</v>
      </c>
      <c r="H6689" t="s">
        <v>11</v>
      </c>
    </row>
    <row r="6690" spans="1:8" x14ac:dyDescent="0.25">
      <c r="A6690" s="1">
        <v>45666.666666666664</v>
      </c>
      <c r="B6690" t="s">
        <v>35</v>
      </c>
      <c r="C6690">
        <v>222.03</v>
      </c>
      <c r="D6690">
        <v>44.55</v>
      </c>
      <c r="E6690" t="s">
        <v>9</v>
      </c>
      <c r="F6690">
        <v>44.28</v>
      </c>
      <c r="G6690" t="s">
        <v>20</v>
      </c>
      <c r="H6690" t="s">
        <v>12</v>
      </c>
    </row>
    <row r="6691" spans="1:8" x14ac:dyDescent="0.25">
      <c r="A6691" s="1">
        <v>45666.708333333336</v>
      </c>
      <c r="B6691" t="s">
        <v>35</v>
      </c>
      <c r="C6691">
        <v>191.32</v>
      </c>
      <c r="D6691">
        <v>36.549999999999997</v>
      </c>
      <c r="E6691" t="s">
        <v>9</v>
      </c>
      <c r="F6691">
        <v>44.51</v>
      </c>
      <c r="G6691" t="s">
        <v>20</v>
      </c>
      <c r="H6691" t="s">
        <v>12</v>
      </c>
    </row>
    <row r="6692" spans="1:8" x14ac:dyDescent="0.25">
      <c r="A6692" s="1">
        <v>45666.75</v>
      </c>
      <c r="B6692" t="s">
        <v>35</v>
      </c>
      <c r="C6692">
        <v>58.08</v>
      </c>
      <c r="D6692">
        <v>42.08</v>
      </c>
      <c r="E6692" t="s">
        <v>9</v>
      </c>
      <c r="F6692">
        <v>61.61</v>
      </c>
      <c r="G6692" t="s">
        <v>20</v>
      </c>
      <c r="H6692" t="s">
        <v>13</v>
      </c>
    </row>
    <row r="6693" spans="1:8" x14ac:dyDescent="0.25">
      <c r="A6693" s="1">
        <v>45666.791666666664</v>
      </c>
      <c r="B6693" t="s">
        <v>35</v>
      </c>
      <c r="C6693">
        <v>348.66</v>
      </c>
      <c r="D6693">
        <v>48.11</v>
      </c>
      <c r="E6693" t="s">
        <v>9</v>
      </c>
      <c r="F6693">
        <v>47.34</v>
      </c>
      <c r="G6693" t="s">
        <v>20</v>
      </c>
      <c r="H6693" t="s">
        <v>12</v>
      </c>
    </row>
    <row r="6694" spans="1:8" x14ac:dyDescent="0.25">
      <c r="A6694" s="1">
        <v>45666.833333333336</v>
      </c>
      <c r="B6694" t="s">
        <v>35</v>
      </c>
      <c r="C6694">
        <v>472.58</v>
      </c>
      <c r="D6694">
        <v>35.29</v>
      </c>
      <c r="E6694" t="s">
        <v>9</v>
      </c>
      <c r="F6694">
        <v>53.9</v>
      </c>
      <c r="G6694" t="s">
        <v>20</v>
      </c>
      <c r="H6694" t="s">
        <v>13</v>
      </c>
    </row>
    <row r="6695" spans="1:8" x14ac:dyDescent="0.25">
      <c r="A6695" s="1">
        <v>45666.875</v>
      </c>
      <c r="B6695" t="s">
        <v>35</v>
      </c>
      <c r="C6695">
        <v>81.760000000000005</v>
      </c>
      <c r="D6695">
        <v>91.22</v>
      </c>
      <c r="E6695" t="s">
        <v>14</v>
      </c>
      <c r="F6695">
        <v>84.61</v>
      </c>
      <c r="G6695" t="s">
        <v>20</v>
      </c>
      <c r="H6695" t="s">
        <v>11</v>
      </c>
    </row>
    <row r="6696" spans="1:8" x14ac:dyDescent="0.25">
      <c r="A6696" s="1">
        <v>45666.916666666664</v>
      </c>
      <c r="B6696" t="s">
        <v>35</v>
      </c>
      <c r="C6696">
        <v>438.91</v>
      </c>
      <c r="D6696">
        <v>76.14</v>
      </c>
      <c r="E6696" t="s">
        <v>9</v>
      </c>
      <c r="F6696">
        <v>70.86</v>
      </c>
      <c r="G6696" t="s">
        <v>20</v>
      </c>
      <c r="H6696" t="s">
        <v>12</v>
      </c>
    </row>
    <row r="6697" spans="1:8" x14ac:dyDescent="0.25">
      <c r="A6697" s="1">
        <v>45666.958333333336</v>
      </c>
      <c r="B6697" t="s">
        <v>35</v>
      </c>
      <c r="C6697">
        <v>110.51</v>
      </c>
      <c r="D6697">
        <v>30.24</v>
      </c>
      <c r="E6697" t="s">
        <v>9</v>
      </c>
      <c r="F6697">
        <v>84.16</v>
      </c>
      <c r="G6697" t="s">
        <v>20</v>
      </c>
      <c r="H6697" t="s">
        <v>12</v>
      </c>
    </row>
    <row r="6698" spans="1:8" x14ac:dyDescent="0.25">
      <c r="A6698" s="1">
        <v>45667</v>
      </c>
      <c r="B6698" t="s">
        <v>35</v>
      </c>
      <c r="C6698">
        <v>229.5</v>
      </c>
      <c r="D6698">
        <v>75.81</v>
      </c>
      <c r="E6698" t="s">
        <v>9</v>
      </c>
      <c r="F6698">
        <v>83.31</v>
      </c>
      <c r="G6698" t="s">
        <v>20</v>
      </c>
      <c r="H6698" t="s">
        <v>11</v>
      </c>
    </row>
    <row r="6699" spans="1:8" x14ac:dyDescent="0.25">
      <c r="A6699" s="1">
        <v>45667.041666666664</v>
      </c>
      <c r="B6699" t="s">
        <v>35</v>
      </c>
      <c r="C6699">
        <v>215.19</v>
      </c>
      <c r="D6699">
        <v>45.86</v>
      </c>
      <c r="E6699" t="s">
        <v>9</v>
      </c>
      <c r="F6699">
        <v>37.07</v>
      </c>
      <c r="G6699" t="s">
        <v>20</v>
      </c>
      <c r="H6699" t="s">
        <v>12</v>
      </c>
    </row>
    <row r="6700" spans="1:8" x14ac:dyDescent="0.25">
      <c r="A6700" s="1">
        <v>45667.083333333336</v>
      </c>
      <c r="B6700" t="s">
        <v>35</v>
      </c>
      <c r="C6700">
        <v>112.79</v>
      </c>
      <c r="D6700">
        <v>71.459999999999994</v>
      </c>
      <c r="E6700" t="s">
        <v>9</v>
      </c>
      <c r="F6700">
        <v>55.04</v>
      </c>
      <c r="G6700" t="s">
        <v>20</v>
      </c>
      <c r="H6700" t="s">
        <v>12</v>
      </c>
    </row>
    <row r="6701" spans="1:8" x14ac:dyDescent="0.25">
      <c r="A6701" s="1">
        <v>45667.125</v>
      </c>
      <c r="B6701" t="s">
        <v>35</v>
      </c>
      <c r="C6701">
        <v>82.5</v>
      </c>
      <c r="D6701">
        <v>70.989999999999995</v>
      </c>
      <c r="E6701" t="s">
        <v>9</v>
      </c>
      <c r="F6701">
        <v>53.16</v>
      </c>
      <c r="G6701" t="s">
        <v>20</v>
      </c>
      <c r="H6701" t="s">
        <v>12</v>
      </c>
    </row>
    <row r="6702" spans="1:8" x14ac:dyDescent="0.25">
      <c r="A6702" s="1">
        <v>45667.166666666664</v>
      </c>
      <c r="B6702" t="s">
        <v>35</v>
      </c>
      <c r="C6702">
        <v>194.42</v>
      </c>
      <c r="D6702">
        <v>46.47</v>
      </c>
      <c r="E6702" t="s">
        <v>9</v>
      </c>
      <c r="F6702">
        <v>31.05</v>
      </c>
      <c r="G6702" t="s">
        <v>20</v>
      </c>
      <c r="H6702" t="s">
        <v>11</v>
      </c>
    </row>
    <row r="6703" spans="1:8" x14ac:dyDescent="0.25">
      <c r="A6703" s="1">
        <v>45667.208333333336</v>
      </c>
      <c r="B6703" t="s">
        <v>35</v>
      </c>
      <c r="C6703">
        <v>493.34</v>
      </c>
      <c r="D6703">
        <v>81.66</v>
      </c>
      <c r="E6703" t="s">
        <v>9</v>
      </c>
      <c r="F6703">
        <v>30.92</v>
      </c>
      <c r="G6703" t="s">
        <v>20</v>
      </c>
      <c r="H6703" t="s">
        <v>13</v>
      </c>
    </row>
    <row r="6704" spans="1:8" x14ac:dyDescent="0.25">
      <c r="A6704" s="1">
        <v>45667.25</v>
      </c>
      <c r="B6704" t="s">
        <v>35</v>
      </c>
      <c r="C6704">
        <v>392.1</v>
      </c>
      <c r="D6704">
        <v>71.83</v>
      </c>
      <c r="E6704" t="s">
        <v>9</v>
      </c>
      <c r="F6704">
        <v>44.51</v>
      </c>
      <c r="G6704" t="s">
        <v>20</v>
      </c>
      <c r="H6704" t="s">
        <v>12</v>
      </c>
    </row>
    <row r="6705" spans="1:8" x14ac:dyDescent="0.25">
      <c r="A6705" s="1">
        <v>45667.291666666664</v>
      </c>
      <c r="B6705" t="s">
        <v>35</v>
      </c>
      <c r="C6705">
        <v>109.22</v>
      </c>
      <c r="D6705">
        <v>49.95</v>
      </c>
      <c r="E6705" t="s">
        <v>9</v>
      </c>
      <c r="F6705">
        <v>67.930000000000007</v>
      </c>
      <c r="G6705" t="s">
        <v>20</v>
      </c>
      <c r="H6705" t="s">
        <v>11</v>
      </c>
    </row>
    <row r="6706" spans="1:8" x14ac:dyDescent="0.25">
      <c r="A6706" s="1">
        <v>45667.333333333336</v>
      </c>
      <c r="B6706" t="s">
        <v>35</v>
      </c>
      <c r="C6706">
        <v>211.57</v>
      </c>
      <c r="D6706">
        <v>46.47</v>
      </c>
      <c r="E6706" t="s">
        <v>9</v>
      </c>
      <c r="F6706">
        <v>49.57</v>
      </c>
      <c r="G6706" t="s">
        <v>20</v>
      </c>
      <c r="H6706" t="s">
        <v>13</v>
      </c>
    </row>
    <row r="6707" spans="1:8" x14ac:dyDescent="0.25">
      <c r="A6707" s="1">
        <v>45667.375</v>
      </c>
      <c r="B6707" t="s">
        <v>35</v>
      </c>
      <c r="C6707">
        <v>210.02</v>
      </c>
      <c r="D6707">
        <v>14.68</v>
      </c>
      <c r="E6707" t="s">
        <v>9</v>
      </c>
      <c r="F6707">
        <v>74.06</v>
      </c>
      <c r="G6707" t="s">
        <v>20</v>
      </c>
      <c r="H6707" t="s">
        <v>13</v>
      </c>
    </row>
    <row r="6708" spans="1:8" x14ac:dyDescent="0.25">
      <c r="A6708" s="1">
        <v>45667.416666666664</v>
      </c>
      <c r="B6708" t="s">
        <v>35</v>
      </c>
      <c r="C6708">
        <v>232.65</v>
      </c>
      <c r="D6708">
        <v>93.83</v>
      </c>
      <c r="E6708" t="s">
        <v>14</v>
      </c>
      <c r="F6708">
        <v>38.5</v>
      </c>
      <c r="G6708" t="s">
        <v>20</v>
      </c>
      <c r="H6708" t="s">
        <v>13</v>
      </c>
    </row>
    <row r="6709" spans="1:8" x14ac:dyDescent="0.25">
      <c r="A6709" s="1">
        <v>45667.458333333336</v>
      </c>
      <c r="B6709" t="s">
        <v>35</v>
      </c>
      <c r="C6709">
        <v>122.28</v>
      </c>
      <c r="D6709">
        <v>85.84</v>
      </c>
      <c r="E6709" t="s">
        <v>14</v>
      </c>
      <c r="F6709">
        <v>59.19</v>
      </c>
      <c r="G6709" t="s">
        <v>20</v>
      </c>
      <c r="H6709" t="s">
        <v>12</v>
      </c>
    </row>
    <row r="6710" spans="1:8" x14ac:dyDescent="0.25">
      <c r="A6710" s="1">
        <v>45667.5</v>
      </c>
      <c r="B6710" t="s">
        <v>35</v>
      </c>
      <c r="C6710">
        <v>203.3</v>
      </c>
      <c r="D6710">
        <v>87.4</v>
      </c>
      <c r="E6710" t="s">
        <v>14</v>
      </c>
      <c r="F6710">
        <v>62.69</v>
      </c>
      <c r="G6710" t="s">
        <v>20</v>
      </c>
      <c r="H6710" t="s">
        <v>11</v>
      </c>
    </row>
    <row r="6711" spans="1:8" x14ac:dyDescent="0.25">
      <c r="A6711" s="1">
        <v>45667.541666666664</v>
      </c>
      <c r="B6711" t="s">
        <v>35</v>
      </c>
      <c r="C6711">
        <v>215.68</v>
      </c>
      <c r="D6711">
        <v>62.11</v>
      </c>
      <c r="E6711" t="s">
        <v>9</v>
      </c>
      <c r="F6711">
        <v>71.599999999999994</v>
      </c>
      <c r="G6711" t="s">
        <v>20</v>
      </c>
      <c r="H6711" t="s">
        <v>13</v>
      </c>
    </row>
    <row r="6712" spans="1:8" x14ac:dyDescent="0.25">
      <c r="A6712" s="1">
        <v>45667.583333333336</v>
      </c>
      <c r="B6712" t="s">
        <v>35</v>
      </c>
      <c r="C6712">
        <v>159.33000000000001</v>
      </c>
      <c r="D6712">
        <v>36.75</v>
      </c>
      <c r="E6712" t="s">
        <v>9</v>
      </c>
      <c r="F6712">
        <v>65.97</v>
      </c>
      <c r="G6712" t="s">
        <v>20</v>
      </c>
      <c r="H6712" t="s">
        <v>13</v>
      </c>
    </row>
    <row r="6713" spans="1:8" x14ac:dyDescent="0.25">
      <c r="A6713" s="1">
        <v>45667.625</v>
      </c>
      <c r="B6713" t="s">
        <v>35</v>
      </c>
      <c r="C6713">
        <v>310.27999999999997</v>
      </c>
      <c r="D6713">
        <v>66.56</v>
      </c>
      <c r="E6713" t="s">
        <v>9</v>
      </c>
      <c r="F6713">
        <v>76.599999999999994</v>
      </c>
      <c r="G6713" t="s">
        <v>20</v>
      </c>
      <c r="H6713" t="s">
        <v>13</v>
      </c>
    </row>
    <row r="6714" spans="1:8" x14ac:dyDescent="0.25">
      <c r="A6714" s="1">
        <v>45667.666666666664</v>
      </c>
      <c r="B6714" t="s">
        <v>35</v>
      </c>
      <c r="C6714">
        <v>422.26</v>
      </c>
      <c r="D6714">
        <v>47.86</v>
      </c>
      <c r="E6714" t="s">
        <v>9</v>
      </c>
      <c r="F6714">
        <v>40.54</v>
      </c>
      <c r="G6714" t="s">
        <v>20</v>
      </c>
      <c r="H6714" t="s">
        <v>12</v>
      </c>
    </row>
    <row r="6715" spans="1:8" x14ac:dyDescent="0.25">
      <c r="A6715" s="1">
        <v>45667.708333333336</v>
      </c>
      <c r="B6715" t="s">
        <v>35</v>
      </c>
      <c r="C6715">
        <v>120.65</v>
      </c>
      <c r="D6715">
        <v>63</v>
      </c>
      <c r="E6715" t="s">
        <v>9</v>
      </c>
      <c r="F6715">
        <v>56.64</v>
      </c>
      <c r="G6715" t="s">
        <v>20</v>
      </c>
      <c r="H6715" t="s">
        <v>13</v>
      </c>
    </row>
    <row r="6716" spans="1:8" x14ac:dyDescent="0.25">
      <c r="A6716" s="1">
        <v>45667.75</v>
      </c>
      <c r="B6716" t="s">
        <v>35</v>
      </c>
      <c r="C6716">
        <v>445.94</v>
      </c>
      <c r="D6716">
        <v>80.2</v>
      </c>
      <c r="E6716" t="s">
        <v>9</v>
      </c>
      <c r="F6716">
        <v>83.28</v>
      </c>
      <c r="G6716" t="s">
        <v>20</v>
      </c>
      <c r="H6716" t="s">
        <v>12</v>
      </c>
    </row>
    <row r="6717" spans="1:8" x14ac:dyDescent="0.25">
      <c r="A6717" s="1">
        <v>45667.791666666664</v>
      </c>
      <c r="B6717" t="s">
        <v>35</v>
      </c>
      <c r="C6717">
        <v>204.68</v>
      </c>
      <c r="D6717">
        <v>76.349999999999994</v>
      </c>
      <c r="E6717" t="s">
        <v>9</v>
      </c>
      <c r="F6717">
        <v>37.78</v>
      </c>
      <c r="G6717" t="s">
        <v>20</v>
      </c>
      <c r="H6717" t="s">
        <v>11</v>
      </c>
    </row>
    <row r="6718" spans="1:8" x14ac:dyDescent="0.25">
      <c r="A6718" s="1">
        <v>45667.833333333336</v>
      </c>
      <c r="B6718" t="s">
        <v>35</v>
      </c>
      <c r="C6718">
        <v>284.58</v>
      </c>
      <c r="D6718">
        <v>22.57</v>
      </c>
      <c r="E6718" t="s">
        <v>9</v>
      </c>
      <c r="F6718">
        <v>38.520000000000003</v>
      </c>
      <c r="G6718" t="s">
        <v>20</v>
      </c>
      <c r="H6718" t="s">
        <v>13</v>
      </c>
    </row>
    <row r="6719" spans="1:8" x14ac:dyDescent="0.25">
      <c r="A6719" s="1">
        <v>45667.875</v>
      </c>
      <c r="B6719" t="s">
        <v>35</v>
      </c>
      <c r="C6719">
        <v>405.73</v>
      </c>
      <c r="D6719">
        <v>86.2</v>
      </c>
      <c r="E6719" t="s">
        <v>14</v>
      </c>
      <c r="F6719">
        <v>74.55</v>
      </c>
      <c r="G6719" t="s">
        <v>20</v>
      </c>
      <c r="H6719" t="s">
        <v>12</v>
      </c>
    </row>
    <row r="6720" spans="1:8" x14ac:dyDescent="0.25">
      <c r="A6720" s="1">
        <v>45667.916666666664</v>
      </c>
      <c r="B6720" t="s">
        <v>35</v>
      </c>
      <c r="C6720">
        <v>55.59</v>
      </c>
      <c r="D6720">
        <v>62.92</v>
      </c>
      <c r="E6720" t="s">
        <v>9</v>
      </c>
      <c r="F6720">
        <v>76.34</v>
      </c>
      <c r="G6720" t="s">
        <v>20</v>
      </c>
      <c r="H6720" t="s">
        <v>12</v>
      </c>
    </row>
    <row r="6721" spans="1:8" x14ac:dyDescent="0.25">
      <c r="A6721" s="1">
        <v>45667.958333333336</v>
      </c>
      <c r="B6721" t="s">
        <v>35</v>
      </c>
      <c r="C6721">
        <v>473.53</v>
      </c>
      <c r="D6721">
        <v>45.79</v>
      </c>
      <c r="E6721" t="s">
        <v>9</v>
      </c>
      <c r="F6721">
        <v>87.11</v>
      </c>
      <c r="G6721" t="s">
        <v>20</v>
      </c>
      <c r="H6721" t="s">
        <v>11</v>
      </c>
    </row>
    <row r="6722" spans="1:8" x14ac:dyDescent="0.25">
      <c r="A6722" s="1">
        <v>45668</v>
      </c>
      <c r="B6722" t="s">
        <v>35</v>
      </c>
      <c r="C6722">
        <v>344.56</v>
      </c>
      <c r="D6722">
        <v>51.01</v>
      </c>
      <c r="E6722" t="s">
        <v>9</v>
      </c>
      <c r="F6722">
        <v>53.37</v>
      </c>
      <c r="G6722" t="s">
        <v>20</v>
      </c>
      <c r="H6722" t="s">
        <v>12</v>
      </c>
    </row>
    <row r="6723" spans="1:8" x14ac:dyDescent="0.25">
      <c r="A6723" s="1">
        <v>45668.041666666664</v>
      </c>
      <c r="B6723" t="s">
        <v>35</v>
      </c>
      <c r="C6723">
        <v>460.06</v>
      </c>
      <c r="D6723">
        <v>85.69</v>
      </c>
      <c r="E6723" t="s">
        <v>14</v>
      </c>
      <c r="F6723">
        <v>41.24</v>
      </c>
      <c r="G6723" t="s">
        <v>20</v>
      </c>
      <c r="H6723" t="s">
        <v>12</v>
      </c>
    </row>
    <row r="6724" spans="1:8" x14ac:dyDescent="0.25">
      <c r="A6724" s="1">
        <v>45668.083333333336</v>
      </c>
      <c r="B6724" t="s">
        <v>35</v>
      </c>
      <c r="C6724">
        <v>349.85</v>
      </c>
      <c r="D6724">
        <v>33.549999999999997</v>
      </c>
      <c r="E6724" t="s">
        <v>9</v>
      </c>
      <c r="F6724">
        <v>61.48</v>
      </c>
      <c r="G6724" t="s">
        <v>20</v>
      </c>
      <c r="H6724" t="s">
        <v>13</v>
      </c>
    </row>
    <row r="6725" spans="1:8" x14ac:dyDescent="0.25">
      <c r="A6725" s="1">
        <v>45668.125</v>
      </c>
      <c r="B6725" t="s">
        <v>35</v>
      </c>
      <c r="C6725">
        <v>220.81</v>
      </c>
      <c r="D6725">
        <v>28.09</v>
      </c>
      <c r="E6725" t="s">
        <v>9</v>
      </c>
      <c r="F6725">
        <v>31.34</v>
      </c>
      <c r="G6725" t="s">
        <v>20</v>
      </c>
      <c r="H6725" t="s">
        <v>11</v>
      </c>
    </row>
    <row r="6726" spans="1:8" x14ac:dyDescent="0.25">
      <c r="A6726" s="1">
        <v>45668.166666666664</v>
      </c>
      <c r="B6726" t="s">
        <v>35</v>
      </c>
      <c r="C6726">
        <v>87.26</v>
      </c>
      <c r="D6726">
        <v>89.76</v>
      </c>
      <c r="E6726" t="s">
        <v>14</v>
      </c>
      <c r="F6726">
        <v>58.51</v>
      </c>
      <c r="G6726" t="s">
        <v>20</v>
      </c>
      <c r="H6726" t="s">
        <v>12</v>
      </c>
    </row>
    <row r="6727" spans="1:8" x14ac:dyDescent="0.25">
      <c r="A6727" s="1">
        <v>45668.208333333336</v>
      </c>
      <c r="B6727" t="s">
        <v>35</v>
      </c>
      <c r="C6727">
        <v>230.89</v>
      </c>
      <c r="D6727">
        <v>94.96</v>
      </c>
      <c r="E6727" t="s">
        <v>14</v>
      </c>
      <c r="F6727">
        <v>46.98</v>
      </c>
      <c r="G6727" t="s">
        <v>20</v>
      </c>
      <c r="H6727" t="s">
        <v>12</v>
      </c>
    </row>
    <row r="6728" spans="1:8" x14ac:dyDescent="0.25">
      <c r="A6728" s="1">
        <v>45668.25</v>
      </c>
      <c r="B6728" t="s">
        <v>35</v>
      </c>
      <c r="C6728">
        <v>380.96</v>
      </c>
      <c r="D6728">
        <v>69.84</v>
      </c>
      <c r="E6728" t="s">
        <v>9</v>
      </c>
      <c r="F6728">
        <v>31.31</v>
      </c>
      <c r="G6728" t="s">
        <v>20</v>
      </c>
      <c r="H6728" t="s">
        <v>12</v>
      </c>
    </row>
    <row r="6729" spans="1:8" x14ac:dyDescent="0.25">
      <c r="A6729" s="1">
        <v>45668.291666666664</v>
      </c>
      <c r="B6729" t="s">
        <v>35</v>
      </c>
      <c r="C6729">
        <v>362.97</v>
      </c>
      <c r="D6729">
        <v>28.89</v>
      </c>
      <c r="E6729" t="s">
        <v>9</v>
      </c>
      <c r="F6729">
        <v>60.62</v>
      </c>
      <c r="G6729" t="s">
        <v>20</v>
      </c>
      <c r="H6729" t="s">
        <v>12</v>
      </c>
    </row>
    <row r="6730" spans="1:8" x14ac:dyDescent="0.25">
      <c r="A6730" s="1">
        <v>45668.333333333336</v>
      </c>
      <c r="B6730" t="s">
        <v>35</v>
      </c>
      <c r="C6730">
        <v>420.7</v>
      </c>
      <c r="D6730">
        <v>89.08</v>
      </c>
      <c r="E6730" t="s">
        <v>14</v>
      </c>
      <c r="F6730">
        <v>69.8</v>
      </c>
      <c r="G6730" t="s">
        <v>20</v>
      </c>
      <c r="H6730" t="s">
        <v>11</v>
      </c>
    </row>
    <row r="6731" spans="1:8" x14ac:dyDescent="0.25">
      <c r="A6731" s="1">
        <v>45668.375</v>
      </c>
      <c r="B6731" t="s">
        <v>35</v>
      </c>
      <c r="C6731">
        <v>72.709999999999994</v>
      </c>
      <c r="D6731">
        <v>37.53</v>
      </c>
      <c r="E6731" t="s">
        <v>9</v>
      </c>
      <c r="F6731">
        <v>81.09</v>
      </c>
      <c r="G6731" t="s">
        <v>20</v>
      </c>
      <c r="H6731" t="s">
        <v>13</v>
      </c>
    </row>
    <row r="6732" spans="1:8" x14ac:dyDescent="0.25">
      <c r="A6732" s="1">
        <v>45668.416666666664</v>
      </c>
      <c r="B6732" t="s">
        <v>35</v>
      </c>
      <c r="C6732">
        <v>420.06</v>
      </c>
      <c r="D6732">
        <v>48.92</v>
      </c>
      <c r="E6732" t="s">
        <v>9</v>
      </c>
      <c r="F6732">
        <v>77.06</v>
      </c>
      <c r="G6732" t="s">
        <v>20</v>
      </c>
      <c r="H6732" t="s">
        <v>13</v>
      </c>
    </row>
    <row r="6733" spans="1:8" x14ac:dyDescent="0.25">
      <c r="A6733" s="1">
        <v>45668.458333333336</v>
      </c>
      <c r="B6733" t="s">
        <v>35</v>
      </c>
      <c r="C6733">
        <v>164.68</v>
      </c>
      <c r="D6733">
        <v>94.77</v>
      </c>
      <c r="E6733" t="s">
        <v>14</v>
      </c>
      <c r="F6733">
        <v>51.32</v>
      </c>
      <c r="G6733" t="s">
        <v>20</v>
      </c>
      <c r="H6733" t="s">
        <v>12</v>
      </c>
    </row>
    <row r="6734" spans="1:8" x14ac:dyDescent="0.25">
      <c r="A6734" s="1">
        <v>45668.5</v>
      </c>
      <c r="B6734" t="s">
        <v>35</v>
      </c>
      <c r="C6734">
        <v>468.64</v>
      </c>
      <c r="D6734">
        <v>38.840000000000003</v>
      </c>
      <c r="E6734" t="s">
        <v>9</v>
      </c>
      <c r="F6734">
        <v>80.599999999999994</v>
      </c>
      <c r="G6734" t="s">
        <v>20</v>
      </c>
      <c r="H6734" t="s">
        <v>12</v>
      </c>
    </row>
    <row r="6735" spans="1:8" x14ac:dyDescent="0.25">
      <c r="A6735" s="1">
        <v>45668.541666666664</v>
      </c>
      <c r="B6735" t="s">
        <v>35</v>
      </c>
      <c r="C6735">
        <v>332.99</v>
      </c>
      <c r="D6735">
        <v>32.07</v>
      </c>
      <c r="E6735" t="s">
        <v>9</v>
      </c>
      <c r="F6735">
        <v>53.27</v>
      </c>
      <c r="G6735" t="s">
        <v>20</v>
      </c>
      <c r="H6735" t="s">
        <v>12</v>
      </c>
    </row>
    <row r="6736" spans="1:8" x14ac:dyDescent="0.25">
      <c r="A6736" s="1">
        <v>45668.583333333336</v>
      </c>
      <c r="B6736" t="s">
        <v>35</v>
      </c>
      <c r="C6736">
        <v>420.41</v>
      </c>
      <c r="D6736">
        <v>66.150000000000006</v>
      </c>
      <c r="E6736" t="s">
        <v>9</v>
      </c>
      <c r="F6736">
        <v>51.6</v>
      </c>
      <c r="G6736" t="s">
        <v>20</v>
      </c>
      <c r="H6736" t="s">
        <v>12</v>
      </c>
    </row>
    <row r="6737" spans="1:8" x14ac:dyDescent="0.25">
      <c r="A6737" s="1">
        <v>45668.625</v>
      </c>
      <c r="B6737" t="s">
        <v>35</v>
      </c>
      <c r="C6737">
        <v>383.83</v>
      </c>
      <c r="D6737">
        <v>63.77</v>
      </c>
      <c r="E6737" t="s">
        <v>9</v>
      </c>
      <c r="F6737">
        <v>79.67</v>
      </c>
      <c r="G6737" t="s">
        <v>20</v>
      </c>
      <c r="H6737" t="s">
        <v>11</v>
      </c>
    </row>
    <row r="6738" spans="1:8" x14ac:dyDescent="0.25">
      <c r="A6738" s="1">
        <v>45668.666666666664</v>
      </c>
      <c r="B6738" t="s">
        <v>35</v>
      </c>
      <c r="C6738">
        <v>399.68</v>
      </c>
      <c r="D6738">
        <v>26.82</v>
      </c>
      <c r="E6738" t="s">
        <v>9</v>
      </c>
      <c r="F6738">
        <v>37.4</v>
      </c>
      <c r="G6738" t="s">
        <v>20</v>
      </c>
      <c r="H6738" t="s">
        <v>12</v>
      </c>
    </row>
    <row r="6739" spans="1:8" x14ac:dyDescent="0.25">
      <c r="A6739" s="1">
        <v>45668.708333333336</v>
      </c>
      <c r="B6739" t="s">
        <v>35</v>
      </c>
      <c r="C6739">
        <v>88.71</v>
      </c>
      <c r="D6739">
        <v>44.44</v>
      </c>
      <c r="E6739" t="s">
        <v>9</v>
      </c>
      <c r="F6739">
        <v>64.12</v>
      </c>
      <c r="G6739" t="s">
        <v>20</v>
      </c>
      <c r="H6739" t="s">
        <v>11</v>
      </c>
    </row>
    <row r="6740" spans="1:8" x14ac:dyDescent="0.25">
      <c r="A6740" s="1">
        <v>45668.75</v>
      </c>
      <c r="B6740" t="s">
        <v>35</v>
      </c>
      <c r="C6740">
        <v>230.45</v>
      </c>
      <c r="D6740">
        <v>34.840000000000003</v>
      </c>
      <c r="E6740" t="s">
        <v>9</v>
      </c>
      <c r="F6740">
        <v>68.290000000000006</v>
      </c>
      <c r="G6740" t="s">
        <v>20</v>
      </c>
      <c r="H6740" t="s">
        <v>13</v>
      </c>
    </row>
    <row r="6741" spans="1:8" x14ac:dyDescent="0.25">
      <c r="A6741" s="1">
        <v>45668.791666666664</v>
      </c>
      <c r="B6741" t="s">
        <v>35</v>
      </c>
      <c r="C6741">
        <v>320.41000000000003</v>
      </c>
      <c r="D6741">
        <v>68</v>
      </c>
      <c r="E6741" t="s">
        <v>9</v>
      </c>
      <c r="F6741">
        <v>40.32</v>
      </c>
      <c r="G6741" t="s">
        <v>20</v>
      </c>
      <c r="H6741" t="s">
        <v>11</v>
      </c>
    </row>
    <row r="6742" spans="1:8" x14ac:dyDescent="0.25">
      <c r="A6742" s="1">
        <v>45668.833333333336</v>
      </c>
      <c r="B6742" t="s">
        <v>35</v>
      </c>
      <c r="C6742">
        <v>200.68</v>
      </c>
      <c r="D6742">
        <v>20.260000000000002</v>
      </c>
      <c r="E6742" t="s">
        <v>9</v>
      </c>
      <c r="F6742">
        <v>33.950000000000003</v>
      </c>
      <c r="G6742" t="s">
        <v>20</v>
      </c>
      <c r="H6742" t="s">
        <v>13</v>
      </c>
    </row>
    <row r="6743" spans="1:8" x14ac:dyDescent="0.25">
      <c r="A6743" s="1">
        <v>45668.875</v>
      </c>
      <c r="B6743" t="s">
        <v>35</v>
      </c>
      <c r="C6743">
        <v>326.95</v>
      </c>
      <c r="D6743">
        <v>71.92</v>
      </c>
      <c r="E6743" t="s">
        <v>9</v>
      </c>
      <c r="F6743">
        <v>71.12</v>
      </c>
      <c r="G6743" t="s">
        <v>20</v>
      </c>
      <c r="H6743" t="s">
        <v>13</v>
      </c>
    </row>
    <row r="6744" spans="1:8" x14ac:dyDescent="0.25">
      <c r="A6744" s="1">
        <v>45668.916666666664</v>
      </c>
      <c r="B6744" t="s">
        <v>35</v>
      </c>
      <c r="C6744">
        <v>373.47</v>
      </c>
      <c r="D6744">
        <v>44.33</v>
      </c>
      <c r="E6744" t="s">
        <v>9</v>
      </c>
      <c r="F6744">
        <v>79.2</v>
      </c>
      <c r="G6744" t="s">
        <v>20</v>
      </c>
      <c r="H6744" t="s">
        <v>12</v>
      </c>
    </row>
    <row r="6745" spans="1:8" x14ac:dyDescent="0.25">
      <c r="A6745" s="1">
        <v>45668.958333333336</v>
      </c>
      <c r="B6745" t="s">
        <v>35</v>
      </c>
      <c r="C6745">
        <v>472.63</v>
      </c>
      <c r="D6745">
        <v>68.59</v>
      </c>
      <c r="E6745" t="s">
        <v>9</v>
      </c>
      <c r="F6745">
        <v>45.31</v>
      </c>
      <c r="G6745" t="s">
        <v>20</v>
      </c>
      <c r="H6745" t="s">
        <v>11</v>
      </c>
    </row>
    <row r="6746" spans="1:8" x14ac:dyDescent="0.25">
      <c r="A6746" s="1">
        <v>45669</v>
      </c>
      <c r="B6746" t="s">
        <v>35</v>
      </c>
      <c r="C6746">
        <v>478.12</v>
      </c>
      <c r="D6746">
        <v>49.32</v>
      </c>
      <c r="E6746" t="s">
        <v>9</v>
      </c>
      <c r="F6746">
        <v>55.76</v>
      </c>
      <c r="G6746" t="s">
        <v>20</v>
      </c>
      <c r="H6746" t="s">
        <v>12</v>
      </c>
    </row>
    <row r="6747" spans="1:8" x14ac:dyDescent="0.25">
      <c r="A6747" s="1">
        <v>45669.041666666664</v>
      </c>
      <c r="B6747" t="s">
        <v>35</v>
      </c>
      <c r="C6747">
        <v>167.53</v>
      </c>
      <c r="D6747">
        <v>55.87</v>
      </c>
      <c r="E6747" t="s">
        <v>9</v>
      </c>
      <c r="F6747">
        <v>51.7</v>
      </c>
      <c r="G6747" t="s">
        <v>20</v>
      </c>
      <c r="H6747" t="s">
        <v>12</v>
      </c>
    </row>
    <row r="6748" spans="1:8" x14ac:dyDescent="0.25">
      <c r="A6748" s="1">
        <v>45669.083333333336</v>
      </c>
      <c r="B6748" t="s">
        <v>35</v>
      </c>
      <c r="C6748">
        <v>397.99</v>
      </c>
      <c r="D6748">
        <v>39.96</v>
      </c>
      <c r="E6748" t="s">
        <v>9</v>
      </c>
      <c r="F6748">
        <v>40.51</v>
      </c>
      <c r="G6748" t="s">
        <v>20</v>
      </c>
      <c r="H6748" t="s">
        <v>12</v>
      </c>
    </row>
    <row r="6749" spans="1:8" x14ac:dyDescent="0.25">
      <c r="A6749" s="1">
        <v>45669.125</v>
      </c>
      <c r="B6749" t="s">
        <v>35</v>
      </c>
      <c r="C6749">
        <v>90.7</v>
      </c>
      <c r="D6749">
        <v>92.68</v>
      </c>
      <c r="E6749" t="s">
        <v>14</v>
      </c>
      <c r="F6749">
        <v>67.94</v>
      </c>
      <c r="G6749" t="s">
        <v>20</v>
      </c>
      <c r="H6749" t="s">
        <v>13</v>
      </c>
    </row>
    <row r="6750" spans="1:8" x14ac:dyDescent="0.25">
      <c r="A6750" s="1">
        <v>45669.166666666664</v>
      </c>
      <c r="B6750" t="s">
        <v>35</v>
      </c>
      <c r="C6750">
        <v>438.57</v>
      </c>
      <c r="D6750">
        <v>41</v>
      </c>
      <c r="E6750" t="s">
        <v>9</v>
      </c>
      <c r="F6750">
        <v>39.409999999999997</v>
      </c>
      <c r="G6750" t="s">
        <v>20</v>
      </c>
      <c r="H6750" t="s">
        <v>12</v>
      </c>
    </row>
    <row r="6751" spans="1:8" x14ac:dyDescent="0.25">
      <c r="A6751" s="1">
        <v>45669.208333333336</v>
      </c>
      <c r="B6751" t="s">
        <v>35</v>
      </c>
      <c r="C6751">
        <v>68.31</v>
      </c>
      <c r="D6751">
        <v>16.66</v>
      </c>
      <c r="E6751" t="s">
        <v>9</v>
      </c>
      <c r="F6751">
        <v>57.89</v>
      </c>
      <c r="G6751" t="s">
        <v>20</v>
      </c>
      <c r="H6751" t="s">
        <v>13</v>
      </c>
    </row>
    <row r="6752" spans="1:8" x14ac:dyDescent="0.25">
      <c r="A6752" s="1">
        <v>45669.25</v>
      </c>
      <c r="B6752" t="s">
        <v>35</v>
      </c>
      <c r="C6752">
        <v>410.02</v>
      </c>
      <c r="D6752">
        <v>76.17</v>
      </c>
      <c r="E6752" t="s">
        <v>9</v>
      </c>
      <c r="F6752">
        <v>59.99</v>
      </c>
      <c r="G6752" t="s">
        <v>20</v>
      </c>
      <c r="H6752" t="s">
        <v>11</v>
      </c>
    </row>
    <row r="6753" spans="1:8" x14ac:dyDescent="0.25">
      <c r="A6753" s="1">
        <v>45669.291666666664</v>
      </c>
      <c r="B6753" t="s">
        <v>35</v>
      </c>
      <c r="C6753">
        <v>336.02</v>
      </c>
      <c r="D6753">
        <v>27.21</v>
      </c>
      <c r="E6753" t="s">
        <v>9</v>
      </c>
      <c r="F6753">
        <v>75.989999999999995</v>
      </c>
      <c r="G6753" t="s">
        <v>20</v>
      </c>
      <c r="H6753" t="s">
        <v>11</v>
      </c>
    </row>
    <row r="6754" spans="1:8" x14ac:dyDescent="0.25">
      <c r="A6754" s="1">
        <v>45669.333333333336</v>
      </c>
      <c r="B6754" t="s">
        <v>35</v>
      </c>
      <c r="C6754">
        <v>355.3</v>
      </c>
      <c r="D6754">
        <v>40.71</v>
      </c>
      <c r="E6754" t="s">
        <v>9</v>
      </c>
      <c r="F6754">
        <v>67.84</v>
      </c>
      <c r="G6754" t="s">
        <v>20</v>
      </c>
      <c r="H6754" t="s">
        <v>11</v>
      </c>
    </row>
    <row r="6755" spans="1:8" x14ac:dyDescent="0.25">
      <c r="A6755" s="1">
        <v>45669.375</v>
      </c>
      <c r="B6755" t="s">
        <v>35</v>
      </c>
      <c r="C6755">
        <v>309.12</v>
      </c>
      <c r="D6755">
        <v>92.84</v>
      </c>
      <c r="E6755" t="s">
        <v>14</v>
      </c>
      <c r="F6755">
        <v>31.62</v>
      </c>
      <c r="G6755" t="s">
        <v>20</v>
      </c>
      <c r="H6755" t="s">
        <v>13</v>
      </c>
    </row>
    <row r="6756" spans="1:8" x14ac:dyDescent="0.25">
      <c r="A6756" s="1">
        <v>45669.416666666664</v>
      </c>
      <c r="B6756" t="s">
        <v>35</v>
      </c>
      <c r="C6756">
        <v>331.91</v>
      </c>
      <c r="D6756">
        <v>72.97</v>
      </c>
      <c r="E6756" t="s">
        <v>9</v>
      </c>
      <c r="F6756">
        <v>83.11</v>
      </c>
      <c r="G6756" t="s">
        <v>20</v>
      </c>
      <c r="H6756" t="s">
        <v>13</v>
      </c>
    </row>
    <row r="6757" spans="1:8" x14ac:dyDescent="0.25">
      <c r="A6757" s="1">
        <v>45669.458333333336</v>
      </c>
      <c r="B6757" t="s">
        <v>35</v>
      </c>
      <c r="C6757">
        <v>302.47000000000003</v>
      </c>
      <c r="D6757">
        <v>19.170000000000002</v>
      </c>
      <c r="E6757" t="s">
        <v>9</v>
      </c>
      <c r="F6757">
        <v>71.61</v>
      </c>
      <c r="G6757" t="s">
        <v>20</v>
      </c>
      <c r="H6757" t="s">
        <v>13</v>
      </c>
    </row>
    <row r="6758" spans="1:8" x14ac:dyDescent="0.25">
      <c r="A6758" s="1">
        <v>45669.5</v>
      </c>
      <c r="B6758" t="s">
        <v>35</v>
      </c>
      <c r="C6758">
        <v>417.86</v>
      </c>
      <c r="D6758">
        <v>17.489999999999998</v>
      </c>
      <c r="E6758" t="s">
        <v>9</v>
      </c>
      <c r="F6758">
        <v>38.24</v>
      </c>
      <c r="G6758" t="s">
        <v>20</v>
      </c>
      <c r="H6758" t="s">
        <v>13</v>
      </c>
    </row>
    <row r="6759" spans="1:8" x14ac:dyDescent="0.25">
      <c r="A6759" s="1">
        <v>45669.541666666664</v>
      </c>
      <c r="B6759" t="s">
        <v>35</v>
      </c>
      <c r="C6759">
        <v>390.01</v>
      </c>
      <c r="D6759">
        <v>47.41</v>
      </c>
      <c r="E6759" t="s">
        <v>9</v>
      </c>
      <c r="F6759">
        <v>33.880000000000003</v>
      </c>
      <c r="G6759" t="s">
        <v>20</v>
      </c>
      <c r="H6759" t="s">
        <v>12</v>
      </c>
    </row>
    <row r="6760" spans="1:8" x14ac:dyDescent="0.25">
      <c r="A6760" s="1">
        <v>45669.583333333336</v>
      </c>
      <c r="B6760" t="s">
        <v>35</v>
      </c>
      <c r="C6760">
        <v>114.22</v>
      </c>
      <c r="D6760">
        <v>43.88</v>
      </c>
      <c r="E6760" t="s">
        <v>9</v>
      </c>
      <c r="F6760">
        <v>80.17</v>
      </c>
      <c r="G6760" t="s">
        <v>20</v>
      </c>
      <c r="H6760" t="s">
        <v>11</v>
      </c>
    </row>
    <row r="6761" spans="1:8" x14ac:dyDescent="0.25">
      <c r="A6761" s="1">
        <v>45669.625</v>
      </c>
      <c r="B6761" t="s">
        <v>35</v>
      </c>
      <c r="C6761">
        <v>468.27</v>
      </c>
      <c r="D6761">
        <v>19.440000000000001</v>
      </c>
      <c r="E6761" t="s">
        <v>9</v>
      </c>
      <c r="F6761">
        <v>48.24</v>
      </c>
      <c r="G6761" t="s">
        <v>20</v>
      </c>
      <c r="H6761" t="s">
        <v>11</v>
      </c>
    </row>
    <row r="6762" spans="1:8" x14ac:dyDescent="0.25">
      <c r="A6762" s="1">
        <v>45669.666666666664</v>
      </c>
      <c r="B6762" t="s">
        <v>35</v>
      </c>
      <c r="C6762">
        <v>230.52</v>
      </c>
      <c r="D6762">
        <v>40.950000000000003</v>
      </c>
      <c r="E6762" t="s">
        <v>9</v>
      </c>
      <c r="F6762">
        <v>78.25</v>
      </c>
      <c r="G6762" t="s">
        <v>20</v>
      </c>
      <c r="H6762" t="s">
        <v>13</v>
      </c>
    </row>
    <row r="6763" spans="1:8" x14ac:dyDescent="0.25">
      <c r="A6763" s="1">
        <v>45669.708333333336</v>
      </c>
      <c r="B6763" t="s">
        <v>35</v>
      </c>
      <c r="C6763">
        <v>362.07</v>
      </c>
      <c r="D6763">
        <v>85.55</v>
      </c>
      <c r="E6763" t="s">
        <v>14</v>
      </c>
      <c r="F6763">
        <v>88.61</v>
      </c>
      <c r="G6763" t="s">
        <v>20</v>
      </c>
      <c r="H6763" t="s">
        <v>12</v>
      </c>
    </row>
    <row r="6764" spans="1:8" x14ac:dyDescent="0.25">
      <c r="A6764" s="1">
        <v>45669.75</v>
      </c>
      <c r="B6764" t="s">
        <v>35</v>
      </c>
      <c r="C6764">
        <v>106.28</v>
      </c>
      <c r="D6764">
        <v>74.5</v>
      </c>
      <c r="E6764" t="s">
        <v>9</v>
      </c>
      <c r="F6764">
        <v>65.790000000000006</v>
      </c>
      <c r="G6764" t="s">
        <v>20</v>
      </c>
      <c r="H6764" t="s">
        <v>13</v>
      </c>
    </row>
    <row r="6765" spans="1:8" x14ac:dyDescent="0.25">
      <c r="A6765" s="1">
        <v>45669.791666666664</v>
      </c>
      <c r="B6765" t="s">
        <v>35</v>
      </c>
      <c r="C6765">
        <v>472.05</v>
      </c>
      <c r="D6765">
        <v>87.08</v>
      </c>
      <c r="E6765" t="s">
        <v>14</v>
      </c>
      <c r="F6765">
        <v>89.28</v>
      </c>
      <c r="G6765" t="s">
        <v>20</v>
      </c>
      <c r="H6765" t="s">
        <v>13</v>
      </c>
    </row>
    <row r="6766" spans="1:8" x14ac:dyDescent="0.25">
      <c r="A6766" s="1">
        <v>45669.833333333336</v>
      </c>
      <c r="B6766" t="s">
        <v>35</v>
      </c>
      <c r="C6766">
        <v>296.10000000000002</v>
      </c>
      <c r="D6766">
        <v>71.91</v>
      </c>
      <c r="E6766" t="s">
        <v>9</v>
      </c>
      <c r="F6766">
        <v>87.88</v>
      </c>
      <c r="G6766" t="s">
        <v>20</v>
      </c>
      <c r="H6766" t="s">
        <v>13</v>
      </c>
    </row>
    <row r="6767" spans="1:8" x14ac:dyDescent="0.25">
      <c r="A6767" s="1">
        <v>45669.875</v>
      </c>
      <c r="B6767" t="s">
        <v>35</v>
      </c>
      <c r="C6767">
        <v>373.83</v>
      </c>
      <c r="D6767">
        <v>17.89</v>
      </c>
      <c r="E6767" t="s">
        <v>9</v>
      </c>
      <c r="F6767">
        <v>82.34</v>
      </c>
      <c r="G6767" t="s">
        <v>20</v>
      </c>
      <c r="H6767" t="s">
        <v>12</v>
      </c>
    </row>
    <row r="6768" spans="1:8" x14ac:dyDescent="0.25">
      <c r="A6768" s="1">
        <v>45669.916666666664</v>
      </c>
      <c r="B6768" t="s">
        <v>35</v>
      </c>
      <c r="C6768">
        <v>189.7</v>
      </c>
      <c r="D6768">
        <v>29.17</v>
      </c>
      <c r="E6768" t="s">
        <v>9</v>
      </c>
      <c r="F6768">
        <v>36.97</v>
      </c>
      <c r="G6768" t="s">
        <v>20</v>
      </c>
      <c r="H6768" t="s">
        <v>11</v>
      </c>
    </row>
    <row r="6769" spans="1:8" x14ac:dyDescent="0.25">
      <c r="A6769" s="1">
        <v>45669.958333333336</v>
      </c>
      <c r="B6769" t="s">
        <v>35</v>
      </c>
      <c r="C6769">
        <v>266.06</v>
      </c>
      <c r="D6769">
        <v>64</v>
      </c>
      <c r="E6769" t="s">
        <v>9</v>
      </c>
      <c r="F6769">
        <v>58.97</v>
      </c>
      <c r="G6769" t="s">
        <v>20</v>
      </c>
      <c r="H6769" t="s">
        <v>13</v>
      </c>
    </row>
    <row r="6770" spans="1:8" x14ac:dyDescent="0.25">
      <c r="A6770" s="1">
        <v>45670</v>
      </c>
      <c r="B6770" t="s">
        <v>35</v>
      </c>
      <c r="C6770">
        <v>228.77</v>
      </c>
      <c r="D6770">
        <v>53.1</v>
      </c>
      <c r="E6770" t="s">
        <v>9</v>
      </c>
      <c r="F6770">
        <v>40.15</v>
      </c>
      <c r="G6770" t="s">
        <v>20</v>
      </c>
      <c r="H6770" t="s">
        <v>12</v>
      </c>
    </row>
    <row r="6771" spans="1:8" x14ac:dyDescent="0.25">
      <c r="A6771" s="1">
        <v>45670.041666666664</v>
      </c>
      <c r="B6771" t="s">
        <v>35</v>
      </c>
      <c r="C6771">
        <v>320.86</v>
      </c>
      <c r="D6771">
        <v>66.510000000000005</v>
      </c>
      <c r="E6771" t="s">
        <v>9</v>
      </c>
      <c r="F6771">
        <v>76.33</v>
      </c>
      <c r="G6771" t="s">
        <v>20</v>
      </c>
      <c r="H6771" t="s">
        <v>12</v>
      </c>
    </row>
    <row r="6772" spans="1:8" x14ac:dyDescent="0.25">
      <c r="A6772" s="1">
        <v>45670.083333333336</v>
      </c>
      <c r="B6772" t="s">
        <v>35</v>
      </c>
      <c r="C6772">
        <v>299.77</v>
      </c>
      <c r="D6772">
        <v>25.86</v>
      </c>
      <c r="E6772" t="s">
        <v>9</v>
      </c>
      <c r="F6772">
        <v>41.74</v>
      </c>
      <c r="G6772" t="s">
        <v>20</v>
      </c>
      <c r="H6772" t="s">
        <v>12</v>
      </c>
    </row>
    <row r="6773" spans="1:8" x14ac:dyDescent="0.25">
      <c r="A6773" s="1">
        <v>45670.125</v>
      </c>
      <c r="B6773" t="s">
        <v>35</v>
      </c>
      <c r="C6773">
        <v>238.6</v>
      </c>
      <c r="D6773">
        <v>56.93</v>
      </c>
      <c r="E6773" t="s">
        <v>9</v>
      </c>
      <c r="F6773">
        <v>67.5</v>
      </c>
      <c r="G6773" t="s">
        <v>20</v>
      </c>
      <c r="H6773" t="s">
        <v>11</v>
      </c>
    </row>
    <row r="6774" spans="1:8" x14ac:dyDescent="0.25">
      <c r="A6774" s="1">
        <v>45670.166666666664</v>
      </c>
      <c r="B6774" t="s">
        <v>35</v>
      </c>
      <c r="C6774">
        <v>459.5</v>
      </c>
      <c r="D6774">
        <v>51.48</v>
      </c>
      <c r="E6774" t="s">
        <v>9</v>
      </c>
      <c r="F6774">
        <v>35.32</v>
      </c>
      <c r="G6774" t="s">
        <v>20</v>
      </c>
      <c r="H6774" t="s">
        <v>13</v>
      </c>
    </row>
    <row r="6775" spans="1:8" x14ac:dyDescent="0.25">
      <c r="A6775" s="1">
        <v>45670.208333333336</v>
      </c>
      <c r="B6775" t="s">
        <v>35</v>
      </c>
      <c r="C6775">
        <v>417.3</v>
      </c>
      <c r="D6775">
        <v>76.05</v>
      </c>
      <c r="E6775" t="s">
        <v>9</v>
      </c>
      <c r="F6775">
        <v>48.56</v>
      </c>
      <c r="G6775" t="s">
        <v>20</v>
      </c>
      <c r="H6775" t="s">
        <v>11</v>
      </c>
    </row>
    <row r="6776" spans="1:8" x14ac:dyDescent="0.25">
      <c r="A6776" s="1">
        <v>45670.25</v>
      </c>
      <c r="B6776" t="s">
        <v>35</v>
      </c>
      <c r="C6776">
        <v>350.54</v>
      </c>
      <c r="D6776">
        <v>86.09</v>
      </c>
      <c r="E6776" t="s">
        <v>14</v>
      </c>
      <c r="F6776">
        <v>87.13</v>
      </c>
      <c r="G6776" t="s">
        <v>20</v>
      </c>
      <c r="H6776" t="s">
        <v>11</v>
      </c>
    </row>
    <row r="6777" spans="1:8" x14ac:dyDescent="0.25">
      <c r="A6777" s="1">
        <v>45670.291666666664</v>
      </c>
      <c r="B6777" t="s">
        <v>35</v>
      </c>
      <c r="C6777">
        <v>414.26</v>
      </c>
      <c r="D6777">
        <v>86.04</v>
      </c>
      <c r="E6777" t="s">
        <v>14</v>
      </c>
      <c r="F6777">
        <v>32.979999999999997</v>
      </c>
      <c r="G6777" t="s">
        <v>20</v>
      </c>
      <c r="H6777" t="s">
        <v>13</v>
      </c>
    </row>
    <row r="6778" spans="1:8" x14ac:dyDescent="0.25">
      <c r="A6778" s="1">
        <v>45670.333333333336</v>
      </c>
      <c r="B6778" t="s">
        <v>35</v>
      </c>
      <c r="C6778">
        <v>458.4</v>
      </c>
      <c r="D6778">
        <v>87.22</v>
      </c>
      <c r="E6778" t="s">
        <v>14</v>
      </c>
      <c r="F6778">
        <v>85.42</v>
      </c>
      <c r="G6778" t="s">
        <v>20</v>
      </c>
      <c r="H6778" t="s">
        <v>12</v>
      </c>
    </row>
    <row r="6779" spans="1:8" x14ac:dyDescent="0.25">
      <c r="A6779" s="1">
        <v>45670.375</v>
      </c>
      <c r="B6779" t="s">
        <v>35</v>
      </c>
      <c r="C6779">
        <v>212.05</v>
      </c>
      <c r="D6779">
        <v>28.92</v>
      </c>
      <c r="E6779" t="s">
        <v>9</v>
      </c>
      <c r="F6779">
        <v>56.61</v>
      </c>
      <c r="G6779" t="s">
        <v>20</v>
      </c>
      <c r="H6779" t="s">
        <v>11</v>
      </c>
    </row>
    <row r="6780" spans="1:8" x14ac:dyDescent="0.25">
      <c r="A6780" s="1">
        <v>45670.416666666664</v>
      </c>
      <c r="B6780" t="s">
        <v>35</v>
      </c>
      <c r="C6780">
        <v>238.49</v>
      </c>
      <c r="D6780">
        <v>72.27</v>
      </c>
      <c r="E6780" t="s">
        <v>9</v>
      </c>
      <c r="F6780">
        <v>48.02</v>
      </c>
      <c r="G6780" t="s">
        <v>20</v>
      </c>
      <c r="H6780" t="s">
        <v>11</v>
      </c>
    </row>
    <row r="6781" spans="1:8" x14ac:dyDescent="0.25">
      <c r="A6781" s="1">
        <v>45670.458333333336</v>
      </c>
      <c r="B6781" t="s">
        <v>35</v>
      </c>
      <c r="C6781">
        <v>404.38</v>
      </c>
      <c r="D6781">
        <v>82.65</v>
      </c>
      <c r="E6781" t="s">
        <v>9</v>
      </c>
      <c r="F6781">
        <v>75.05</v>
      </c>
      <c r="G6781" t="s">
        <v>20</v>
      </c>
      <c r="H6781" t="s">
        <v>13</v>
      </c>
    </row>
    <row r="6782" spans="1:8" x14ac:dyDescent="0.25">
      <c r="A6782" s="1">
        <v>45670.5</v>
      </c>
      <c r="B6782" t="s">
        <v>35</v>
      </c>
      <c r="C6782">
        <v>309.38</v>
      </c>
      <c r="D6782">
        <v>61.2</v>
      </c>
      <c r="E6782" t="s">
        <v>9</v>
      </c>
      <c r="F6782">
        <v>81.59</v>
      </c>
      <c r="G6782" t="s">
        <v>20</v>
      </c>
      <c r="H6782" t="s">
        <v>11</v>
      </c>
    </row>
    <row r="6783" spans="1:8" x14ac:dyDescent="0.25">
      <c r="A6783" s="1">
        <v>45670.541666666664</v>
      </c>
      <c r="B6783" t="s">
        <v>35</v>
      </c>
      <c r="C6783">
        <v>413.8</v>
      </c>
      <c r="D6783">
        <v>78.31</v>
      </c>
      <c r="E6783" t="s">
        <v>9</v>
      </c>
      <c r="F6783">
        <v>59.93</v>
      </c>
      <c r="G6783" t="s">
        <v>20</v>
      </c>
      <c r="H6783" t="s">
        <v>13</v>
      </c>
    </row>
    <row r="6784" spans="1:8" x14ac:dyDescent="0.25">
      <c r="A6784" s="1">
        <v>45670.583333333336</v>
      </c>
      <c r="B6784" t="s">
        <v>35</v>
      </c>
      <c r="C6784">
        <v>263.41000000000003</v>
      </c>
      <c r="D6784">
        <v>33.479999999999997</v>
      </c>
      <c r="E6784" t="s">
        <v>9</v>
      </c>
      <c r="F6784">
        <v>79.63</v>
      </c>
      <c r="G6784" t="s">
        <v>20</v>
      </c>
      <c r="H6784" t="s">
        <v>12</v>
      </c>
    </row>
    <row r="6785" spans="1:8" x14ac:dyDescent="0.25">
      <c r="A6785" s="1">
        <v>45670.625</v>
      </c>
      <c r="B6785" t="s">
        <v>35</v>
      </c>
      <c r="C6785">
        <v>289.11</v>
      </c>
      <c r="D6785">
        <v>91.18</v>
      </c>
      <c r="E6785" t="s">
        <v>14</v>
      </c>
      <c r="F6785">
        <v>39.28</v>
      </c>
      <c r="G6785" t="s">
        <v>20</v>
      </c>
      <c r="H6785" t="s">
        <v>12</v>
      </c>
    </row>
    <row r="6786" spans="1:8" x14ac:dyDescent="0.25">
      <c r="A6786" s="1">
        <v>45670.666666666664</v>
      </c>
      <c r="B6786" t="s">
        <v>35</v>
      </c>
      <c r="C6786">
        <v>482.8</v>
      </c>
      <c r="D6786">
        <v>83.7</v>
      </c>
      <c r="E6786" t="s">
        <v>9</v>
      </c>
      <c r="F6786">
        <v>81.02</v>
      </c>
      <c r="G6786" t="s">
        <v>20</v>
      </c>
      <c r="H6786" t="s">
        <v>11</v>
      </c>
    </row>
    <row r="6787" spans="1:8" x14ac:dyDescent="0.25">
      <c r="A6787" s="1">
        <v>45670.708333333336</v>
      </c>
      <c r="B6787" t="s">
        <v>35</v>
      </c>
      <c r="C6787">
        <v>236.63</v>
      </c>
      <c r="D6787">
        <v>38.57</v>
      </c>
      <c r="E6787" t="s">
        <v>9</v>
      </c>
      <c r="F6787">
        <v>66.67</v>
      </c>
      <c r="G6787" t="s">
        <v>20</v>
      </c>
      <c r="H6787" t="s">
        <v>12</v>
      </c>
    </row>
    <row r="6788" spans="1:8" x14ac:dyDescent="0.25">
      <c r="A6788" s="1">
        <v>45670.75</v>
      </c>
      <c r="B6788" t="s">
        <v>35</v>
      </c>
      <c r="C6788">
        <v>273.11</v>
      </c>
      <c r="D6788">
        <v>42.73</v>
      </c>
      <c r="E6788" t="s">
        <v>9</v>
      </c>
      <c r="F6788">
        <v>54.85</v>
      </c>
      <c r="G6788" t="s">
        <v>20</v>
      </c>
      <c r="H6788" t="s">
        <v>13</v>
      </c>
    </row>
    <row r="6789" spans="1:8" x14ac:dyDescent="0.25">
      <c r="A6789" s="1">
        <v>45670.791666666664</v>
      </c>
      <c r="B6789" t="s">
        <v>35</v>
      </c>
      <c r="C6789">
        <v>187.5</v>
      </c>
      <c r="D6789">
        <v>68.58</v>
      </c>
      <c r="E6789" t="s">
        <v>9</v>
      </c>
      <c r="F6789">
        <v>63.75</v>
      </c>
      <c r="G6789" t="s">
        <v>20</v>
      </c>
      <c r="H6789" t="s">
        <v>12</v>
      </c>
    </row>
    <row r="6790" spans="1:8" x14ac:dyDescent="0.25">
      <c r="A6790" s="1">
        <v>45670.833333333336</v>
      </c>
      <c r="B6790" t="s">
        <v>35</v>
      </c>
      <c r="C6790">
        <v>258.16000000000003</v>
      </c>
      <c r="D6790">
        <v>21.76</v>
      </c>
      <c r="E6790" t="s">
        <v>9</v>
      </c>
      <c r="F6790">
        <v>77.81</v>
      </c>
      <c r="G6790" t="s">
        <v>20</v>
      </c>
      <c r="H6790" t="s">
        <v>11</v>
      </c>
    </row>
    <row r="6791" spans="1:8" x14ac:dyDescent="0.25">
      <c r="A6791" s="1">
        <v>45670.875</v>
      </c>
      <c r="B6791" t="s">
        <v>35</v>
      </c>
      <c r="C6791">
        <v>204.51</v>
      </c>
      <c r="D6791">
        <v>28.54</v>
      </c>
      <c r="E6791" t="s">
        <v>9</v>
      </c>
      <c r="F6791">
        <v>35.01</v>
      </c>
      <c r="G6791" t="s">
        <v>20</v>
      </c>
      <c r="H6791" t="s">
        <v>12</v>
      </c>
    </row>
    <row r="6792" spans="1:8" x14ac:dyDescent="0.25">
      <c r="A6792" s="1">
        <v>45670.916666666664</v>
      </c>
      <c r="B6792" t="s">
        <v>35</v>
      </c>
      <c r="C6792">
        <v>76.91</v>
      </c>
      <c r="D6792">
        <v>42.8</v>
      </c>
      <c r="E6792" t="s">
        <v>9</v>
      </c>
      <c r="F6792">
        <v>76.31</v>
      </c>
      <c r="G6792" t="s">
        <v>20</v>
      </c>
      <c r="H6792" t="s">
        <v>13</v>
      </c>
    </row>
    <row r="6793" spans="1:8" x14ac:dyDescent="0.25">
      <c r="A6793" s="1">
        <v>45670.958333333336</v>
      </c>
      <c r="B6793" t="s">
        <v>35</v>
      </c>
      <c r="C6793">
        <v>213.25</v>
      </c>
      <c r="D6793">
        <v>29.53</v>
      </c>
      <c r="E6793" t="s">
        <v>9</v>
      </c>
      <c r="F6793">
        <v>67.91</v>
      </c>
      <c r="G6793" t="s">
        <v>20</v>
      </c>
      <c r="H6793" t="s">
        <v>11</v>
      </c>
    </row>
    <row r="6794" spans="1:8" x14ac:dyDescent="0.25">
      <c r="A6794" s="1">
        <v>45671</v>
      </c>
      <c r="B6794" t="s">
        <v>35</v>
      </c>
      <c r="C6794">
        <v>485.32</v>
      </c>
      <c r="D6794">
        <v>85.32</v>
      </c>
      <c r="E6794" t="s">
        <v>14</v>
      </c>
      <c r="F6794">
        <v>57.22</v>
      </c>
      <c r="G6794" t="s">
        <v>20</v>
      </c>
      <c r="H6794" t="s">
        <v>13</v>
      </c>
    </row>
    <row r="6795" spans="1:8" x14ac:dyDescent="0.25">
      <c r="A6795" s="1">
        <v>45671.041666666664</v>
      </c>
      <c r="B6795" t="s">
        <v>35</v>
      </c>
      <c r="C6795">
        <v>373.09</v>
      </c>
      <c r="D6795">
        <v>86.59</v>
      </c>
      <c r="E6795" t="s">
        <v>14</v>
      </c>
      <c r="F6795">
        <v>76.39</v>
      </c>
      <c r="G6795" t="s">
        <v>20</v>
      </c>
      <c r="H6795" t="s">
        <v>13</v>
      </c>
    </row>
    <row r="6796" spans="1:8" x14ac:dyDescent="0.25">
      <c r="A6796" s="1">
        <v>45671.083333333336</v>
      </c>
      <c r="B6796" t="s">
        <v>35</v>
      </c>
      <c r="C6796">
        <v>246.61</v>
      </c>
      <c r="D6796">
        <v>82.6</v>
      </c>
      <c r="E6796" t="s">
        <v>9</v>
      </c>
      <c r="F6796">
        <v>45.28</v>
      </c>
      <c r="G6796" t="s">
        <v>20</v>
      </c>
      <c r="H6796" t="s">
        <v>11</v>
      </c>
    </row>
    <row r="6797" spans="1:8" x14ac:dyDescent="0.25">
      <c r="A6797" s="1">
        <v>45671.125</v>
      </c>
      <c r="B6797" t="s">
        <v>35</v>
      </c>
      <c r="C6797">
        <v>334.71</v>
      </c>
      <c r="D6797">
        <v>50.61</v>
      </c>
      <c r="E6797" t="s">
        <v>9</v>
      </c>
      <c r="F6797">
        <v>33.590000000000003</v>
      </c>
      <c r="G6797" t="s">
        <v>20</v>
      </c>
      <c r="H6797" t="s">
        <v>11</v>
      </c>
    </row>
    <row r="6798" spans="1:8" x14ac:dyDescent="0.25">
      <c r="A6798" s="1">
        <v>45671.166666666664</v>
      </c>
      <c r="B6798" t="s">
        <v>35</v>
      </c>
      <c r="C6798">
        <v>347.8</v>
      </c>
      <c r="D6798">
        <v>80.819999999999993</v>
      </c>
      <c r="E6798" t="s">
        <v>9</v>
      </c>
      <c r="F6798">
        <v>47.28</v>
      </c>
      <c r="G6798" t="s">
        <v>20</v>
      </c>
      <c r="H6798" t="s">
        <v>13</v>
      </c>
    </row>
    <row r="6799" spans="1:8" x14ac:dyDescent="0.25">
      <c r="A6799" s="1">
        <v>45671.208333333336</v>
      </c>
      <c r="B6799" t="s">
        <v>35</v>
      </c>
      <c r="C6799">
        <v>235.37</v>
      </c>
      <c r="D6799">
        <v>32.85</v>
      </c>
      <c r="E6799" t="s">
        <v>9</v>
      </c>
      <c r="F6799">
        <v>69.19</v>
      </c>
      <c r="G6799" t="s">
        <v>20</v>
      </c>
      <c r="H6799" t="s">
        <v>11</v>
      </c>
    </row>
    <row r="6800" spans="1:8" x14ac:dyDescent="0.25">
      <c r="A6800" s="1">
        <v>45671.25</v>
      </c>
      <c r="B6800" t="s">
        <v>35</v>
      </c>
      <c r="C6800">
        <v>94.4</v>
      </c>
      <c r="D6800">
        <v>22.14</v>
      </c>
      <c r="E6800" t="s">
        <v>9</v>
      </c>
      <c r="F6800">
        <v>45.74</v>
      </c>
      <c r="G6800" t="s">
        <v>20</v>
      </c>
      <c r="H6800" t="s">
        <v>11</v>
      </c>
    </row>
    <row r="6801" spans="1:8" x14ac:dyDescent="0.25">
      <c r="A6801" s="1">
        <v>45671.291666666664</v>
      </c>
      <c r="B6801" t="s">
        <v>35</v>
      </c>
      <c r="C6801">
        <v>384</v>
      </c>
      <c r="D6801">
        <v>60.39</v>
      </c>
      <c r="E6801" t="s">
        <v>9</v>
      </c>
      <c r="F6801">
        <v>75.84</v>
      </c>
      <c r="G6801" t="s">
        <v>20</v>
      </c>
      <c r="H6801" t="s">
        <v>12</v>
      </c>
    </row>
    <row r="6802" spans="1:8" x14ac:dyDescent="0.25">
      <c r="A6802" s="1">
        <v>45671.333333333336</v>
      </c>
      <c r="B6802" t="s">
        <v>35</v>
      </c>
      <c r="C6802">
        <v>59.83</v>
      </c>
      <c r="D6802">
        <v>58.28</v>
      </c>
      <c r="E6802" t="s">
        <v>9</v>
      </c>
      <c r="F6802">
        <v>67.849999999999994</v>
      </c>
      <c r="G6802" t="s">
        <v>20</v>
      </c>
      <c r="H6802" t="s">
        <v>13</v>
      </c>
    </row>
    <row r="6803" spans="1:8" x14ac:dyDescent="0.25">
      <c r="A6803" s="1">
        <v>45671.375</v>
      </c>
      <c r="B6803" t="s">
        <v>35</v>
      </c>
      <c r="C6803">
        <v>368.51</v>
      </c>
      <c r="D6803">
        <v>84.42</v>
      </c>
      <c r="E6803" t="s">
        <v>9</v>
      </c>
      <c r="F6803">
        <v>32.79</v>
      </c>
      <c r="G6803" t="s">
        <v>20</v>
      </c>
      <c r="H6803" t="s">
        <v>11</v>
      </c>
    </row>
    <row r="6804" spans="1:8" x14ac:dyDescent="0.25">
      <c r="A6804" s="1">
        <v>45671.416666666664</v>
      </c>
      <c r="B6804" t="s">
        <v>35</v>
      </c>
      <c r="C6804">
        <v>76.400000000000006</v>
      </c>
      <c r="D6804">
        <v>24.35</v>
      </c>
      <c r="E6804" t="s">
        <v>9</v>
      </c>
      <c r="F6804">
        <v>59.66</v>
      </c>
      <c r="G6804" t="s">
        <v>20</v>
      </c>
      <c r="H6804" t="s">
        <v>13</v>
      </c>
    </row>
    <row r="6805" spans="1:8" x14ac:dyDescent="0.25">
      <c r="A6805" s="1">
        <v>45671.458333333336</v>
      </c>
      <c r="B6805" t="s">
        <v>35</v>
      </c>
      <c r="C6805">
        <v>293.08999999999997</v>
      </c>
      <c r="D6805">
        <v>18.190000000000001</v>
      </c>
      <c r="E6805" t="s">
        <v>9</v>
      </c>
      <c r="F6805">
        <v>70.11</v>
      </c>
      <c r="G6805" t="s">
        <v>20</v>
      </c>
      <c r="H6805" t="s">
        <v>13</v>
      </c>
    </row>
    <row r="6806" spans="1:8" x14ac:dyDescent="0.25">
      <c r="A6806" s="1">
        <v>45671.5</v>
      </c>
      <c r="B6806" t="s">
        <v>35</v>
      </c>
      <c r="C6806">
        <v>288.45999999999998</v>
      </c>
      <c r="D6806">
        <v>53.71</v>
      </c>
      <c r="E6806" t="s">
        <v>9</v>
      </c>
      <c r="F6806">
        <v>30.38</v>
      </c>
      <c r="G6806" t="s">
        <v>20</v>
      </c>
      <c r="H6806" t="s">
        <v>12</v>
      </c>
    </row>
    <row r="6807" spans="1:8" x14ac:dyDescent="0.25">
      <c r="A6807" s="1">
        <v>45671.541666666664</v>
      </c>
      <c r="B6807" t="s">
        <v>35</v>
      </c>
      <c r="C6807">
        <v>205.73</v>
      </c>
      <c r="D6807">
        <v>84.31</v>
      </c>
      <c r="E6807" t="s">
        <v>9</v>
      </c>
      <c r="F6807">
        <v>87.58</v>
      </c>
      <c r="G6807" t="s">
        <v>20</v>
      </c>
      <c r="H6807" t="s">
        <v>13</v>
      </c>
    </row>
    <row r="6808" spans="1:8" x14ac:dyDescent="0.25">
      <c r="A6808" s="1">
        <v>45671.583333333336</v>
      </c>
      <c r="B6808" t="s">
        <v>35</v>
      </c>
      <c r="C6808">
        <v>492.21</v>
      </c>
      <c r="D6808">
        <v>56.68</v>
      </c>
      <c r="E6808" t="s">
        <v>9</v>
      </c>
      <c r="F6808">
        <v>80.709999999999994</v>
      </c>
      <c r="G6808" t="s">
        <v>20</v>
      </c>
      <c r="H6808" t="s">
        <v>12</v>
      </c>
    </row>
    <row r="6809" spans="1:8" x14ac:dyDescent="0.25">
      <c r="A6809" s="1">
        <v>45671.625</v>
      </c>
      <c r="B6809" t="s">
        <v>35</v>
      </c>
      <c r="C6809">
        <v>118.16</v>
      </c>
      <c r="D6809">
        <v>65.790000000000006</v>
      </c>
      <c r="E6809" t="s">
        <v>9</v>
      </c>
      <c r="F6809">
        <v>59.29</v>
      </c>
      <c r="G6809" t="s">
        <v>20</v>
      </c>
      <c r="H6809" t="s">
        <v>11</v>
      </c>
    </row>
    <row r="6810" spans="1:8" x14ac:dyDescent="0.25">
      <c r="A6810" s="1">
        <v>45671.666666666664</v>
      </c>
      <c r="B6810" t="s">
        <v>35</v>
      </c>
      <c r="C6810">
        <v>153.82</v>
      </c>
      <c r="D6810">
        <v>19.079999999999998</v>
      </c>
      <c r="E6810" t="s">
        <v>9</v>
      </c>
      <c r="F6810">
        <v>53.2</v>
      </c>
      <c r="G6810" t="s">
        <v>20</v>
      </c>
      <c r="H6810" t="s">
        <v>12</v>
      </c>
    </row>
    <row r="6811" spans="1:8" x14ac:dyDescent="0.25">
      <c r="A6811" s="1">
        <v>45671.708333333336</v>
      </c>
      <c r="B6811" t="s">
        <v>35</v>
      </c>
      <c r="C6811">
        <v>324.13</v>
      </c>
      <c r="D6811">
        <v>60.49</v>
      </c>
      <c r="E6811" t="s">
        <v>9</v>
      </c>
      <c r="F6811">
        <v>56.45</v>
      </c>
      <c r="G6811" t="s">
        <v>20</v>
      </c>
      <c r="H6811" t="s">
        <v>13</v>
      </c>
    </row>
    <row r="6812" spans="1:8" x14ac:dyDescent="0.25">
      <c r="A6812" s="1">
        <v>45671.75</v>
      </c>
      <c r="B6812" t="s">
        <v>35</v>
      </c>
      <c r="C6812">
        <v>80.72</v>
      </c>
      <c r="D6812">
        <v>89.4</v>
      </c>
      <c r="E6812" t="s">
        <v>14</v>
      </c>
      <c r="F6812">
        <v>79.94</v>
      </c>
      <c r="G6812" t="s">
        <v>20</v>
      </c>
      <c r="H6812" t="s">
        <v>13</v>
      </c>
    </row>
    <row r="6813" spans="1:8" x14ac:dyDescent="0.25">
      <c r="A6813" s="1">
        <v>45671.791666666664</v>
      </c>
      <c r="B6813" t="s">
        <v>35</v>
      </c>
      <c r="C6813">
        <v>345.12</v>
      </c>
      <c r="D6813">
        <v>49.08</v>
      </c>
      <c r="E6813" t="s">
        <v>9</v>
      </c>
      <c r="F6813">
        <v>46.99</v>
      </c>
      <c r="G6813" t="s">
        <v>20</v>
      </c>
      <c r="H6813" t="s">
        <v>13</v>
      </c>
    </row>
    <row r="6814" spans="1:8" x14ac:dyDescent="0.25">
      <c r="A6814" s="1">
        <v>45671.833333333336</v>
      </c>
      <c r="B6814" t="s">
        <v>35</v>
      </c>
      <c r="C6814">
        <v>242.53</v>
      </c>
      <c r="D6814">
        <v>67.64</v>
      </c>
      <c r="E6814" t="s">
        <v>9</v>
      </c>
      <c r="F6814">
        <v>44.05</v>
      </c>
      <c r="G6814" t="s">
        <v>20</v>
      </c>
      <c r="H6814" t="s">
        <v>12</v>
      </c>
    </row>
    <row r="6815" spans="1:8" x14ac:dyDescent="0.25">
      <c r="A6815" s="1">
        <v>45671.875</v>
      </c>
      <c r="B6815" t="s">
        <v>35</v>
      </c>
      <c r="C6815">
        <v>277.35000000000002</v>
      </c>
      <c r="D6815">
        <v>33.46</v>
      </c>
      <c r="E6815" t="s">
        <v>9</v>
      </c>
      <c r="F6815">
        <v>53.07</v>
      </c>
      <c r="G6815" t="s">
        <v>20</v>
      </c>
      <c r="H6815" t="s">
        <v>11</v>
      </c>
    </row>
    <row r="6816" spans="1:8" x14ac:dyDescent="0.25">
      <c r="A6816" s="1">
        <v>45671.916666666664</v>
      </c>
      <c r="B6816" t="s">
        <v>35</v>
      </c>
      <c r="C6816">
        <v>258.12</v>
      </c>
      <c r="D6816">
        <v>15.49</v>
      </c>
      <c r="E6816" t="s">
        <v>9</v>
      </c>
      <c r="F6816">
        <v>65.87</v>
      </c>
      <c r="G6816" t="s">
        <v>20</v>
      </c>
      <c r="H6816" t="s">
        <v>11</v>
      </c>
    </row>
    <row r="6817" spans="1:8" x14ac:dyDescent="0.25">
      <c r="A6817" s="1">
        <v>45671.958333333336</v>
      </c>
      <c r="B6817" t="s">
        <v>35</v>
      </c>
      <c r="C6817">
        <v>206.39</v>
      </c>
      <c r="D6817">
        <v>81.75</v>
      </c>
      <c r="E6817" t="s">
        <v>9</v>
      </c>
      <c r="F6817">
        <v>45.38</v>
      </c>
      <c r="G6817" t="s">
        <v>20</v>
      </c>
      <c r="H6817" t="s">
        <v>12</v>
      </c>
    </row>
    <row r="6818" spans="1:8" x14ac:dyDescent="0.25">
      <c r="A6818" s="1">
        <v>45672</v>
      </c>
      <c r="B6818" t="s">
        <v>35</v>
      </c>
      <c r="C6818">
        <v>64.28</v>
      </c>
      <c r="D6818">
        <v>63.1</v>
      </c>
      <c r="E6818" t="s">
        <v>9</v>
      </c>
      <c r="F6818">
        <v>48.69</v>
      </c>
      <c r="G6818" t="s">
        <v>20</v>
      </c>
      <c r="H6818" t="s">
        <v>12</v>
      </c>
    </row>
    <row r="6819" spans="1:8" x14ac:dyDescent="0.25">
      <c r="A6819" s="1">
        <v>45672.041666666664</v>
      </c>
      <c r="B6819" t="s">
        <v>35</v>
      </c>
      <c r="C6819">
        <v>356.13</v>
      </c>
      <c r="D6819">
        <v>26.33</v>
      </c>
      <c r="E6819" t="s">
        <v>9</v>
      </c>
      <c r="F6819">
        <v>63.62</v>
      </c>
      <c r="G6819" t="s">
        <v>20</v>
      </c>
      <c r="H6819" t="s">
        <v>11</v>
      </c>
    </row>
    <row r="6820" spans="1:8" x14ac:dyDescent="0.25">
      <c r="A6820" s="1">
        <v>45672.083333333336</v>
      </c>
      <c r="B6820" t="s">
        <v>35</v>
      </c>
      <c r="C6820">
        <v>430.4</v>
      </c>
      <c r="D6820">
        <v>53.91</v>
      </c>
      <c r="E6820" t="s">
        <v>9</v>
      </c>
      <c r="F6820">
        <v>79.66</v>
      </c>
      <c r="G6820" t="s">
        <v>20</v>
      </c>
      <c r="H6820" t="s">
        <v>13</v>
      </c>
    </row>
    <row r="6821" spans="1:8" x14ac:dyDescent="0.25">
      <c r="A6821" s="1">
        <v>45672.125</v>
      </c>
      <c r="B6821" t="s">
        <v>35</v>
      </c>
      <c r="C6821">
        <v>229.27</v>
      </c>
      <c r="D6821">
        <v>27.54</v>
      </c>
      <c r="E6821" t="s">
        <v>9</v>
      </c>
      <c r="F6821">
        <v>84.98</v>
      </c>
      <c r="G6821" t="s">
        <v>20</v>
      </c>
      <c r="H6821" t="s">
        <v>11</v>
      </c>
    </row>
    <row r="6822" spans="1:8" x14ac:dyDescent="0.25">
      <c r="A6822" s="1">
        <v>45672.166666666664</v>
      </c>
      <c r="B6822" t="s">
        <v>35</v>
      </c>
      <c r="C6822">
        <v>463.02</v>
      </c>
      <c r="D6822">
        <v>58.86</v>
      </c>
      <c r="E6822" t="s">
        <v>9</v>
      </c>
      <c r="F6822">
        <v>32.93</v>
      </c>
      <c r="G6822" t="s">
        <v>20</v>
      </c>
      <c r="H6822" t="s">
        <v>12</v>
      </c>
    </row>
    <row r="6823" spans="1:8" x14ac:dyDescent="0.25">
      <c r="A6823" s="1">
        <v>45672.208333333336</v>
      </c>
      <c r="B6823" t="s">
        <v>35</v>
      </c>
      <c r="C6823">
        <v>236.73</v>
      </c>
      <c r="D6823">
        <v>50.79</v>
      </c>
      <c r="E6823" t="s">
        <v>9</v>
      </c>
      <c r="F6823">
        <v>79.8</v>
      </c>
      <c r="G6823" t="s">
        <v>20</v>
      </c>
      <c r="H6823" t="s">
        <v>11</v>
      </c>
    </row>
    <row r="6824" spans="1:8" x14ac:dyDescent="0.25">
      <c r="A6824" s="1">
        <v>45672.25</v>
      </c>
      <c r="B6824" t="s">
        <v>35</v>
      </c>
      <c r="C6824">
        <v>149.13999999999999</v>
      </c>
      <c r="D6824">
        <v>39.49</v>
      </c>
      <c r="E6824" t="s">
        <v>9</v>
      </c>
      <c r="F6824">
        <v>77.290000000000006</v>
      </c>
      <c r="G6824" t="s">
        <v>20</v>
      </c>
      <c r="H6824" t="s">
        <v>12</v>
      </c>
    </row>
    <row r="6825" spans="1:8" x14ac:dyDescent="0.25">
      <c r="A6825" s="1">
        <v>45672.291666666664</v>
      </c>
      <c r="B6825" t="s">
        <v>35</v>
      </c>
      <c r="C6825">
        <v>181.34</v>
      </c>
      <c r="D6825">
        <v>26.74</v>
      </c>
      <c r="E6825" t="s">
        <v>9</v>
      </c>
      <c r="F6825">
        <v>62.97</v>
      </c>
      <c r="G6825" t="s">
        <v>20</v>
      </c>
      <c r="H6825" t="s">
        <v>13</v>
      </c>
    </row>
    <row r="6826" spans="1:8" x14ac:dyDescent="0.25">
      <c r="A6826" s="1">
        <v>45672.333333333336</v>
      </c>
      <c r="B6826" t="s">
        <v>35</v>
      </c>
      <c r="C6826">
        <v>161.5</v>
      </c>
      <c r="D6826">
        <v>64.47</v>
      </c>
      <c r="E6826" t="s">
        <v>9</v>
      </c>
      <c r="F6826">
        <v>78.11</v>
      </c>
      <c r="G6826" t="s">
        <v>20</v>
      </c>
      <c r="H6826" t="s">
        <v>13</v>
      </c>
    </row>
    <row r="6827" spans="1:8" x14ac:dyDescent="0.25">
      <c r="A6827" s="1">
        <v>45672.375</v>
      </c>
      <c r="B6827" t="s">
        <v>35</v>
      </c>
      <c r="C6827">
        <v>182</v>
      </c>
      <c r="D6827">
        <v>25.36</v>
      </c>
      <c r="E6827" t="s">
        <v>9</v>
      </c>
      <c r="F6827">
        <v>71.84</v>
      </c>
      <c r="G6827" t="s">
        <v>20</v>
      </c>
      <c r="H6827" t="s">
        <v>11</v>
      </c>
    </row>
    <row r="6828" spans="1:8" x14ac:dyDescent="0.25">
      <c r="A6828" s="1">
        <v>45672.416666666664</v>
      </c>
      <c r="B6828" t="s">
        <v>35</v>
      </c>
      <c r="C6828">
        <v>165.65</v>
      </c>
      <c r="D6828">
        <v>38.840000000000003</v>
      </c>
      <c r="E6828" t="s">
        <v>9</v>
      </c>
      <c r="F6828">
        <v>58.03</v>
      </c>
      <c r="G6828" t="s">
        <v>20</v>
      </c>
      <c r="H6828" t="s">
        <v>13</v>
      </c>
    </row>
    <row r="6829" spans="1:8" x14ac:dyDescent="0.25">
      <c r="A6829" s="1">
        <v>45672.458333333336</v>
      </c>
      <c r="B6829" t="s">
        <v>35</v>
      </c>
      <c r="C6829">
        <v>496.9</v>
      </c>
      <c r="D6829">
        <v>34.57</v>
      </c>
      <c r="E6829" t="s">
        <v>9</v>
      </c>
      <c r="F6829">
        <v>55.21</v>
      </c>
      <c r="G6829" t="s">
        <v>20</v>
      </c>
      <c r="H6829" t="s">
        <v>13</v>
      </c>
    </row>
    <row r="6830" spans="1:8" x14ac:dyDescent="0.25">
      <c r="A6830" s="1">
        <v>45672.5</v>
      </c>
      <c r="B6830" t="s">
        <v>35</v>
      </c>
      <c r="C6830">
        <v>53.2</v>
      </c>
      <c r="D6830">
        <v>35.51</v>
      </c>
      <c r="E6830" t="s">
        <v>9</v>
      </c>
      <c r="F6830">
        <v>84.35</v>
      </c>
      <c r="G6830" t="s">
        <v>20</v>
      </c>
      <c r="H6830" t="s">
        <v>12</v>
      </c>
    </row>
    <row r="6831" spans="1:8" x14ac:dyDescent="0.25">
      <c r="A6831" s="1">
        <v>45672.541666666664</v>
      </c>
      <c r="B6831" t="s">
        <v>35</v>
      </c>
      <c r="C6831">
        <v>462.23</v>
      </c>
      <c r="D6831">
        <v>77.989999999999995</v>
      </c>
      <c r="E6831" t="s">
        <v>9</v>
      </c>
      <c r="F6831">
        <v>48.55</v>
      </c>
      <c r="G6831" t="s">
        <v>20</v>
      </c>
      <c r="H6831" t="s">
        <v>11</v>
      </c>
    </row>
    <row r="6832" spans="1:8" x14ac:dyDescent="0.25">
      <c r="A6832" s="1">
        <v>45672.583333333336</v>
      </c>
      <c r="B6832" t="s">
        <v>35</v>
      </c>
      <c r="C6832">
        <v>213.07</v>
      </c>
      <c r="D6832">
        <v>40.46</v>
      </c>
      <c r="E6832" t="s">
        <v>9</v>
      </c>
      <c r="F6832">
        <v>45.12</v>
      </c>
      <c r="G6832" t="s">
        <v>20</v>
      </c>
      <c r="H6832" t="s">
        <v>12</v>
      </c>
    </row>
    <row r="6833" spans="1:8" x14ac:dyDescent="0.25">
      <c r="A6833" s="1">
        <v>45672.625</v>
      </c>
      <c r="B6833" t="s">
        <v>35</v>
      </c>
      <c r="C6833">
        <v>416.65</v>
      </c>
      <c r="D6833">
        <v>80.2</v>
      </c>
      <c r="E6833" t="s">
        <v>9</v>
      </c>
      <c r="F6833">
        <v>30.85</v>
      </c>
      <c r="G6833" t="s">
        <v>20</v>
      </c>
      <c r="H6833" t="s">
        <v>13</v>
      </c>
    </row>
    <row r="6834" spans="1:8" x14ac:dyDescent="0.25">
      <c r="A6834" s="1">
        <v>45672.666666666664</v>
      </c>
      <c r="B6834" t="s">
        <v>35</v>
      </c>
      <c r="C6834">
        <v>368.84</v>
      </c>
      <c r="D6834">
        <v>51.19</v>
      </c>
      <c r="E6834" t="s">
        <v>9</v>
      </c>
      <c r="F6834">
        <v>63.39</v>
      </c>
      <c r="G6834" t="s">
        <v>20</v>
      </c>
      <c r="H6834" t="s">
        <v>12</v>
      </c>
    </row>
    <row r="6835" spans="1:8" x14ac:dyDescent="0.25">
      <c r="A6835" s="1">
        <v>45672.708333333336</v>
      </c>
      <c r="B6835" t="s">
        <v>35</v>
      </c>
      <c r="C6835">
        <v>290.41000000000003</v>
      </c>
      <c r="D6835">
        <v>31.95</v>
      </c>
      <c r="E6835" t="s">
        <v>9</v>
      </c>
      <c r="F6835">
        <v>33.06</v>
      </c>
      <c r="G6835" t="s">
        <v>20</v>
      </c>
      <c r="H6835" t="s">
        <v>13</v>
      </c>
    </row>
    <row r="6836" spans="1:8" x14ac:dyDescent="0.25">
      <c r="A6836" s="1">
        <v>45672.75</v>
      </c>
      <c r="B6836" t="s">
        <v>35</v>
      </c>
      <c r="C6836">
        <v>279.76</v>
      </c>
      <c r="D6836">
        <v>37.71</v>
      </c>
      <c r="E6836" t="s">
        <v>9</v>
      </c>
      <c r="F6836">
        <v>51.33</v>
      </c>
      <c r="G6836" t="s">
        <v>20</v>
      </c>
      <c r="H6836" t="s">
        <v>12</v>
      </c>
    </row>
    <row r="6837" spans="1:8" x14ac:dyDescent="0.25">
      <c r="A6837" s="1">
        <v>45672.791666666664</v>
      </c>
      <c r="B6837" t="s">
        <v>35</v>
      </c>
      <c r="C6837">
        <v>278.24</v>
      </c>
      <c r="D6837">
        <v>30.7</v>
      </c>
      <c r="E6837" t="s">
        <v>9</v>
      </c>
      <c r="F6837">
        <v>70.239999999999995</v>
      </c>
      <c r="G6837" t="s">
        <v>20</v>
      </c>
      <c r="H6837" t="s">
        <v>11</v>
      </c>
    </row>
    <row r="6838" spans="1:8" x14ac:dyDescent="0.25">
      <c r="A6838" s="1">
        <v>45672.833333333336</v>
      </c>
      <c r="B6838" t="s">
        <v>35</v>
      </c>
      <c r="C6838">
        <v>400.36</v>
      </c>
      <c r="D6838">
        <v>68.81</v>
      </c>
      <c r="E6838" t="s">
        <v>9</v>
      </c>
      <c r="F6838">
        <v>58.91</v>
      </c>
      <c r="G6838" t="s">
        <v>20</v>
      </c>
      <c r="H6838" t="s">
        <v>13</v>
      </c>
    </row>
    <row r="6839" spans="1:8" x14ac:dyDescent="0.25">
      <c r="A6839" s="1">
        <v>45672.875</v>
      </c>
      <c r="B6839" t="s">
        <v>35</v>
      </c>
      <c r="C6839">
        <v>232.17</v>
      </c>
      <c r="D6839">
        <v>22.64</v>
      </c>
      <c r="E6839" t="s">
        <v>9</v>
      </c>
      <c r="F6839">
        <v>79.290000000000006</v>
      </c>
      <c r="G6839" t="s">
        <v>20</v>
      </c>
      <c r="H6839" t="s">
        <v>13</v>
      </c>
    </row>
    <row r="6840" spans="1:8" x14ac:dyDescent="0.25">
      <c r="A6840" s="1">
        <v>45672.916666666664</v>
      </c>
      <c r="B6840" t="s">
        <v>35</v>
      </c>
      <c r="C6840">
        <v>370.98</v>
      </c>
      <c r="D6840">
        <v>28.49</v>
      </c>
      <c r="E6840" t="s">
        <v>9</v>
      </c>
      <c r="F6840">
        <v>31.01</v>
      </c>
      <c r="G6840" t="s">
        <v>20</v>
      </c>
      <c r="H6840" t="s">
        <v>13</v>
      </c>
    </row>
    <row r="6841" spans="1:8" x14ac:dyDescent="0.25">
      <c r="A6841" s="1">
        <v>45672.958333333336</v>
      </c>
      <c r="B6841" t="s">
        <v>35</v>
      </c>
      <c r="C6841">
        <v>292.16000000000003</v>
      </c>
      <c r="D6841">
        <v>41.22</v>
      </c>
      <c r="E6841" t="s">
        <v>9</v>
      </c>
      <c r="F6841">
        <v>83.59</v>
      </c>
      <c r="G6841" t="s">
        <v>20</v>
      </c>
      <c r="H6841" t="s">
        <v>11</v>
      </c>
    </row>
    <row r="6842" spans="1:8" x14ac:dyDescent="0.25">
      <c r="A6842" s="1">
        <v>45658</v>
      </c>
      <c r="B6842" t="s">
        <v>36</v>
      </c>
      <c r="C6842">
        <v>391.95</v>
      </c>
      <c r="D6842">
        <v>69.66</v>
      </c>
      <c r="E6842" t="s">
        <v>9</v>
      </c>
      <c r="F6842">
        <v>61.22</v>
      </c>
      <c r="G6842" t="s">
        <v>16</v>
      </c>
      <c r="H6842" t="s">
        <v>13</v>
      </c>
    </row>
    <row r="6843" spans="1:8" x14ac:dyDescent="0.25">
      <c r="A6843" s="1">
        <v>45658.041666666664</v>
      </c>
      <c r="B6843" t="s">
        <v>36</v>
      </c>
      <c r="C6843">
        <v>239.2</v>
      </c>
      <c r="D6843">
        <v>84.27</v>
      </c>
      <c r="E6843" t="s">
        <v>9</v>
      </c>
      <c r="F6843">
        <v>61.56</v>
      </c>
      <c r="G6843" t="s">
        <v>16</v>
      </c>
      <c r="H6843" t="s">
        <v>11</v>
      </c>
    </row>
    <row r="6844" spans="1:8" x14ac:dyDescent="0.25">
      <c r="A6844" s="1">
        <v>45658.083333333336</v>
      </c>
      <c r="B6844" t="s">
        <v>36</v>
      </c>
      <c r="C6844">
        <v>427.33</v>
      </c>
      <c r="D6844">
        <v>59.63</v>
      </c>
      <c r="E6844" t="s">
        <v>9</v>
      </c>
      <c r="F6844">
        <v>52.64</v>
      </c>
      <c r="G6844" t="s">
        <v>16</v>
      </c>
      <c r="H6844" t="s">
        <v>11</v>
      </c>
    </row>
    <row r="6845" spans="1:8" x14ac:dyDescent="0.25">
      <c r="A6845" s="1">
        <v>45658.125</v>
      </c>
      <c r="B6845" t="s">
        <v>36</v>
      </c>
      <c r="C6845">
        <v>272.91000000000003</v>
      </c>
      <c r="D6845">
        <v>34.450000000000003</v>
      </c>
      <c r="E6845" t="s">
        <v>9</v>
      </c>
      <c r="F6845">
        <v>87.33</v>
      </c>
      <c r="G6845" t="s">
        <v>16</v>
      </c>
      <c r="H6845" t="s">
        <v>13</v>
      </c>
    </row>
    <row r="6846" spans="1:8" x14ac:dyDescent="0.25">
      <c r="A6846" s="1">
        <v>45658.166666666664</v>
      </c>
      <c r="B6846" t="s">
        <v>36</v>
      </c>
      <c r="C6846">
        <v>450.76</v>
      </c>
      <c r="D6846">
        <v>94.26</v>
      </c>
      <c r="E6846" t="s">
        <v>14</v>
      </c>
      <c r="F6846">
        <v>51.42</v>
      </c>
      <c r="G6846" t="s">
        <v>16</v>
      </c>
      <c r="H6846" t="s">
        <v>13</v>
      </c>
    </row>
    <row r="6847" spans="1:8" x14ac:dyDescent="0.25">
      <c r="A6847" s="1">
        <v>45658.208333333336</v>
      </c>
      <c r="B6847" t="s">
        <v>36</v>
      </c>
      <c r="C6847">
        <v>91.47</v>
      </c>
      <c r="D6847">
        <v>86.41</v>
      </c>
      <c r="E6847" t="s">
        <v>14</v>
      </c>
      <c r="F6847">
        <v>81.260000000000005</v>
      </c>
      <c r="G6847" t="s">
        <v>16</v>
      </c>
      <c r="H6847" t="s">
        <v>12</v>
      </c>
    </row>
    <row r="6848" spans="1:8" x14ac:dyDescent="0.25">
      <c r="A6848" s="1">
        <v>45658.25</v>
      </c>
      <c r="B6848" t="s">
        <v>36</v>
      </c>
      <c r="C6848">
        <v>465.84</v>
      </c>
      <c r="D6848">
        <v>68.05</v>
      </c>
      <c r="E6848" t="s">
        <v>9</v>
      </c>
      <c r="F6848">
        <v>83.83</v>
      </c>
      <c r="G6848" t="s">
        <v>16</v>
      </c>
      <c r="H6848" t="s">
        <v>11</v>
      </c>
    </row>
    <row r="6849" spans="1:8" x14ac:dyDescent="0.25">
      <c r="A6849" s="1">
        <v>45658.291666666664</v>
      </c>
      <c r="B6849" t="s">
        <v>36</v>
      </c>
      <c r="C6849">
        <v>360.81</v>
      </c>
      <c r="D6849">
        <v>64.180000000000007</v>
      </c>
      <c r="E6849" t="s">
        <v>9</v>
      </c>
      <c r="F6849">
        <v>79.87</v>
      </c>
      <c r="G6849" t="s">
        <v>16</v>
      </c>
      <c r="H6849" t="s">
        <v>11</v>
      </c>
    </row>
    <row r="6850" spans="1:8" x14ac:dyDescent="0.25">
      <c r="A6850" s="1">
        <v>45658.333333333336</v>
      </c>
      <c r="B6850" t="s">
        <v>36</v>
      </c>
      <c r="C6850">
        <v>50.72</v>
      </c>
      <c r="D6850">
        <v>48.79</v>
      </c>
      <c r="E6850" t="s">
        <v>9</v>
      </c>
      <c r="F6850">
        <v>68.14</v>
      </c>
      <c r="G6850" t="s">
        <v>16</v>
      </c>
      <c r="H6850" t="s">
        <v>12</v>
      </c>
    </row>
    <row r="6851" spans="1:8" x14ac:dyDescent="0.25">
      <c r="A6851" s="1">
        <v>45658.375</v>
      </c>
      <c r="B6851" t="s">
        <v>36</v>
      </c>
      <c r="C6851">
        <v>468.44</v>
      </c>
      <c r="D6851">
        <v>67.8</v>
      </c>
      <c r="E6851" t="s">
        <v>9</v>
      </c>
      <c r="F6851">
        <v>30.47</v>
      </c>
      <c r="G6851" t="s">
        <v>16</v>
      </c>
      <c r="H6851" t="s">
        <v>13</v>
      </c>
    </row>
    <row r="6852" spans="1:8" x14ac:dyDescent="0.25">
      <c r="A6852" s="1">
        <v>45658.416666666664</v>
      </c>
      <c r="B6852" t="s">
        <v>36</v>
      </c>
      <c r="C6852">
        <v>59.9</v>
      </c>
      <c r="D6852">
        <v>43.92</v>
      </c>
      <c r="E6852" t="s">
        <v>9</v>
      </c>
      <c r="F6852">
        <v>43.73</v>
      </c>
      <c r="G6852" t="s">
        <v>16</v>
      </c>
      <c r="H6852" t="s">
        <v>13</v>
      </c>
    </row>
    <row r="6853" spans="1:8" x14ac:dyDescent="0.25">
      <c r="A6853" s="1">
        <v>45658.458333333336</v>
      </c>
      <c r="B6853" t="s">
        <v>36</v>
      </c>
      <c r="C6853">
        <v>153.75</v>
      </c>
      <c r="D6853">
        <v>62.62</v>
      </c>
      <c r="E6853" t="s">
        <v>9</v>
      </c>
      <c r="F6853">
        <v>64.599999999999994</v>
      </c>
      <c r="G6853" t="s">
        <v>16</v>
      </c>
      <c r="H6853" t="s">
        <v>11</v>
      </c>
    </row>
    <row r="6854" spans="1:8" x14ac:dyDescent="0.25">
      <c r="A6854" s="1">
        <v>45658.5</v>
      </c>
      <c r="B6854" t="s">
        <v>36</v>
      </c>
      <c r="C6854">
        <v>246.59</v>
      </c>
      <c r="D6854">
        <v>78.28</v>
      </c>
      <c r="E6854" t="s">
        <v>9</v>
      </c>
      <c r="F6854">
        <v>31.84</v>
      </c>
      <c r="G6854" t="s">
        <v>16</v>
      </c>
      <c r="H6854" t="s">
        <v>11</v>
      </c>
    </row>
    <row r="6855" spans="1:8" x14ac:dyDescent="0.25">
      <c r="A6855" s="1">
        <v>45658.541666666664</v>
      </c>
      <c r="B6855" t="s">
        <v>36</v>
      </c>
      <c r="C6855">
        <v>73.760000000000005</v>
      </c>
      <c r="D6855">
        <v>24.78</v>
      </c>
      <c r="E6855" t="s">
        <v>9</v>
      </c>
      <c r="F6855">
        <v>68.53</v>
      </c>
      <c r="G6855" t="s">
        <v>16</v>
      </c>
      <c r="H6855" t="s">
        <v>11</v>
      </c>
    </row>
    <row r="6856" spans="1:8" x14ac:dyDescent="0.25">
      <c r="A6856" s="1">
        <v>45658.583333333336</v>
      </c>
      <c r="B6856" t="s">
        <v>36</v>
      </c>
      <c r="C6856">
        <v>406.03</v>
      </c>
      <c r="D6856">
        <v>72.3</v>
      </c>
      <c r="E6856" t="s">
        <v>9</v>
      </c>
      <c r="F6856">
        <v>83.25</v>
      </c>
      <c r="G6856" t="s">
        <v>16</v>
      </c>
      <c r="H6856" t="s">
        <v>12</v>
      </c>
    </row>
    <row r="6857" spans="1:8" x14ac:dyDescent="0.25">
      <c r="A6857" s="1">
        <v>45658.625</v>
      </c>
      <c r="B6857" t="s">
        <v>36</v>
      </c>
      <c r="C6857">
        <v>409.7</v>
      </c>
      <c r="D6857">
        <v>19.920000000000002</v>
      </c>
      <c r="E6857" t="s">
        <v>9</v>
      </c>
      <c r="F6857">
        <v>74.459999999999994</v>
      </c>
      <c r="G6857" t="s">
        <v>16</v>
      </c>
      <c r="H6857" t="s">
        <v>12</v>
      </c>
    </row>
    <row r="6858" spans="1:8" x14ac:dyDescent="0.25">
      <c r="A6858" s="1">
        <v>45658.666666666664</v>
      </c>
      <c r="B6858" t="s">
        <v>36</v>
      </c>
      <c r="C6858">
        <v>311.92</v>
      </c>
      <c r="D6858">
        <v>91.99</v>
      </c>
      <c r="E6858" t="s">
        <v>14</v>
      </c>
      <c r="F6858">
        <v>77.73</v>
      </c>
      <c r="G6858" t="s">
        <v>16</v>
      </c>
      <c r="H6858" t="s">
        <v>12</v>
      </c>
    </row>
    <row r="6859" spans="1:8" x14ac:dyDescent="0.25">
      <c r="A6859" s="1">
        <v>45658.708333333336</v>
      </c>
      <c r="B6859" t="s">
        <v>36</v>
      </c>
      <c r="C6859">
        <v>77.12</v>
      </c>
      <c r="D6859">
        <v>22.73</v>
      </c>
      <c r="E6859" t="s">
        <v>9</v>
      </c>
      <c r="F6859">
        <v>77.09</v>
      </c>
      <c r="G6859" t="s">
        <v>16</v>
      </c>
      <c r="H6859" t="s">
        <v>11</v>
      </c>
    </row>
    <row r="6860" spans="1:8" x14ac:dyDescent="0.25">
      <c r="A6860" s="1">
        <v>45658.75</v>
      </c>
      <c r="B6860" t="s">
        <v>36</v>
      </c>
      <c r="C6860">
        <v>488.47</v>
      </c>
      <c r="D6860">
        <v>80.400000000000006</v>
      </c>
      <c r="E6860" t="s">
        <v>9</v>
      </c>
      <c r="F6860">
        <v>89.56</v>
      </c>
      <c r="G6860" t="s">
        <v>16</v>
      </c>
      <c r="H6860" t="s">
        <v>12</v>
      </c>
    </row>
    <row r="6861" spans="1:8" x14ac:dyDescent="0.25">
      <c r="A6861" s="1">
        <v>45658.791666666664</v>
      </c>
      <c r="B6861" t="s">
        <v>36</v>
      </c>
      <c r="C6861">
        <v>453.09</v>
      </c>
      <c r="D6861">
        <v>40.729999999999997</v>
      </c>
      <c r="E6861" t="s">
        <v>9</v>
      </c>
      <c r="F6861">
        <v>37.08</v>
      </c>
      <c r="G6861" t="s">
        <v>16</v>
      </c>
      <c r="H6861" t="s">
        <v>12</v>
      </c>
    </row>
    <row r="6862" spans="1:8" x14ac:dyDescent="0.25">
      <c r="A6862" s="1">
        <v>45658.833333333336</v>
      </c>
      <c r="B6862" t="s">
        <v>36</v>
      </c>
      <c r="C6862">
        <v>330.65</v>
      </c>
      <c r="D6862">
        <v>75.81</v>
      </c>
      <c r="E6862" t="s">
        <v>9</v>
      </c>
      <c r="F6862">
        <v>30.62</v>
      </c>
      <c r="G6862" t="s">
        <v>16</v>
      </c>
      <c r="H6862" t="s">
        <v>11</v>
      </c>
    </row>
    <row r="6863" spans="1:8" x14ac:dyDescent="0.25">
      <c r="A6863" s="1">
        <v>45658.875</v>
      </c>
      <c r="B6863" t="s">
        <v>36</v>
      </c>
      <c r="C6863">
        <v>467.43</v>
      </c>
      <c r="D6863">
        <v>20.37</v>
      </c>
      <c r="E6863" t="s">
        <v>9</v>
      </c>
      <c r="F6863">
        <v>79.83</v>
      </c>
      <c r="G6863" t="s">
        <v>16</v>
      </c>
      <c r="H6863" t="s">
        <v>13</v>
      </c>
    </row>
    <row r="6864" spans="1:8" x14ac:dyDescent="0.25">
      <c r="A6864" s="1">
        <v>45658.916666666664</v>
      </c>
      <c r="B6864" t="s">
        <v>36</v>
      </c>
      <c r="C6864">
        <v>232.55</v>
      </c>
      <c r="D6864">
        <v>20.12</v>
      </c>
      <c r="E6864" t="s">
        <v>9</v>
      </c>
      <c r="F6864">
        <v>65.92</v>
      </c>
      <c r="G6864" t="s">
        <v>16</v>
      </c>
      <c r="H6864" t="s">
        <v>11</v>
      </c>
    </row>
    <row r="6865" spans="1:8" x14ac:dyDescent="0.25">
      <c r="A6865" s="1">
        <v>45658.958333333336</v>
      </c>
      <c r="B6865" t="s">
        <v>36</v>
      </c>
      <c r="C6865">
        <v>267.48</v>
      </c>
      <c r="D6865">
        <v>71.92</v>
      </c>
      <c r="E6865" t="s">
        <v>9</v>
      </c>
      <c r="F6865">
        <v>63.13</v>
      </c>
      <c r="G6865" t="s">
        <v>16</v>
      </c>
      <c r="H6865" t="s">
        <v>11</v>
      </c>
    </row>
    <row r="6866" spans="1:8" x14ac:dyDescent="0.25">
      <c r="A6866" s="1">
        <v>45659</v>
      </c>
      <c r="B6866" t="s">
        <v>36</v>
      </c>
      <c r="C6866">
        <v>247.76</v>
      </c>
      <c r="D6866">
        <v>37.979999999999997</v>
      </c>
      <c r="E6866" t="s">
        <v>9</v>
      </c>
      <c r="F6866">
        <v>50.91</v>
      </c>
      <c r="G6866" t="s">
        <v>16</v>
      </c>
      <c r="H6866" t="s">
        <v>12</v>
      </c>
    </row>
    <row r="6867" spans="1:8" x14ac:dyDescent="0.25">
      <c r="A6867" s="1">
        <v>45659.041666666664</v>
      </c>
      <c r="B6867" t="s">
        <v>36</v>
      </c>
      <c r="C6867">
        <v>288.38</v>
      </c>
      <c r="D6867">
        <v>78.98</v>
      </c>
      <c r="E6867" t="s">
        <v>9</v>
      </c>
      <c r="F6867">
        <v>64.56</v>
      </c>
      <c r="G6867" t="s">
        <v>16</v>
      </c>
      <c r="H6867" t="s">
        <v>13</v>
      </c>
    </row>
    <row r="6868" spans="1:8" x14ac:dyDescent="0.25">
      <c r="A6868" s="1">
        <v>45659.083333333336</v>
      </c>
      <c r="B6868" t="s">
        <v>36</v>
      </c>
      <c r="C6868">
        <v>123.26</v>
      </c>
      <c r="D6868">
        <v>26.1</v>
      </c>
      <c r="E6868" t="s">
        <v>9</v>
      </c>
      <c r="F6868">
        <v>60.13</v>
      </c>
      <c r="G6868" t="s">
        <v>16</v>
      </c>
      <c r="H6868" t="s">
        <v>13</v>
      </c>
    </row>
    <row r="6869" spans="1:8" x14ac:dyDescent="0.25">
      <c r="A6869" s="1">
        <v>45659.125</v>
      </c>
      <c r="B6869" t="s">
        <v>36</v>
      </c>
      <c r="C6869">
        <v>367.46</v>
      </c>
      <c r="D6869">
        <v>56.73</v>
      </c>
      <c r="E6869" t="s">
        <v>9</v>
      </c>
      <c r="F6869">
        <v>49.58</v>
      </c>
      <c r="G6869" t="s">
        <v>16</v>
      </c>
      <c r="H6869" t="s">
        <v>11</v>
      </c>
    </row>
    <row r="6870" spans="1:8" x14ac:dyDescent="0.25">
      <c r="A6870" s="1">
        <v>45659.166666666664</v>
      </c>
      <c r="B6870" t="s">
        <v>36</v>
      </c>
      <c r="C6870">
        <v>267.02</v>
      </c>
      <c r="D6870">
        <v>67.959999999999994</v>
      </c>
      <c r="E6870" t="s">
        <v>9</v>
      </c>
      <c r="F6870">
        <v>64.73</v>
      </c>
      <c r="G6870" t="s">
        <v>16</v>
      </c>
      <c r="H6870" t="s">
        <v>11</v>
      </c>
    </row>
    <row r="6871" spans="1:8" x14ac:dyDescent="0.25">
      <c r="A6871" s="1">
        <v>45659.208333333336</v>
      </c>
      <c r="B6871" t="s">
        <v>36</v>
      </c>
      <c r="C6871">
        <v>195.64</v>
      </c>
      <c r="D6871">
        <v>24.69</v>
      </c>
      <c r="E6871" t="s">
        <v>9</v>
      </c>
      <c r="F6871">
        <v>58.39</v>
      </c>
      <c r="G6871" t="s">
        <v>16</v>
      </c>
      <c r="H6871" t="s">
        <v>13</v>
      </c>
    </row>
    <row r="6872" spans="1:8" x14ac:dyDescent="0.25">
      <c r="A6872" s="1">
        <v>45659.25</v>
      </c>
      <c r="B6872" t="s">
        <v>36</v>
      </c>
      <c r="C6872">
        <v>380.42</v>
      </c>
      <c r="D6872">
        <v>14.94</v>
      </c>
      <c r="E6872" t="s">
        <v>9</v>
      </c>
      <c r="F6872">
        <v>46.23</v>
      </c>
      <c r="G6872" t="s">
        <v>16</v>
      </c>
      <c r="H6872" t="s">
        <v>11</v>
      </c>
    </row>
    <row r="6873" spans="1:8" x14ac:dyDescent="0.25">
      <c r="A6873" s="1">
        <v>45659.291666666664</v>
      </c>
      <c r="B6873" t="s">
        <v>36</v>
      </c>
      <c r="C6873">
        <v>390.56</v>
      </c>
      <c r="D6873">
        <v>19.809999999999999</v>
      </c>
      <c r="E6873" t="s">
        <v>9</v>
      </c>
      <c r="F6873">
        <v>81.010000000000005</v>
      </c>
      <c r="G6873" t="s">
        <v>16</v>
      </c>
      <c r="H6873" t="s">
        <v>12</v>
      </c>
    </row>
    <row r="6874" spans="1:8" x14ac:dyDescent="0.25">
      <c r="A6874" s="1">
        <v>45659.333333333336</v>
      </c>
      <c r="B6874" t="s">
        <v>36</v>
      </c>
      <c r="C6874">
        <v>484.15</v>
      </c>
      <c r="D6874">
        <v>67.44</v>
      </c>
      <c r="E6874" t="s">
        <v>9</v>
      </c>
      <c r="F6874">
        <v>40.119999999999997</v>
      </c>
      <c r="G6874" t="s">
        <v>16</v>
      </c>
      <c r="H6874" t="s">
        <v>13</v>
      </c>
    </row>
    <row r="6875" spans="1:8" x14ac:dyDescent="0.25">
      <c r="A6875" s="1">
        <v>45659.375</v>
      </c>
      <c r="B6875" t="s">
        <v>36</v>
      </c>
      <c r="C6875">
        <v>240.51</v>
      </c>
      <c r="D6875">
        <v>39.07</v>
      </c>
      <c r="E6875" t="s">
        <v>9</v>
      </c>
      <c r="F6875">
        <v>89.47</v>
      </c>
      <c r="G6875" t="s">
        <v>16</v>
      </c>
      <c r="H6875" t="s">
        <v>13</v>
      </c>
    </row>
    <row r="6876" spans="1:8" x14ac:dyDescent="0.25">
      <c r="A6876" s="1">
        <v>45659.416666666664</v>
      </c>
      <c r="B6876" t="s">
        <v>36</v>
      </c>
      <c r="C6876">
        <v>248.04</v>
      </c>
      <c r="D6876">
        <v>58.19</v>
      </c>
      <c r="E6876" t="s">
        <v>9</v>
      </c>
      <c r="F6876">
        <v>76.36</v>
      </c>
      <c r="G6876" t="s">
        <v>16</v>
      </c>
      <c r="H6876" t="s">
        <v>13</v>
      </c>
    </row>
    <row r="6877" spans="1:8" x14ac:dyDescent="0.25">
      <c r="A6877" s="1">
        <v>45659.458333333336</v>
      </c>
      <c r="B6877" t="s">
        <v>36</v>
      </c>
      <c r="C6877">
        <v>248.93</v>
      </c>
      <c r="D6877">
        <v>81.41</v>
      </c>
      <c r="E6877" t="s">
        <v>9</v>
      </c>
      <c r="F6877">
        <v>74.209999999999994</v>
      </c>
      <c r="G6877" t="s">
        <v>16</v>
      </c>
      <c r="H6877" t="s">
        <v>11</v>
      </c>
    </row>
    <row r="6878" spans="1:8" x14ac:dyDescent="0.25">
      <c r="A6878" s="1">
        <v>45659.5</v>
      </c>
      <c r="B6878" t="s">
        <v>36</v>
      </c>
      <c r="C6878">
        <v>199.87</v>
      </c>
      <c r="D6878">
        <v>92.16</v>
      </c>
      <c r="E6878" t="s">
        <v>14</v>
      </c>
      <c r="F6878">
        <v>76.319999999999993</v>
      </c>
      <c r="G6878" t="s">
        <v>16</v>
      </c>
      <c r="H6878" t="s">
        <v>13</v>
      </c>
    </row>
    <row r="6879" spans="1:8" x14ac:dyDescent="0.25">
      <c r="A6879" s="1">
        <v>45659.541666666664</v>
      </c>
      <c r="B6879" t="s">
        <v>36</v>
      </c>
      <c r="C6879">
        <v>178.45</v>
      </c>
      <c r="D6879">
        <v>42.55</v>
      </c>
      <c r="E6879" t="s">
        <v>9</v>
      </c>
      <c r="F6879">
        <v>48.18</v>
      </c>
      <c r="G6879" t="s">
        <v>16</v>
      </c>
      <c r="H6879" t="s">
        <v>12</v>
      </c>
    </row>
    <row r="6880" spans="1:8" x14ac:dyDescent="0.25">
      <c r="A6880" s="1">
        <v>45659.583333333336</v>
      </c>
      <c r="B6880" t="s">
        <v>36</v>
      </c>
      <c r="C6880">
        <v>84.35</v>
      </c>
      <c r="D6880">
        <v>38.97</v>
      </c>
      <c r="E6880" t="s">
        <v>9</v>
      </c>
      <c r="F6880">
        <v>67.45</v>
      </c>
      <c r="G6880" t="s">
        <v>16</v>
      </c>
      <c r="H6880" t="s">
        <v>13</v>
      </c>
    </row>
    <row r="6881" spans="1:8" x14ac:dyDescent="0.25">
      <c r="A6881" s="1">
        <v>45659.625</v>
      </c>
      <c r="B6881" t="s">
        <v>36</v>
      </c>
      <c r="C6881">
        <v>79.72</v>
      </c>
      <c r="D6881">
        <v>19</v>
      </c>
      <c r="E6881" t="s">
        <v>9</v>
      </c>
      <c r="F6881">
        <v>47.13</v>
      </c>
      <c r="G6881" t="s">
        <v>16</v>
      </c>
      <c r="H6881" t="s">
        <v>11</v>
      </c>
    </row>
    <row r="6882" spans="1:8" x14ac:dyDescent="0.25">
      <c r="A6882" s="1">
        <v>45659.666666666664</v>
      </c>
      <c r="B6882" t="s">
        <v>36</v>
      </c>
      <c r="C6882">
        <v>282.64</v>
      </c>
      <c r="D6882">
        <v>42.1</v>
      </c>
      <c r="E6882" t="s">
        <v>9</v>
      </c>
      <c r="F6882">
        <v>62.57</v>
      </c>
      <c r="G6882" t="s">
        <v>16</v>
      </c>
      <c r="H6882" t="s">
        <v>11</v>
      </c>
    </row>
    <row r="6883" spans="1:8" x14ac:dyDescent="0.25">
      <c r="A6883" s="1">
        <v>45659.708333333336</v>
      </c>
      <c r="B6883" t="s">
        <v>36</v>
      </c>
      <c r="C6883">
        <v>210.81</v>
      </c>
      <c r="D6883">
        <v>54.37</v>
      </c>
      <c r="E6883" t="s">
        <v>9</v>
      </c>
      <c r="F6883">
        <v>68.400000000000006</v>
      </c>
      <c r="G6883" t="s">
        <v>16</v>
      </c>
      <c r="H6883" t="s">
        <v>11</v>
      </c>
    </row>
    <row r="6884" spans="1:8" x14ac:dyDescent="0.25">
      <c r="A6884" s="1">
        <v>45659.75</v>
      </c>
      <c r="B6884" t="s">
        <v>36</v>
      </c>
      <c r="C6884">
        <v>258.22000000000003</v>
      </c>
      <c r="D6884">
        <v>71.260000000000005</v>
      </c>
      <c r="E6884" t="s">
        <v>9</v>
      </c>
      <c r="F6884">
        <v>64.849999999999994</v>
      </c>
      <c r="G6884" t="s">
        <v>16</v>
      </c>
      <c r="H6884" t="s">
        <v>11</v>
      </c>
    </row>
    <row r="6885" spans="1:8" x14ac:dyDescent="0.25">
      <c r="A6885" s="1">
        <v>45659.791666666664</v>
      </c>
      <c r="B6885" t="s">
        <v>36</v>
      </c>
      <c r="C6885">
        <v>410.52</v>
      </c>
      <c r="D6885">
        <v>34.32</v>
      </c>
      <c r="E6885" t="s">
        <v>9</v>
      </c>
      <c r="F6885">
        <v>32.5</v>
      </c>
      <c r="G6885" t="s">
        <v>16</v>
      </c>
      <c r="H6885" t="s">
        <v>13</v>
      </c>
    </row>
    <row r="6886" spans="1:8" x14ac:dyDescent="0.25">
      <c r="A6886" s="1">
        <v>45659.833333333336</v>
      </c>
      <c r="B6886" t="s">
        <v>36</v>
      </c>
      <c r="C6886">
        <v>325.24</v>
      </c>
      <c r="D6886">
        <v>27.59</v>
      </c>
      <c r="E6886" t="s">
        <v>9</v>
      </c>
      <c r="F6886">
        <v>76.28</v>
      </c>
      <c r="G6886" t="s">
        <v>16</v>
      </c>
      <c r="H6886" t="s">
        <v>12</v>
      </c>
    </row>
    <row r="6887" spans="1:8" x14ac:dyDescent="0.25">
      <c r="A6887" s="1">
        <v>45659.875</v>
      </c>
      <c r="B6887" t="s">
        <v>36</v>
      </c>
      <c r="C6887">
        <v>459.47</v>
      </c>
      <c r="D6887">
        <v>52.86</v>
      </c>
      <c r="E6887" t="s">
        <v>9</v>
      </c>
      <c r="F6887">
        <v>32.94</v>
      </c>
      <c r="G6887" t="s">
        <v>16</v>
      </c>
      <c r="H6887" t="s">
        <v>13</v>
      </c>
    </row>
    <row r="6888" spans="1:8" x14ac:dyDescent="0.25">
      <c r="A6888" s="1">
        <v>45659.916666666664</v>
      </c>
      <c r="B6888" t="s">
        <v>36</v>
      </c>
      <c r="C6888">
        <v>268.3</v>
      </c>
      <c r="D6888">
        <v>58.24</v>
      </c>
      <c r="E6888" t="s">
        <v>9</v>
      </c>
      <c r="F6888">
        <v>34.79</v>
      </c>
      <c r="G6888" t="s">
        <v>16</v>
      </c>
      <c r="H6888" t="s">
        <v>13</v>
      </c>
    </row>
    <row r="6889" spans="1:8" x14ac:dyDescent="0.25">
      <c r="A6889" s="1">
        <v>45659.958333333336</v>
      </c>
      <c r="B6889" t="s">
        <v>36</v>
      </c>
      <c r="C6889">
        <v>145.5</v>
      </c>
      <c r="D6889">
        <v>89.44</v>
      </c>
      <c r="E6889" t="s">
        <v>14</v>
      </c>
      <c r="F6889">
        <v>68.55</v>
      </c>
      <c r="G6889" t="s">
        <v>16</v>
      </c>
      <c r="H6889" t="s">
        <v>13</v>
      </c>
    </row>
    <row r="6890" spans="1:8" x14ac:dyDescent="0.25">
      <c r="A6890" s="1">
        <v>45660</v>
      </c>
      <c r="B6890" t="s">
        <v>36</v>
      </c>
      <c r="C6890">
        <v>198.19</v>
      </c>
      <c r="D6890">
        <v>81.14</v>
      </c>
      <c r="E6890" t="s">
        <v>9</v>
      </c>
      <c r="F6890">
        <v>52.69</v>
      </c>
      <c r="G6890" t="s">
        <v>16</v>
      </c>
      <c r="H6890" t="s">
        <v>11</v>
      </c>
    </row>
    <row r="6891" spans="1:8" x14ac:dyDescent="0.25">
      <c r="A6891" s="1">
        <v>45660.041666666664</v>
      </c>
      <c r="B6891" t="s">
        <v>36</v>
      </c>
      <c r="C6891">
        <v>203.74</v>
      </c>
      <c r="D6891">
        <v>37.11</v>
      </c>
      <c r="E6891" t="s">
        <v>9</v>
      </c>
      <c r="F6891">
        <v>87.8</v>
      </c>
      <c r="G6891" t="s">
        <v>16</v>
      </c>
      <c r="H6891" t="s">
        <v>13</v>
      </c>
    </row>
    <row r="6892" spans="1:8" x14ac:dyDescent="0.25">
      <c r="A6892" s="1">
        <v>45660.083333333336</v>
      </c>
      <c r="B6892" t="s">
        <v>36</v>
      </c>
      <c r="C6892">
        <v>496.68</v>
      </c>
      <c r="D6892">
        <v>57.7</v>
      </c>
      <c r="E6892" t="s">
        <v>9</v>
      </c>
      <c r="F6892">
        <v>75.45</v>
      </c>
      <c r="G6892" t="s">
        <v>16</v>
      </c>
      <c r="H6892" t="s">
        <v>13</v>
      </c>
    </row>
    <row r="6893" spans="1:8" x14ac:dyDescent="0.25">
      <c r="A6893" s="1">
        <v>45660.125</v>
      </c>
      <c r="B6893" t="s">
        <v>36</v>
      </c>
      <c r="C6893">
        <v>386.39</v>
      </c>
      <c r="D6893">
        <v>25.99</v>
      </c>
      <c r="E6893" t="s">
        <v>9</v>
      </c>
      <c r="F6893">
        <v>57.98</v>
      </c>
      <c r="G6893" t="s">
        <v>16</v>
      </c>
      <c r="H6893" t="s">
        <v>13</v>
      </c>
    </row>
    <row r="6894" spans="1:8" x14ac:dyDescent="0.25">
      <c r="A6894" s="1">
        <v>45660.166666666664</v>
      </c>
      <c r="B6894" t="s">
        <v>36</v>
      </c>
      <c r="C6894">
        <v>121.12</v>
      </c>
      <c r="D6894">
        <v>47.93</v>
      </c>
      <c r="E6894" t="s">
        <v>9</v>
      </c>
      <c r="F6894">
        <v>55.14</v>
      </c>
      <c r="G6894" t="s">
        <v>16</v>
      </c>
      <c r="H6894" t="s">
        <v>13</v>
      </c>
    </row>
    <row r="6895" spans="1:8" x14ac:dyDescent="0.25">
      <c r="A6895" s="1">
        <v>45660.208333333336</v>
      </c>
      <c r="B6895" t="s">
        <v>36</v>
      </c>
      <c r="C6895">
        <v>430.17</v>
      </c>
      <c r="D6895">
        <v>49.87</v>
      </c>
      <c r="E6895" t="s">
        <v>9</v>
      </c>
      <c r="F6895">
        <v>42.06</v>
      </c>
      <c r="G6895" t="s">
        <v>16</v>
      </c>
      <c r="H6895" t="s">
        <v>13</v>
      </c>
    </row>
    <row r="6896" spans="1:8" x14ac:dyDescent="0.25">
      <c r="A6896" s="1">
        <v>45660.25</v>
      </c>
      <c r="B6896" t="s">
        <v>36</v>
      </c>
      <c r="C6896">
        <v>244.66</v>
      </c>
      <c r="D6896">
        <v>91.83</v>
      </c>
      <c r="E6896" t="s">
        <v>14</v>
      </c>
      <c r="F6896">
        <v>31.9</v>
      </c>
      <c r="G6896" t="s">
        <v>16</v>
      </c>
      <c r="H6896" t="s">
        <v>13</v>
      </c>
    </row>
    <row r="6897" spans="1:8" x14ac:dyDescent="0.25">
      <c r="A6897" s="1">
        <v>45660.291666666664</v>
      </c>
      <c r="B6897" t="s">
        <v>36</v>
      </c>
      <c r="C6897">
        <v>387.26</v>
      </c>
      <c r="D6897">
        <v>26.28</v>
      </c>
      <c r="E6897" t="s">
        <v>9</v>
      </c>
      <c r="F6897">
        <v>64.25</v>
      </c>
      <c r="G6897" t="s">
        <v>16</v>
      </c>
      <c r="H6897" t="s">
        <v>11</v>
      </c>
    </row>
    <row r="6898" spans="1:8" x14ac:dyDescent="0.25">
      <c r="A6898" s="1">
        <v>45660.333333333336</v>
      </c>
      <c r="B6898" t="s">
        <v>36</v>
      </c>
      <c r="C6898">
        <v>376.9</v>
      </c>
      <c r="D6898">
        <v>18.79</v>
      </c>
      <c r="E6898" t="s">
        <v>9</v>
      </c>
      <c r="F6898">
        <v>62.05</v>
      </c>
      <c r="G6898" t="s">
        <v>16</v>
      </c>
      <c r="H6898" t="s">
        <v>12</v>
      </c>
    </row>
    <row r="6899" spans="1:8" x14ac:dyDescent="0.25">
      <c r="A6899" s="1">
        <v>45660.375</v>
      </c>
      <c r="B6899" t="s">
        <v>36</v>
      </c>
      <c r="C6899">
        <v>92.33</v>
      </c>
      <c r="D6899">
        <v>14.97</v>
      </c>
      <c r="E6899" t="s">
        <v>9</v>
      </c>
      <c r="F6899">
        <v>78.87</v>
      </c>
      <c r="G6899" t="s">
        <v>16</v>
      </c>
      <c r="H6899" t="s">
        <v>12</v>
      </c>
    </row>
    <row r="6900" spans="1:8" x14ac:dyDescent="0.25">
      <c r="A6900" s="1">
        <v>45660.416666666664</v>
      </c>
      <c r="B6900" t="s">
        <v>36</v>
      </c>
      <c r="C6900">
        <v>214.85</v>
      </c>
      <c r="D6900">
        <v>74.37</v>
      </c>
      <c r="E6900" t="s">
        <v>9</v>
      </c>
      <c r="F6900">
        <v>65.959999999999994</v>
      </c>
      <c r="G6900" t="s">
        <v>16</v>
      </c>
      <c r="H6900" t="s">
        <v>11</v>
      </c>
    </row>
    <row r="6901" spans="1:8" x14ac:dyDescent="0.25">
      <c r="A6901" s="1">
        <v>45660.458333333336</v>
      </c>
      <c r="B6901" t="s">
        <v>36</v>
      </c>
      <c r="C6901">
        <v>485.54</v>
      </c>
      <c r="D6901">
        <v>89.28</v>
      </c>
      <c r="E6901" t="s">
        <v>14</v>
      </c>
      <c r="F6901">
        <v>58.88</v>
      </c>
      <c r="G6901" t="s">
        <v>16</v>
      </c>
      <c r="H6901" t="s">
        <v>11</v>
      </c>
    </row>
    <row r="6902" spans="1:8" x14ac:dyDescent="0.25">
      <c r="A6902" s="1">
        <v>45660.5</v>
      </c>
      <c r="B6902" t="s">
        <v>36</v>
      </c>
      <c r="C6902">
        <v>236.63</v>
      </c>
      <c r="D6902">
        <v>79.03</v>
      </c>
      <c r="E6902" t="s">
        <v>9</v>
      </c>
      <c r="F6902">
        <v>59.71</v>
      </c>
      <c r="G6902" t="s">
        <v>16</v>
      </c>
      <c r="H6902" t="s">
        <v>13</v>
      </c>
    </row>
    <row r="6903" spans="1:8" x14ac:dyDescent="0.25">
      <c r="A6903" s="1">
        <v>45660.541666666664</v>
      </c>
      <c r="B6903" t="s">
        <v>36</v>
      </c>
      <c r="C6903">
        <v>118.95</v>
      </c>
      <c r="D6903">
        <v>32.94</v>
      </c>
      <c r="E6903" t="s">
        <v>9</v>
      </c>
      <c r="F6903">
        <v>45.94</v>
      </c>
      <c r="G6903" t="s">
        <v>16</v>
      </c>
      <c r="H6903" t="s">
        <v>11</v>
      </c>
    </row>
    <row r="6904" spans="1:8" x14ac:dyDescent="0.25">
      <c r="A6904" s="1">
        <v>45660.583333333336</v>
      </c>
      <c r="B6904" t="s">
        <v>36</v>
      </c>
      <c r="C6904">
        <v>414.83</v>
      </c>
      <c r="D6904">
        <v>54.12</v>
      </c>
      <c r="E6904" t="s">
        <v>9</v>
      </c>
      <c r="F6904">
        <v>64.849999999999994</v>
      </c>
      <c r="G6904" t="s">
        <v>16</v>
      </c>
      <c r="H6904" t="s">
        <v>12</v>
      </c>
    </row>
    <row r="6905" spans="1:8" x14ac:dyDescent="0.25">
      <c r="A6905" s="1">
        <v>45660.625</v>
      </c>
      <c r="B6905" t="s">
        <v>36</v>
      </c>
      <c r="C6905">
        <v>441.64</v>
      </c>
      <c r="D6905">
        <v>48.96</v>
      </c>
      <c r="E6905" t="s">
        <v>9</v>
      </c>
      <c r="F6905">
        <v>59.2</v>
      </c>
      <c r="G6905" t="s">
        <v>16</v>
      </c>
      <c r="H6905" t="s">
        <v>11</v>
      </c>
    </row>
    <row r="6906" spans="1:8" x14ac:dyDescent="0.25">
      <c r="A6906" s="1">
        <v>45660.666666666664</v>
      </c>
      <c r="B6906" t="s">
        <v>36</v>
      </c>
      <c r="C6906">
        <v>405.71</v>
      </c>
      <c r="D6906">
        <v>43.7</v>
      </c>
      <c r="E6906" t="s">
        <v>9</v>
      </c>
      <c r="F6906">
        <v>33.89</v>
      </c>
      <c r="G6906" t="s">
        <v>16</v>
      </c>
      <c r="H6906" t="s">
        <v>13</v>
      </c>
    </row>
    <row r="6907" spans="1:8" x14ac:dyDescent="0.25">
      <c r="A6907" s="1">
        <v>45660.708333333336</v>
      </c>
      <c r="B6907" t="s">
        <v>36</v>
      </c>
      <c r="C6907">
        <v>469.1</v>
      </c>
      <c r="D6907">
        <v>67.349999999999994</v>
      </c>
      <c r="E6907" t="s">
        <v>9</v>
      </c>
      <c r="F6907">
        <v>79.58</v>
      </c>
      <c r="G6907" t="s">
        <v>16</v>
      </c>
      <c r="H6907" t="s">
        <v>13</v>
      </c>
    </row>
    <row r="6908" spans="1:8" x14ac:dyDescent="0.25">
      <c r="A6908" s="1">
        <v>45660.75</v>
      </c>
      <c r="B6908" t="s">
        <v>36</v>
      </c>
      <c r="C6908">
        <v>105.51</v>
      </c>
      <c r="D6908">
        <v>87.76</v>
      </c>
      <c r="E6908" t="s">
        <v>14</v>
      </c>
      <c r="F6908">
        <v>46.56</v>
      </c>
      <c r="G6908" t="s">
        <v>16</v>
      </c>
      <c r="H6908" t="s">
        <v>11</v>
      </c>
    </row>
    <row r="6909" spans="1:8" x14ac:dyDescent="0.25">
      <c r="A6909" s="1">
        <v>45660.791666666664</v>
      </c>
      <c r="B6909" t="s">
        <v>36</v>
      </c>
      <c r="C6909">
        <v>256.07</v>
      </c>
      <c r="D6909">
        <v>26.89</v>
      </c>
      <c r="E6909" t="s">
        <v>9</v>
      </c>
      <c r="F6909">
        <v>80.63</v>
      </c>
      <c r="G6909" t="s">
        <v>16</v>
      </c>
      <c r="H6909" t="s">
        <v>12</v>
      </c>
    </row>
    <row r="6910" spans="1:8" x14ac:dyDescent="0.25">
      <c r="A6910" s="1">
        <v>45660.833333333336</v>
      </c>
      <c r="B6910" t="s">
        <v>36</v>
      </c>
      <c r="C6910">
        <v>170.35</v>
      </c>
      <c r="D6910">
        <v>56.12</v>
      </c>
      <c r="E6910" t="s">
        <v>9</v>
      </c>
      <c r="F6910">
        <v>88.3</v>
      </c>
      <c r="G6910" t="s">
        <v>16</v>
      </c>
      <c r="H6910" t="s">
        <v>13</v>
      </c>
    </row>
    <row r="6911" spans="1:8" x14ac:dyDescent="0.25">
      <c r="A6911" s="1">
        <v>45660.875</v>
      </c>
      <c r="B6911" t="s">
        <v>36</v>
      </c>
      <c r="C6911">
        <v>312.99</v>
      </c>
      <c r="D6911">
        <v>26.26</v>
      </c>
      <c r="E6911" t="s">
        <v>9</v>
      </c>
      <c r="F6911">
        <v>83.03</v>
      </c>
      <c r="G6911" t="s">
        <v>16</v>
      </c>
      <c r="H6911" t="s">
        <v>11</v>
      </c>
    </row>
    <row r="6912" spans="1:8" x14ac:dyDescent="0.25">
      <c r="A6912" s="1">
        <v>45660.916666666664</v>
      </c>
      <c r="B6912" t="s">
        <v>36</v>
      </c>
      <c r="C6912">
        <v>284.95</v>
      </c>
      <c r="D6912">
        <v>55.47</v>
      </c>
      <c r="E6912" t="s">
        <v>9</v>
      </c>
      <c r="F6912">
        <v>66.239999999999995</v>
      </c>
      <c r="G6912" t="s">
        <v>16</v>
      </c>
      <c r="H6912" t="s">
        <v>13</v>
      </c>
    </row>
    <row r="6913" spans="1:8" x14ac:dyDescent="0.25">
      <c r="A6913" s="1">
        <v>45660.958333333336</v>
      </c>
      <c r="B6913" t="s">
        <v>36</v>
      </c>
      <c r="C6913">
        <v>458.31</v>
      </c>
      <c r="D6913">
        <v>78.58</v>
      </c>
      <c r="E6913" t="s">
        <v>9</v>
      </c>
      <c r="F6913">
        <v>72.33</v>
      </c>
      <c r="G6913" t="s">
        <v>16</v>
      </c>
      <c r="H6913" t="s">
        <v>13</v>
      </c>
    </row>
    <row r="6914" spans="1:8" x14ac:dyDescent="0.25">
      <c r="A6914" s="1">
        <v>45661</v>
      </c>
      <c r="B6914" t="s">
        <v>36</v>
      </c>
      <c r="C6914">
        <v>336.16</v>
      </c>
      <c r="D6914">
        <v>23.49</v>
      </c>
      <c r="E6914" t="s">
        <v>9</v>
      </c>
      <c r="F6914">
        <v>67.36</v>
      </c>
      <c r="G6914" t="s">
        <v>16</v>
      </c>
      <c r="H6914" t="s">
        <v>13</v>
      </c>
    </row>
    <row r="6915" spans="1:8" x14ac:dyDescent="0.25">
      <c r="A6915" s="1">
        <v>45661.041666666664</v>
      </c>
      <c r="B6915" t="s">
        <v>36</v>
      </c>
      <c r="C6915">
        <v>158.96</v>
      </c>
      <c r="D6915">
        <v>74.08</v>
      </c>
      <c r="E6915" t="s">
        <v>9</v>
      </c>
      <c r="F6915">
        <v>77.84</v>
      </c>
      <c r="G6915" t="s">
        <v>16</v>
      </c>
      <c r="H6915" t="s">
        <v>13</v>
      </c>
    </row>
    <row r="6916" spans="1:8" x14ac:dyDescent="0.25">
      <c r="A6916" s="1">
        <v>45661.083333333336</v>
      </c>
      <c r="B6916" t="s">
        <v>36</v>
      </c>
      <c r="C6916">
        <v>86.76</v>
      </c>
      <c r="D6916">
        <v>37.869999999999997</v>
      </c>
      <c r="E6916" t="s">
        <v>9</v>
      </c>
      <c r="F6916">
        <v>89.2</v>
      </c>
      <c r="G6916" t="s">
        <v>16</v>
      </c>
      <c r="H6916" t="s">
        <v>13</v>
      </c>
    </row>
    <row r="6917" spans="1:8" x14ac:dyDescent="0.25">
      <c r="A6917" s="1">
        <v>45661.125</v>
      </c>
      <c r="B6917" t="s">
        <v>36</v>
      </c>
      <c r="C6917">
        <v>352.8</v>
      </c>
      <c r="D6917">
        <v>63.28</v>
      </c>
      <c r="E6917" t="s">
        <v>9</v>
      </c>
      <c r="F6917">
        <v>68.790000000000006</v>
      </c>
      <c r="G6917" t="s">
        <v>16</v>
      </c>
      <c r="H6917" t="s">
        <v>13</v>
      </c>
    </row>
    <row r="6918" spans="1:8" x14ac:dyDescent="0.25">
      <c r="A6918" s="1">
        <v>45661.166666666664</v>
      </c>
      <c r="B6918" t="s">
        <v>36</v>
      </c>
      <c r="C6918">
        <v>130.77000000000001</v>
      </c>
      <c r="D6918">
        <v>18.18</v>
      </c>
      <c r="E6918" t="s">
        <v>9</v>
      </c>
      <c r="F6918">
        <v>81.03</v>
      </c>
      <c r="G6918" t="s">
        <v>16</v>
      </c>
      <c r="H6918" t="s">
        <v>13</v>
      </c>
    </row>
    <row r="6919" spans="1:8" x14ac:dyDescent="0.25">
      <c r="A6919" s="1">
        <v>45661.208333333336</v>
      </c>
      <c r="B6919" t="s">
        <v>36</v>
      </c>
      <c r="C6919">
        <v>83.58</v>
      </c>
      <c r="D6919">
        <v>21.16</v>
      </c>
      <c r="E6919" t="s">
        <v>9</v>
      </c>
      <c r="F6919">
        <v>64.38</v>
      </c>
      <c r="G6919" t="s">
        <v>16</v>
      </c>
      <c r="H6919" t="s">
        <v>13</v>
      </c>
    </row>
    <row r="6920" spans="1:8" x14ac:dyDescent="0.25">
      <c r="A6920" s="1">
        <v>45661.25</v>
      </c>
      <c r="B6920" t="s">
        <v>36</v>
      </c>
      <c r="C6920">
        <v>213.5</v>
      </c>
      <c r="D6920">
        <v>30.4</v>
      </c>
      <c r="E6920" t="s">
        <v>9</v>
      </c>
      <c r="F6920">
        <v>65.709999999999994</v>
      </c>
      <c r="G6920" t="s">
        <v>16</v>
      </c>
      <c r="H6920" t="s">
        <v>11</v>
      </c>
    </row>
    <row r="6921" spans="1:8" x14ac:dyDescent="0.25">
      <c r="A6921" s="1">
        <v>45661.291666666664</v>
      </c>
      <c r="B6921" t="s">
        <v>36</v>
      </c>
      <c r="C6921">
        <v>125.05</v>
      </c>
      <c r="D6921">
        <v>70.7</v>
      </c>
      <c r="E6921" t="s">
        <v>9</v>
      </c>
      <c r="F6921">
        <v>80.209999999999994</v>
      </c>
      <c r="G6921" t="s">
        <v>16</v>
      </c>
      <c r="H6921" t="s">
        <v>13</v>
      </c>
    </row>
    <row r="6922" spans="1:8" x14ac:dyDescent="0.25">
      <c r="A6922" s="1">
        <v>45661.333333333336</v>
      </c>
      <c r="B6922" t="s">
        <v>36</v>
      </c>
      <c r="C6922">
        <v>476.71</v>
      </c>
      <c r="D6922">
        <v>21.27</v>
      </c>
      <c r="E6922" t="s">
        <v>9</v>
      </c>
      <c r="F6922">
        <v>86.61</v>
      </c>
      <c r="G6922" t="s">
        <v>16</v>
      </c>
      <c r="H6922" t="s">
        <v>11</v>
      </c>
    </row>
    <row r="6923" spans="1:8" x14ac:dyDescent="0.25">
      <c r="A6923" s="1">
        <v>45661.375</v>
      </c>
      <c r="B6923" t="s">
        <v>36</v>
      </c>
      <c r="C6923">
        <v>424.08</v>
      </c>
      <c r="D6923">
        <v>34.32</v>
      </c>
      <c r="E6923" t="s">
        <v>9</v>
      </c>
      <c r="F6923">
        <v>57.64</v>
      </c>
      <c r="G6923" t="s">
        <v>16</v>
      </c>
      <c r="H6923" t="s">
        <v>11</v>
      </c>
    </row>
    <row r="6924" spans="1:8" x14ac:dyDescent="0.25">
      <c r="A6924" s="1">
        <v>45661.416666666664</v>
      </c>
      <c r="B6924" t="s">
        <v>36</v>
      </c>
      <c r="C6924">
        <v>129.34</v>
      </c>
      <c r="D6924">
        <v>34.43</v>
      </c>
      <c r="E6924" t="s">
        <v>9</v>
      </c>
      <c r="F6924">
        <v>44.69</v>
      </c>
      <c r="G6924" t="s">
        <v>16</v>
      </c>
      <c r="H6924" t="s">
        <v>11</v>
      </c>
    </row>
    <row r="6925" spans="1:8" x14ac:dyDescent="0.25">
      <c r="A6925" s="1">
        <v>45661.458333333336</v>
      </c>
      <c r="B6925" t="s">
        <v>36</v>
      </c>
      <c r="C6925">
        <v>309.02999999999997</v>
      </c>
      <c r="D6925">
        <v>16.29</v>
      </c>
      <c r="E6925" t="s">
        <v>9</v>
      </c>
      <c r="F6925">
        <v>52.94</v>
      </c>
      <c r="G6925" t="s">
        <v>16</v>
      </c>
      <c r="H6925" t="s">
        <v>12</v>
      </c>
    </row>
    <row r="6926" spans="1:8" x14ac:dyDescent="0.25">
      <c r="A6926" s="1">
        <v>45661.5</v>
      </c>
      <c r="B6926" t="s">
        <v>36</v>
      </c>
      <c r="C6926">
        <v>322.98</v>
      </c>
      <c r="D6926">
        <v>93.79</v>
      </c>
      <c r="E6926" t="s">
        <v>14</v>
      </c>
      <c r="F6926">
        <v>61.06</v>
      </c>
      <c r="G6926" t="s">
        <v>16</v>
      </c>
      <c r="H6926" t="s">
        <v>13</v>
      </c>
    </row>
    <row r="6927" spans="1:8" x14ac:dyDescent="0.25">
      <c r="A6927" s="1">
        <v>45661.541666666664</v>
      </c>
      <c r="B6927" t="s">
        <v>36</v>
      </c>
      <c r="C6927">
        <v>336.93</v>
      </c>
      <c r="D6927">
        <v>93.38</v>
      </c>
      <c r="E6927" t="s">
        <v>14</v>
      </c>
      <c r="F6927">
        <v>75.209999999999994</v>
      </c>
      <c r="G6927" t="s">
        <v>16</v>
      </c>
      <c r="H6927" t="s">
        <v>12</v>
      </c>
    </row>
    <row r="6928" spans="1:8" x14ac:dyDescent="0.25">
      <c r="A6928" s="1">
        <v>45661.583333333336</v>
      </c>
      <c r="B6928" t="s">
        <v>36</v>
      </c>
      <c r="C6928">
        <v>481.9</v>
      </c>
      <c r="D6928">
        <v>47.86</v>
      </c>
      <c r="E6928" t="s">
        <v>9</v>
      </c>
      <c r="F6928">
        <v>48.82</v>
      </c>
      <c r="G6928" t="s">
        <v>16</v>
      </c>
      <c r="H6928" t="s">
        <v>11</v>
      </c>
    </row>
    <row r="6929" spans="1:8" x14ac:dyDescent="0.25">
      <c r="A6929" s="1">
        <v>45661.625</v>
      </c>
      <c r="B6929" t="s">
        <v>36</v>
      </c>
      <c r="C6929">
        <v>275.18</v>
      </c>
      <c r="D6929">
        <v>71.33</v>
      </c>
      <c r="E6929" t="s">
        <v>9</v>
      </c>
      <c r="F6929">
        <v>75.900000000000006</v>
      </c>
      <c r="G6929" t="s">
        <v>16</v>
      </c>
      <c r="H6929" t="s">
        <v>11</v>
      </c>
    </row>
    <row r="6930" spans="1:8" x14ac:dyDescent="0.25">
      <c r="A6930" s="1">
        <v>45661.666666666664</v>
      </c>
      <c r="B6930" t="s">
        <v>36</v>
      </c>
      <c r="C6930">
        <v>386.84</v>
      </c>
      <c r="D6930">
        <v>41.18</v>
      </c>
      <c r="E6930" t="s">
        <v>9</v>
      </c>
      <c r="F6930">
        <v>53.3</v>
      </c>
      <c r="G6930" t="s">
        <v>16</v>
      </c>
      <c r="H6930" t="s">
        <v>12</v>
      </c>
    </row>
    <row r="6931" spans="1:8" x14ac:dyDescent="0.25">
      <c r="A6931" s="1">
        <v>45661.708333333336</v>
      </c>
      <c r="B6931" t="s">
        <v>36</v>
      </c>
      <c r="C6931">
        <v>285.56</v>
      </c>
      <c r="D6931">
        <v>74.3</v>
      </c>
      <c r="E6931" t="s">
        <v>9</v>
      </c>
      <c r="F6931">
        <v>46.38</v>
      </c>
      <c r="G6931" t="s">
        <v>16</v>
      </c>
      <c r="H6931" t="s">
        <v>13</v>
      </c>
    </row>
    <row r="6932" spans="1:8" x14ac:dyDescent="0.25">
      <c r="A6932" s="1">
        <v>45661.75</v>
      </c>
      <c r="B6932" t="s">
        <v>36</v>
      </c>
      <c r="C6932">
        <v>102.39</v>
      </c>
      <c r="D6932">
        <v>44.02</v>
      </c>
      <c r="E6932" t="s">
        <v>9</v>
      </c>
      <c r="F6932">
        <v>78.39</v>
      </c>
      <c r="G6932" t="s">
        <v>16</v>
      </c>
      <c r="H6932" t="s">
        <v>13</v>
      </c>
    </row>
    <row r="6933" spans="1:8" x14ac:dyDescent="0.25">
      <c r="A6933" s="1">
        <v>45661.791666666664</v>
      </c>
      <c r="B6933" t="s">
        <v>36</v>
      </c>
      <c r="C6933">
        <v>432.19</v>
      </c>
      <c r="D6933">
        <v>91.2</v>
      </c>
      <c r="E6933" t="s">
        <v>14</v>
      </c>
      <c r="F6933">
        <v>76.03</v>
      </c>
      <c r="G6933" t="s">
        <v>16</v>
      </c>
      <c r="H6933" t="s">
        <v>11</v>
      </c>
    </row>
    <row r="6934" spans="1:8" x14ac:dyDescent="0.25">
      <c r="A6934" s="1">
        <v>45661.833333333336</v>
      </c>
      <c r="B6934" t="s">
        <v>36</v>
      </c>
      <c r="C6934">
        <v>489.95</v>
      </c>
      <c r="D6934">
        <v>88.47</v>
      </c>
      <c r="E6934" t="s">
        <v>14</v>
      </c>
      <c r="F6934">
        <v>39.79</v>
      </c>
      <c r="G6934" t="s">
        <v>16</v>
      </c>
      <c r="H6934" t="s">
        <v>12</v>
      </c>
    </row>
    <row r="6935" spans="1:8" x14ac:dyDescent="0.25">
      <c r="A6935" s="1">
        <v>45661.875</v>
      </c>
      <c r="B6935" t="s">
        <v>36</v>
      </c>
      <c r="C6935">
        <v>107.23</v>
      </c>
      <c r="D6935">
        <v>76.599999999999994</v>
      </c>
      <c r="E6935" t="s">
        <v>9</v>
      </c>
      <c r="F6935">
        <v>58.89</v>
      </c>
      <c r="G6935" t="s">
        <v>16</v>
      </c>
      <c r="H6935" t="s">
        <v>11</v>
      </c>
    </row>
    <row r="6936" spans="1:8" x14ac:dyDescent="0.25">
      <c r="A6936" s="1">
        <v>45661.916666666664</v>
      </c>
      <c r="B6936" t="s">
        <v>36</v>
      </c>
      <c r="C6936">
        <v>76.83</v>
      </c>
      <c r="D6936">
        <v>64.8</v>
      </c>
      <c r="E6936" t="s">
        <v>9</v>
      </c>
      <c r="F6936">
        <v>42.32</v>
      </c>
      <c r="G6936" t="s">
        <v>16</v>
      </c>
      <c r="H6936" t="s">
        <v>13</v>
      </c>
    </row>
    <row r="6937" spans="1:8" x14ac:dyDescent="0.25">
      <c r="A6937" s="1">
        <v>45661.958333333336</v>
      </c>
      <c r="B6937" t="s">
        <v>36</v>
      </c>
      <c r="C6937">
        <v>141.12</v>
      </c>
      <c r="D6937">
        <v>80.28</v>
      </c>
      <c r="E6937" t="s">
        <v>9</v>
      </c>
      <c r="F6937">
        <v>87.48</v>
      </c>
      <c r="G6937" t="s">
        <v>16</v>
      </c>
      <c r="H6937" t="s">
        <v>11</v>
      </c>
    </row>
    <row r="6938" spans="1:8" x14ac:dyDescent="0.25">
      <c r="A6938" s="1">
        <v>45662</v>
      </c>
      <c r="B6938" t="s">
        <v>36</v>
      </c>
      <c r="C6938">
        <v>477.85</v>
      </c>
      <c r="D6938">
        <v>75.69</v>
      </c>
      <c r="E6938" t="s">
        <v>9</v>
      </c>
      <c r="F6938">
        <v>64.36</v>
      </c>
      <c r="G6938" t="s">
        <v>16</v>
      </c>
      <c r="H6938" t="s">
        <v>13</v>
      </c>
    </row>
    <row r="6939" spans="1:8" x14ac:dyDescent="0.25">
      <c r="A6939" s="1">
        <v>45662.041666666664</v>
      </c>
      <c r="B6939" t="s">
        <v>36</v>
      </c>
      <c r="C6939">
        <v>285.93</v>
      </c>
      <c r="D6939">
        <v>60.62</v>
      </c>
      <c r="E6939" t="s">
        <v>9</v>
      </c>
      <c r="F6939">
        <v>70.2</v>
      </c>
      <c r="G6939" t="s">
        <v>16</v>
      </c>
      <c r="H6939" t="s">
        <v>13</v>
      </c>
    </row>
    <row r="6940" spans="1:8" x14ac:dyDescent="0.25">
      <c r="A6940" s="1">
        <v>45662.083333333336</v>
      </c>
      <c r="B6940" t="s">
        <v>36</v>
      </c>
      <c r="C6940">
        <v>347.93</v>
      </c>
      <c r="D6940">
        <v>21.7</v>
      </c>
      <c r="E6940" t="s">
        <v>9</v>
      </c>
      <c r="F6940">
        <v>31.39</v>
      </c>
      <c r="G6940" t="s">
        <v>16</v>
      </c>
      <c r="H6940" t="s">
        <v>12</v>
      </c>
    </row>
    <row r="6941" spans="1:8" x14ac:dyDescent="0.25">
      <c r="A6941" s="1">
        <v>45662.125</v>
      </c>
      <c r="B6941" t="s">
        <v>36</v>
      </c>
      <c r="C6941">
        <v>237.21</v>
      </c>
      <c r="D6941">
        <v>34.29</v>
      </c>
      <c r="E6941" t="s">
        <v>9</v>
      </c>
      <c r="F6941">
        <v>62.71</v>
      </c>
      <c r="G6941" t="s">
        <v>16</v>
      </c>
      <c r="H6941" t="s">
        <v>12</v>
      </c>
    </row>
    <row r="6942" spans="1:8" x14ac:dyDescent="0.25">
      <c r="A6942" s="1">
        <v>45662.166666666664</v>
      </c>
      <c r="B6942" t="s">
        <v>36</v>
      </c>
      <c r="C6942">
        <v>274.08999999999997</v>
      </c>
      <c r="D6942">
        <v>78.489999999999995</v>
      </c>
      <c r="E6942" t="s">
        <v>9</v>
      </c>
      <c r="F6942">
        <v>69.84</v>
      </c>
      <c r="G6942" t="s">
        <v>16</v>
      </c>
      <c r="H6942" t="s">
        <v>12</v>
      </c>
    </row>
    <row r="6943" spans="1:8" x14ac:dyDescent="0.25">
      <c r="A6943" s="1">
        <v>45662.208333333336</v>
      </c>
      <c r="B6943" t="s">
        <v>36</v>
      </c>
      <c r="C6943">
        <v>463.39</v>
      </c>
      <c r="D6943">
        <v>86.76</v>
      </c>
      <c r="E6943" t="s">
        <v>14</v>
      </c>
      <c r="F6943">
        <v>39.630000000000003</v>
      </c>
      <c r="G6943" t="s">
        <v>16</v>
      </c>
      <c r="H6943" t="s">
        <v>12</v>
      </c>
    </row>
    <row r="6944" spans="1:8" x14ac:dyDescent="0.25">
      <c r="A6944" s="1">
        <v>45662.25</v>
      </c>
      <c r="B6944" t="s">
        <v>36</v>
      </c>
      <c r="C6944">
        <v>140.04</v>
      </c>
      <c r="D6944">
        <v>80.040000000000006</v>
      </c>
      <c r="E6944" t="s">
        <v>9</v>
      </c>
      <c r="F6944">
        <v>61.38</v>
      </c>
      <c r="G6944" t="s">
        <v>16</v>
      </c>
      <c r="H6944" t="s">
        <v>13</v>
      </c>
    </row>
    <row r="6945" spans="1:8" x14ac:dyDescent="0.25">
      <c r="A6945" s="1">
        <v>45662.291666666664</v>
      </c>
      <c r="B6945" t="s">
        <v>36</v>
      </c>
      <c r="C6945">
        <v>499.37</v>
      </c>
      <c r="D6945">
        <v>75.650000000000006</v>
      </c>
      <c r="E6945" t="s">
        <v>9</v>
      </c>
      <c r="F6945">
        <v>44.5</v>
      </c>
      <c r="G6945" t="s">
        <v>16</v>
      </c>
      <c r="H6945" t="s">
        <v>11</v>
      </c>
    </row>
    <row r="6946" spans="1:8" x14ac:dyDescent="0.25">
      <c r="A6946" s="1">
        <v>45662.333333333336</v>
      </c>
      <c r="B6946" t="s">
        <v>36</v>
      </c>
      <c r="C6946">
        <v>99.21</v>
      </c>
      <c r="D6946">
        <v>82.35</v>
      </c>
      <c r="E6946" t="s">
        <v>9</v>
      </c>
      <c r="F6946">
        <v>36.58</v>
      </c>
      <c r="G6946" t="s">
        <v>16</v>
      </c>
      <c r="H6946" t="s">
        <v>11</v>
      </c>
    </row>
    <row r="6947" spans="1:8" x14ac:dyDescent="0.25">
      <c r="A6947" s="1">
        <v>45662.375</v>
      </c>
      <c r="B6947" t="s">
        <v>36</v>
      </c>
      <c r="C6947">
        <v>326.17</v>
      </c>
      <c r="D6947">
        <v>21.27</v>
      </c>
      <c r="E6947" t="s">
        <v>9</v>
      </c>
      <c r="F6947">
        <v>61.1</v>
      </c>
      <c r="G6947" t="s">
        <v>16</v>
      </c>
      <c r="H6947" t="s">
        <v>11</v>
      </c>
    </row>
    <row r="6948" spans="1:8" x14ac:dyDescent="0.25">
      <c r="A6948" s="1">
        <v>45662.416666666664</v>
      </c>
      <c r="B6948" t="s">
        <v>36</v>
      </c>
      <c r="C6948">
        <v>332.89</v>
      </c>
      <c r="D6948">
        <v>33.82</v>
      </c>
      <c r="E6948" t="s">
        <v>9</v>
      </c>
      <c r="F6948">
        <v>31.24</v>
      </c>
      <c r="G6948" t="s">
        <v>16</v>
      </c>
      <c r="H6948" t="s">
        <v>12</v>
      </c>
    </row>
    <row r="6949" spans="1:8" x14ac:dyDescent="0.25">
      <c r="A6949" s="1">
        <v>45662.458333333336</v>
      </c>
      <c r="B6949" t="s">
        <v>36</v>
      </c>
      <c r="C6949">
        <v>229.36</v>
      </c>
      <c r="D6949">
        <v>65.5</v>
      </c>
      <c r="E6949" t="s">
        <v>9</v>
      </c>
      <c r="F6949">
        <v>85.81</v>
      </c>
      <c r="G6949" t="s">
        <v>16</v>
      </c>
      <c r="H6949" t="s">
        <v>12</v>
      </c>
    </row>
    <row r="6950" spans="1:8" x14ac:dyDescent="0.25">
      <c r="A6950" s="1">
        <v>45662.5</v>
      </c>
      <c r="B6950" t="s">
        <v>36</v>
      </c>
      <c r="C6950">
        <v>359.3</v>
      </c>
      <c r="D6950">
        <v>21.88</v>
      </c>
      <c r="E6950" t="s">
        <v>9</v>
      </c>
      <c r="F6950">
        <v>41.44</v>
      </c>
      <c r="G6950" t="s">
        <v>16</v>
      </c>
      <c r="H6950" t="s">
        <v>12</v>
      </c>
    </row>
    <row r="6951" spans="1:8" x14ac:dyDescent="0.25">
      <c r="A6951" s="1">
        <v>45662.541666666664</v>
      </c>
      <c r="B6951" t="s">
        <v>36</v>
      </c>
      <c r="C6951">
        <v>225.17</v>
      </c>
      <c r="D6951">
        <v>33.51</v>
      </c>
      <c r="E6951" t="s">
        <v>9</v>
      </c>
      <c r="F6951">
        <v>43.58</v>
      </c>
      <c r="G6951" t="s">
        <v>16</v>
      </c>
      <c r="H6951" t="s">
        <v>12</v>
      </c>
    </row>
    <row r="6952" spans="1:8" x14ac:dyDescent="0.25">
      <c r="A6952" s="1">
        <v>45662.583333333336</v>
      </c>
      <c r="B6952" t="s">
        <v>36</v>
      </c>
      <c r="C6952">
        <v>56.91</v>
      </c>
      <c r="D6952">
        <v>69.400000000000006</v>
      </c>
      <c r="E6952" t="s">
        <v>9</v>
      </c>
      <c r="F6952">
        <v>79.48</v>
      </c>
      <c r="G6952" t="s">
        <v>16</v>
      </c>
      <c r="H6952" t="s">
        <v>13</v>
      </c>
    </row>
    <row r="6953" spans="1:8" x14ac:dyDescent="0.25">
      <c r="A6953" s="1">
        <v>45662.625</v>
      </c>
      <c r="B6953" t="s">
        <v>36</v>
      </c>
      <c r="C6953">
        <v>195.4</v>
      </c>
      <c r="D6953">
        <v>51.37</v>
      </c>
      <c r="E6953" t="s">
        <v>9</v>
      </c>
      <c r="F6953">
        <v>62.56</v>
      </c>
      <c r="G6953" t="s">
        <v>16</v>
      </c>
      <c r="H6953" t="s">
        <v>11</v>
      </c>
    </row>
    <row r="6954" spans="1:8" x14ac:dyDescent="0.25">
      <c r="A6954" s="1">
        <v>45662.666666666664</v>
      </c>
      <c r="B6954" t="s">
        <v>36</v>
      </c>
      <c r="C6954">
        <v>200.67</v>
      </c>
      <c r="D6954">
        <v>66.69</v>
      </c>
      <c r="E6954" t="s">
        <v>9</v>
      </c>
      <c r="F6954">
        <v>71.61</v>
      </c>
      <c r="G6954" t="s">
        <v>16</v>
      </c>
      <c r="H6954" t="s">
        <v>11</v>
      </c>
    </row>
    <row r="6955" spans="1:8" x14ac:dyDescent="0.25">
      <c r="A6955" s="1">
        <v>45662.708333333336</v>
      </c>
      <c r="B6955" t="s">
        <v>36</v>
      </c>
      <c r="C6955">
        <v>131.18</v>
      </c>
      <c r="D6955">
        <v>75.599999999999994</v>
      </c>
      <c r="E6955" t="s">
        <v>9</v>
      </c>
      <c r="F6955">
        <v>41.01</v>
      </c>
      <c r="G6955" t="s">
        <v>16</v>
      </c>
      <c r="H6955" t="s">
        <v>11</v>
      </c>
    </row>
    <row r="6956" spans="1:8" x14ac:dyDescent="0.25">
      <c r="A6956" s="1">
        <v>45662.75</v>
      </c>
      <c r="B6956" t="s">
        <v>36</v>
      </c>
      <c r="C6956">
        <v>451.49</v>
      </c>
      <c r="D6956">
        <v>23.65</v>
      </c>
      <c r="E6956" t="s">
        <v>9</v>
      </c>
      <c r="F6956">
        <v>52.88</v>
      </c>
      <c r="G6956" t="s">
        <v>16</v>
      </c>
      <c r="H6956" t="s">
        <v>11</v>
      </c>
    </row>
    <row r="6957" spans="1:8" x14ac:dyDescent="0.25">
      <c r="A6957" s="1">
        <v>45662.791666666664</v>
      </c>
      <c r="B6957" t="s">
        <v>36</v>
      </c>
      <c r="C6957">
        <v>491.72</v>
      </c>
      <c r="D6957">
        <v>37.630000000000003</v>
      </c>
      <c r="E6957" t="s">
        <v>9</v>
      </c>
      <c r="F6957">
        <v>84.21</v>
      </c>
      <c r="G6957" t="s">
        <v>16</v>
      </c>
      <c r="H6957" t="s">
        <v>13</v>
      </c>
    </row>
    <row r="6958" spans="1:8" x14ac:dyDescent="0.25">
      <c r="A6958" s="1">
        <v>45662.833333333336</v>
      </c>
      <c r="B6958" t="s">
        <v>36</v>
      </c>
      <c r="C6958">
        <v>430.04</v>
      </c>
      <c r="D6958">
        <v>90.9</v>
      </c>
      <c r="E6958" t="s">
        <v>14</v>
      </c>
      <c r="F6958">
        <v>63.22</v>
      </c>
      <c r="G6958" t="s">
        <v>16</v>
      </c>
      <c r="H6958" t="s">
        <v>13</v>
      </c>
    </row>
    <row r="6959" spans="1:8" x14ac:dyDescent="0.25">
      <c r="A6959" s="1">
        <v>45662.875</v>
      </c>
      <c r="B6959" t="s">
        <v>36</v>
      </c>
      <c r="C6959">
        <v>451.43</v>
      </c>
      <c r="D6959">
        <v>27.21</v>
      </c>
      <c r="E6959" t="s">
        <v>9</v>
      </c>
      <c r="F6959">
        <v>73.540000000000006</v>
      </c>
      <c r="G6959" t="s">
        <v>16</v>
      </c>
      <c r="H6959" t="s">
        <v>12</v>
      </c>
    </row>
    <row r="6960" spans="1:8" x14ac:dyDescent="0.25">
      <c r="A6960" s="1">
        <v>45662.916666666664</v>
      </c>
      <c r="B6960" t="s">
        <v>36</v>
      </c>
      <c r="C6960">
        <v>477.8</v>
      </c>
      <c r="D6960">
        <v>49.84</v>
      </c>
      <c r="E6960" t="s">
        <v>9</v>
      </c>
      <c r="F6960">
        <v>39.67</v>
      </c>
      <c r="G6960" t="s">
        <v>16</v>
      </c>
      <c r="H6960" t="s">
        <v>12</v>
      </c>
    </row>
    <row r="6961" spans="1:8" x14ac:dyDescent="0.25">
      <c r="A6961" s="1">
        <v>45662.958333333336</v>
      </c>
      <c r="B6961" t="s">
        <v>36</v>
      </c>
      <c r="C6961">
        <v>130.41999999999999</v>
      </c>
      <c r="D6961">
        <v>52.16</v>
      </c>
      <c r="E6961" t="s">
        <v>9</v>
      </c>
      <c r="F6961">
        <v>86.02</v>
      </c>
      <c r="G6961" t="s">
        <v>16</v>
      </c>
      <c r="H6961" t="s">
        <v>11</v>
      </c>
    </row>
    <row r="6962" spans="1:8" x14ac:dyDescent="0.25">
      <c r="A6962" s="1">
        <v>45663</v>
      </c>
      <c r="B6962" t="s">
        <v>36</v>
      </c>
      <c r="C6962">
        <v>128.63</v>
      </c>
      <c r="D6962">
        <v>44.82</v>
      </c>
      <c r="E6962" t="s">
        <v>9</v>
      </c>
      <c r="F6962">
        <v>82.12</v>
      </c>
      <c r="G6962" t="s">
        <v>16</v>
      </c>
      <c r="H6962" t="s">
        <v>11</v>
      </c>
    </row>
    <row r="6963" spans="1:8" x14ac:dyDescent="0.25">
      <c r="A6963" s="1">
        <v>45663.041666666664</v>
      </c>
      <c r="B6963" t="s">
        <v>36</v>
      </c>
      <c r="C6963">
        <v>371.93</v>
      </c>
      <c r="D6963">
        <v>87.28</v>
      </c>
      <c r="E6963" t="s">
        <v>14</v>
      </c>
      <c r="F6963">
        <v>38.79</v>
      </c>
      <c r="G6963" t="s">
        <v>16</v>
      </c>
      <c r="H6963" t="s">
        <v>13</v>
      </c>
    </row>
    <row r="6964" spans="1:8" x14ac:dyDescent="0.25">
      <c r="A6964" s="1">
        <v>45663.083333333336</v>
      </c>
      <c r="B6964" t="s">
        <v>36</v>
      </c>
      <c r="C6964">
        <v>160.09</v>
      </c>
      <c r="D6964">
        <v>89.55</v>
      </c>
      <c r="E6964" t="s">
        <v>14</v>
      </c>
      <c r="F6964">
        <v>80.040000000000006</v>
      </c>
      <c r="G6964" t="s">
        <v>16</v>
      </c>
      <c r="H6964" t="s">
        <v>13</v>
      </c>
    </row>
    <row r="6965" spans="1:8" x14ac:dyDescent="0.25">
      <c r="A6965" s="1">
        <v>45663.125</v>
      </c>
      <c r="B6965" t="s">
        <v>36</v>
      </c>
      <c r="C6965">
        <v>376.28</v>
      </c>
      <c r="D6965">
        <v>69.31</v>
      </c>
      <c r="E6965" t="s">
        <v>9</v>
      </c>
      <c r="F6965">
        <v>43.65</v>
      </c>
      <c r="G6965" t="s">
        <v>16</v>
      </c>
      <c r="H6965" t="s">
        <v>12</v>
      </c>
    </row>
    <row r="6966" spans="1:8" x14ac:dyDescent="0.25">
      <c r="A6966" s="1">
        <v>45663.166666666664</v>
      </c>
      <c r="B6966" t="s">
        <v>36</v>
      </c>
      <c r="C6966">
        <v>349.85</v>
      </c>
      <c r="D6966">
        <v>29.08</v>
      </c>
      <c r="E6966" t="s">
        <v>9</v>
      </c>
      <c r="F6966">
        <v>69.69</v>
      </c>
      <c r="G6966" t="s">
        <v>16</v>
      </c>
      <c r="H6966" t="s">
        <v>11</v>
      </c>
    </row>
    <row r="6967" spans="1:8" x14ac:dyDescent="0.25">
      <c r="A6967" s="1">
        <v>45663.208333333336</v>
      </c>
      <c r="B6967" t="s">
        <v>36</v>
      </c>
      <c r="C6967">
        <v>495.13</v>
      </c>
      <c r="D6967">
        <v>29.8</v>
      </c>
      <c r="E6967" t="s">
        <v>9</v>
      </c>
      <c r="F6967">
        <v>78.34</v>
      </c>
      <c r="G6967" t="s">
        <v>16</v>
      </c>
      <c r="H6967" t="s">
        <v>13</v>
      </c>
    </row>
    <row r="6968" spans="1:8" x14ac:dyDescent="0.25">
      <c r="A6968" s="1">
        <v>45663.25</v>
      </c>
      <c r="B6968" t="s">
        <v>36</v>
      </c>
      <c r="C6968">
        <v>209.05</v>
      </c>
      <c r="D6968">
        <v>33.75</v>
      </c>
      <c r="E6968" t="s">
        <v>9</v>
      </c>
      <c r="F6968">
        <v>88.61</v>
      </c>
      <c r="G6968" t="s">
        <v>16</v>
      </c>
      <c r="H6968" t="s">
        <v>12</v>
      </c>
    </row>
    <row r="6969" spans="1:8" x14ac:dyDescent="0.25">
      <c r="A6969" s="1">
        <v>45663.291666666664</v>
      </c>
      <c r="B6969" t="s">
        <v>36</v>
      </c>
      <c r="C6969">
        <v>481.03</v>
      </c>
      <c r="D6969">
        <v>22.62</v>
      </c>
      <c r="E6969" t="s">
        <v>9</v>
      </c>
      <c r="F6969">
        <v>80.8</v>
      </c>
      <c r="G6969" t="s">
        <v>16</v>
      </c>
      <c r="H6969" t="s">
        <v>12</v>
      </c>
    </row>
    <row r="6970" spans="1:8" x14ac:dyDescent="0.25">
      <c r="A6970" s="1">
        <v>45663.333333333336</v>
      </c>
      <c r="B6970" t="s">
        <v>36</v>
      </c>
      <c r="C6970">
        <v>190.05</v>
      </c>
      <c r="D6970">
        <v>29.17</v>
      </c>
      <c r="E6970" t="s">
        <v>9</v>
      </c>
      <c r="F6970">
        <v>71.58</v>
      </c>
      <c r="G6970" t="s">
        <v>16</v>
      </c>
      <c r="H6970" t="s">
        <v>12</v>
      </c>
    </row>
    <row r="6971" spans="1:8" x14ac:dyDescent="0.25">
      <c r="A6971" s="1">
        <v>45663.375</v>
      </c>
      <c r="B6971" t="s">
        <v>36</v>
      </c>
      <c r="C6971">
        <v>233.97</v>
      </c>
      <c r="D6971">
        <v>72.81</v>
      </c>
      <c r="E6971" t="s">
        <v>9</v>
      </c>
      <c r="F6971">
        <v>35.94</v>
      </c>
      <c r="G6971" t="s">
        <v>16</v>
      </c>
      <c r="H6971" t="s">
        <v>13</v>
      </c>
    </row>
    <row r="6972" spans="1:8" x14ac:dyDescent="0.25">
      <c r="A6972" s="1">
        <v>45663.416666666664</v>
      </c>
      <c r="B6972" t="s">
        <v>36</v>
      </c>
      <c r="C6972">
        <v>113.26</v>
      </c>
      <c r="D6972">
        <v>74.069999999999993</v>
      </c>
      <c r="E6972" t="s">
        <v>9</v>
      </c>
      <c r="F6972">
        <v>36.200000000000003</v>
      </c>
      <c r="G6972" t="s">
        <v>16</v>
      </c>
      <c r="H6972" t="s">
        <v>12</v>
      </c>
    </row>
    <row r="6973" spans="1:8" x14ac:dyDescent="0.25">
      <c r="A6973" s="1">
        <v>45663.458333333336</v>
      </c>
      <c r="B6973" t="s">
        <v>36</v>
      </c>
      <c r="C6973">
        <v>102.72</v>
      </c>
      <c r="D6973">
        <v>35.83</v>
      </c>
      <c r="E6973" t="s">
        <v>9</v>
      </c>
      <c r="F6973">
        <v>54.24</v>
      </c>
      <c r="G6973" t="s">
        <v>16</v>
      </c>
      <c r="H6973" t="s">
        <v>13</v>
      </c>
    </row>
    <row r="6974" spans="1:8" x14ac:dyDescent="0.25">
      <c r="A6974" s="1">
        <v>45663.5</v>
      </c>
      <c r="B6974" t="s">
        <v>36</v>
      </c>
      <c r="C6974">
        <v>344.01</v>
      </c>
      <c r="D6974">
        <v>44.83</v>
      </c>
      <c r="E6974" t="s">
        <v>9</v>
      </c>
      <c r="F6974">
        <v>54.05</v>
      </c>
      <c r="G6974" t="s">
        <v>16</v>
      </c>
      <c r="H6974" t="s">
        <v>12</v>
      </c>
    </row>
    <row r="6975" spans="1:8" x14ac:dyDescent="0.25">
      <c r="A6975" s="1">
        <v>45663.541666666664</v>
      </c>
      <c r="B6975" t="s">
        <v>36</v>
      </c>
      <c r="C6975">
        <v>398.16</v>
      </c>
      <c r="D6975">
        <v>52.12</v>
      </c>
      <c r="E6975" t="s">
        <v>9</v>
      </c>
      <c r="F6975">
        <v>61.43</v>
      </c>
      <c r="G6975" t="s">
        <v>16</v>
      </c>
      <c r="H6975" t="s">
        <v>12</v>
      </c>
    </row>
    <row r="6976" spans="1:8" x14ac:dyDescent="0.25">
      <c r="A6976" s="1">
        <v>45663.583333333336</v>
      </c>
      <c r="B6976" t="s">
        <v>36</v>
      </c>
      <c r="C6976">
        <v>255.7</v>
      </c>
      <c r="D6976">
        <v>17.440000000000001</v>
      </c>
      <c r="E6976" t="s">
        <v>9</v>
      </c>
      <c r="F6976">
        <v>45.47</v>
      </c>
      <c r="G6976" t="s">
        <v>16</v>
      </c>
      <c r="H6976" t="s">
        <v>13</v>
      </c>
    </row>
    <row r="6977" spans="1:8" x14ac:dyDescent="0.25">
      <c r="A6977" s="1">
        <v>45663.625</v>
      </c>
      <c r="B6977" t="s">
        <v>36</v>
      </c>
      <c r="C6977">
        <v>157.15</v>
      </c>
      <c r="D6977">
        <v>19.420000000000002</v>
      </c>
      <c r="E6977" t="s">
        <v>9</v>
      </c>
      <c r="F6977">
        <v>33.979999999999997</v>
      </c>
      <c r="G6977" t="s">
        <v>16</v>
      </c>
      <c r="H6977" t="s">
        <v>12</v>
      </c>
    </row>
    <row r="6978" spans="1:8" x14ac:dyDescent="0.25">
      <c r="A6978" s="1">
        <v>45663.666666666664</v>
      </c>
      <c r="B6978" t="s">
        <v>36</v>
      </c>
      <c r="C6978">
        <v>361.38</v>
      </c>
      <c r="D6978">
        <v>17.940000000000001</v>
      </c>
      <c r="E6978" t="s">
        <v>9</v>
      </c>
      <c r="F6978">
        <v>75.06</v>
      </c>
      <c r="G6978" t="s">
        <v>16</v>
      </c>
      <c r="H6978" t="s">
        <v>13</v>
      </c>
    </row>
    <row r="6979" spans="1:8" x14ac:dyDescent="0.25">
      <c r="A6979" s="1">
        <v>45663.708333333336</v>
      </c>
      <c r="B6979" t="s">
        <v>36</v>
      </c>
      <c r="C6979">
        <v>204.23</v>
      </c>
      <c r="D6979">
        <v>24.69</v>
      </c>
      <c r="E6979" t="s">
        <v>9</v>
      </c>
      <c r="F6979">
        <v>64.53</v>
      </c>
      <c r="G6979" t="s">
        <v>16</v>
      </c>
      <c r="H6979" t="s">
        <v>11</v>
      </c>
    </row>
    <row r="6980" spans="1:8" x14ac:dyDescent="0.25">
      <c r="A6980" s="1">
        <v>45663.75</v>
      </c>
      <c r="B6980" t="s">
        <v>36</v>
      </c>
      <c r="C6980">
        <v>148.12</v>
      </c>
      <c r="D6980">
        <v>75.94</v>
      </c>
      <c r="E6980" t="s">
        <v>9</v>
      </c>
      <c r="F6980">
        <v>48.73</v>
      </c>
      <c r="G6980" t="s">
        <v>16</v>
      </c>
      <c r="H6980" t="s">
        <v>13</v>
      </c>
    </row>
    <row r="6981" spans="1:8" x14ac:dyDescent="0.25">
      <c r="A6981" s="1">
        <v>45663.791666666664</v>
      </c>
      <c r="B6981" t="s">
        <v>36</v>
      </c>
      <c r="C6981">
        <v>174.23</v>
      </c>
      <c r="D6981">
        <v>55.2</v>
      </c>
      <c r="E6981" t="s">
        <v>9</v>
      </c>
      <c r="F6981">
        <v>45.12</v>
      </c>
      <c r="G6981" t="s">
        <v>16</v>
      </c>
      <c r="H6981" t="s">
        <v>12</v>
      </c>
    </row>
    <row r="6982" spans="1:8" x14ac:dyDescent="0.25">
      <c r="A6982" s="1">
        <v>45663.833333333336</v>
      </c>
      <c r="B6982" t="s">
        <v>36</v>
      </c>
      <c r="C6982">
        <v>116.45</v>
      </c>
      <c r="D6982">
        <v>62.17</v>
      </c>
      <c r="E6982" t="s">
        <v>9</v>
      </c>
      <c r="F6982">
        <v>44.32</v>
      </c>
      <c r="G6982" t="s">
        <v>16</v>
      </c>
      <c r="H6982" t="s">
        <v>12</v>
      </c>
    </row>
    <row r="6983" spans="1:8" x14ac:dyDescent="0.25">
      <c r="A6983" s="1">
        <v>45663.875</v>
      </c>
      <c r="B6983" t="s">
        <v>36</v>
      </c>
      <c r="C6983">
        <v>178.05</v>
      </c>
      <c r="D6983">
        <v>31.08</v>
      </c>
      <c r="E6983" t="s">
        <v>9</v>
      </c>
      <c r="F6983">
        <v>33.409999999999997</v>
      </c>
      <c r="G6983" t="s">
        <v>16</v>
      </c>
      <c r="H6983" t="s">
        <v>13</v>
      </c>
    </row>
    <row r="6984" spans="1:8" x14ac:dyDescent="0.25">
      <c r="A6984" s="1">
        <v>45663.916666666664</v>
      </c>
      <c r="B6984" t="s">
        <v>36</v>
      </c>
      <c r="C6984">
        <v>440.02</v>
      </c>
      <c r="D6984">
        <v>62.98</v>
      </c>
      <c r="E6984" t="s">
        <v>9</v>
      </c>
      <c r="F6984">
        <v>53.61</v>
      </c>
      <c r="G6984" t="s">
        <v>16</v>
      </c>
      <c r="H6984" t="s">
        <v>11</v>
      </c>
    </row>
    <row r="6985" spans="1:8" x14ac:dyDescent="0.25">
      <c r="A6985" s="1">
        <v>45663.958333333336</v>
      </c>
      <c r="B6985" t="s">
        <v>36</v>
      </c>
      <c r="C6985">
        <v>499.42</v>
      </c>
      <c r="D6985">
        <v>79.290000000000006</v>
      </c>
      <c r="E6985" t="s">
        <v>9</v>
      </c>
      <c r="F6985">
        <v>50.99</v>
      </c>
      <c r="G6985" t="s">
        <v>16</v>
      </c>
      <c r="H6985" t="s">
        <v>12</v>
      </c>
    </row>
    <row r="6986" spans="1:8" x14ac:dyDescent="0.25">
      <c r="A6986" s="1">
        <v>45664</v>
      </c>
      <c r="B6986" t="s">
        <v>36</v>
      </c>
      <c r="C6986">
        <v>356.28</v>
      </c>
      <c r="D6986">
        <v>85.01</v>
      </c>
      <c r="E6986" t="s">
        <v>14</v>
      </c>
      <c r="F6986">
        <v>77.459999999999994</v>
      </c>
      <c r="G6986" t="s">
        <v>16</v>
      </c>
      <c r="H6986" t="s">
        <v>11</v>
      </c>
    </row>
    <row r="6987" spans="1:8" x14ac:dyDescent="0.25">
      <c r="A6987" s="1">
        <v>45664.041666666664</v>
      </c>
      <c r="B6987" t="s">
        <v>36</v>
      </c>
      <c r="C6987">
        <v>372.64</v>
      </c>
      <c r="D6987">
        <v>47.12</v>
      </c>
      <c r="E6987" t="s">
        <v>9</v>
      </c>
      <c r="F6987">
        <v>80.75</v>
      </c>
      <c r="G6987" t="s">
        <v>16</v>
      </c>
      <c r="H6987" t="s">
        <v>12</v>
      </c>
    </row>
    <row r="6988" spans="1:8" x14ac:dyDescent="0.25">
      <c r="A6988" s="1">
        <v>45664.083333333336</v>
      </c>
      <c r="B6988" t="s">
        <v>36</v>
      </c>
      <c r="C6988">
        <v>312.93</v>
      </c>
      <c r="D6988">
        <v>87.37</v>
      </c>
      <c r="E6988" t="s">
        <v>14</v>
      </c>
      <c r="F6988">
        <v>84.69</v>
      </c>
      <c r="G6988" t="s">
        <v>16</v>
      </c>
      <c r="H6988" t="s">
        <v>13</v>
      </c>
    </row>
    <row r="6989" spans="1:8" x14ac:dyDescent="0.25">
      <c r="A6989" s="1">
        <v>45664.125</v>
      </c>
      <c r="B6989" t="s">
        <v>36</v>
      </c>
      <c r="C6989">
        <v>306.99</v>
      </c>
      <c r="D6989">
        <v>23.77</v>
      </c>
      <c r="E6989" t="s">
        <v>9</v>
      </c>
      <c r="F6989">
        <v>42.03</v>
      </c>
      <c r="G6989" t="s">
        <v>16</v>
      </c>
      <c r="H6989" t="s">
        <v>13</v>
      </c>
    </row>
    <row r="6990" spans="1:8" x14ac:dyDescent="0.25">
      <c r="A6990" s="1">
        <v>45664.166666666664</v>
      </c>
      <c r="B6990" t="s">
        <v>36</v>
      </c>
      <c r="C6990">
        <v>452.27</v>
      </c>
      <c r="D6990">
        <v>26.08</v>
      </c>
      <c r="E6990" t="s">
        <v>9</v>
      </c>
      <c r="F6990">
        <v>69.739999999999995</v>
      </c>
      <c r="G6990" t="s">
        <v>16</v>
      </c>
      <c r="H6990" t="s">
        <v>11</v>
      </c>
    </row>
    <row r="6991" spans="1:8" x14ac:dyDescent="0.25">
      <c r="A6991" s="1">
        <v>45664.208333333336</v>
      </c>
      <c r="B6991" t="s">
        <v>36</v>
      </c>
      <c r="C6991">
        <v>399.6</v>
      </c>
      <c r="D6991">
        <v>58.68</v>
      </c>
      <c r="E6991" t="s">
        <v>9</v>
      </c>
      <c r="F6991">
        <v>33.57</v>
      </c>
      <c r="G6991" t="s">
        <v>16</v>
      </c>
      <c r="H6991" t="s">
        <v>13</v>
      </c>
    </row>
    <row r="6992" spans="1:8" x14ac:dyDescent="0.25">
      <c r="A6992" s="1">
        <v>45664.25</v>
      </c>
      <c r="B6992" t="s">
        <v>36</v>
      </c>
      <c r="C6992">
        <v>222.42</v>
      </c>
      <c r="D6992">
        <v>39.94</v>
      </c>
      <c r="E6992" t="s">
        <v>9</v>
      </c>
      <c r="F6992">
        <v>89.5</v>
      </c>
      <c r="G6992" t="s">
        <v>16</v>
      </c>
      <c r="H6992" t="s">
        <v>12</v>
      </c>
    </row>
    <row r="6993" spans="1:8" x14ac:dyDescent="0.25">
      <c r="A6993" s="1">
        <v>45664.291666666664</v>
      </c>
      <c r="B6993" t="s">
        <v>36</v>
      </c>
      <c r="C6993">
        <v>139.47999999999999</v>
      </c>
      <c r="D6993">
        <v>35.1</v>
      </c>
      <c r="E6993" t="s">
        <v>9</v>
      </c>
      <c r="F6993">
        <v>47.19</v>
      </c>
      <c r="G6993" t="s">
        <v>16</v>
      </c>
      <c r="H6993" t="s">
        <v>11</v>
      </c>
    </row>
    <row r="6994" spans="1:8" x14ac:dyDescent="0.25">
      <c r="A6994" s="1">
        <v>45664.333333333336</v>
      </c>
      <c r="B6994" t="s">
        <v>36</v>
      </c>
      <c r="C6994">
        <v>388.43</v>
      </c>
      <c r="D6994">
        <v>67.23</v>
      </c>
      <c r="E6994" t="s">
        <v>9</v>
      </c>
      <c r="F6994">
        <v>89.86</v>
      </c>
      <c r="G6994" t="s">
        <v>16</v>
      </c>
      <c r="H6994" t="s">
        <v>11</v>
      </c>
    </row>
    <row r="6995" spans="1:8" x14ac:dyDescent="0.25">
      <c r="A6995" s="1">
        <v>45664.375</v>
      </c>
      <c r="B6995" t="s">
        <v>36</v>
      </c>
      <c r="C6995">
        <v>367.79</v>
      </c>
      <c r="D6995">
        <v>78.62</v>
      </c>
      <c r="E6995" t="s">
        <v>9</v>
      </c>
      <c r="F6995">
        <v>52.56</v>
      </c>
      <c r="G6995" t="s">
        <v>16</v>
      </c>
      <c r="H6995" t="s">
        <v>12</v>
      </c>
    </row>
    <row r="6996" spans="1:8" x14ac:dyDescent="0.25">
      <c r="A6996" s="1">
        <v>45664.416666666664</v>
      </c>
      <c r="B6996" t="s">
        <v>36</v>
      </c>
      <c r="C6996">
        <v>273.45999999999998</v>
      </c>
      <c r="D6996">
        <v>58.3</v>
      </c>
      <c r="E6996" t="s">
        <v>9</v>
      </c>
      <c r="F6996">
        <v>87.21</v>
      </c>
      <c r="G6996" t="s">
        <v>16</v>
      </c>
      <c r="H6996" t="s">
        <v>11</v>
      </c>
    </row>
    <row r="6997" spans="1:8" x14ac:dyDescent="0.25">
      <c r="A6997" s="1">
        <v>45664.458333333336</v>
      </c>
      <c r="B6997" t="s">
        <v>36</v>
      </c>
      <c r="C6997">
        <v>108.16</v>
      </c>
      <c r="D6997">
        <v>17.350000000000001</v>
      </c>
      <c r="E6997" t="s">
        <v>9</v>
      </c>
      <c r="F6997">
        <v>70.819999999999993</v>
      </c>
      <c r="G6997" t="s">
        <v>16</v>
      </c>
      <c r="H6997" t="s">
        <v>12</v>
      </c>
    </row>
    <row r="6998" spans="1:8" x14ac:dyDescent="0.25">
      <c r="A6998" s="1">
        <v>45664.5</v>
      </c>
      <c r="B6998" t="s">
        <v>36</v>
      </c>
      <c r="C6998">
        <v>165.97</v>
      </c>
      <c r="D6998">
        <v>80.44</v>
      </c>
      <c r="E6998" t="s">
        <v>9</v>
      </c>
      <c r="F6998">
        <v>46.68</v>
      </c>
      <c r="G6998" t="s">
        <v>16</v>
      </c>
      <c r="H6998" t="s">
        <v>13</v>
      </c>
    </row>
    <row r="6999" spans="1:8" x14ac:dyDescent="0.25">
      <c r="A6999" s="1">
        <v>45664.541666666664</v>
      </c>
      <c r="B6999" t="s">
        <v>36</v>
      </c>
      <c r="C6999">
        <v>245.75</v>
      </c>
      <c r="D6999">
        <v>56.07</v>
      </c>
      <c r="E6999" t="s">
        <v>9</v>
      </c>
      <c r="F6999">
        <v>89.54</v>
      </c>
      <c r="G6999" t="s">
        <v>16</v>
      </c>
      <c r="H6999" t="s">
        <v>13</v>
      </c>
    </row>
    <row r="7000" spans="1:8" x14ac:dyDescent="0.25">
      <c r="A7000" s="1">
        <v>45664.583333333336</v>
      </c>
      <c r="B7000" t="s">
        <v>36</v>
      </c>
      <c r="C7000">
        <v>159.24</v>
      </c>
      <c r="D7000">
        <v>60.6</v>
      </c>
      <c r="E7000" t="s">
        <v>9</v>
      </c>
      <c r="F7000">
        <v>42.91</v>
      </c>
      <c r="G7000" t="s">
        <v>16</v>
      </c>
      <c r="H7000" t="s">
        <v>12</v>
      </c>
    </row>
    <row r="7001" spans="1:8" x14ac:dyDescent="0.25">
      <c r="A7001" s="1">
        <v>45664.625</v>
      </c>
      <c r="B7001" t="s">
        <v>36</v>
      </c>
      <c r="C7001">
        <v>275.19</v>
      </c>
      <c r="D7001">
        <v>45.99</v>
      </c>
      <c r="E7001" t="s">
        <v>9</v>
      </c>
      <c r="F7001">
        <v>63.42</v>
      </c>
      <c r="G7001" t="s">
        <v>16</v>
      </c>
      <c r="H7001" t="s">
        <v>11</v>
      </c>
    </row>
    <row r="7002" spans="1:8" x14ac:dyDescent="0.25">
      <c r="A7002" s="1">
        <v>45664.666666666664</v>
      </c>
      <c r="B7002" t="s">
        <v>36</v>
      </c>
      <c r="C7002">
        <v>341.73</v>
      </c>
      <c r="D7002">
        <v>89.62</v>
      </c>
      <c r="E7002" t="s">
        <v>14</v>
      </c>
      <c r="F7002">
        <v>67.53</v>
      </c>
      <c r="G7002" t="s">
        <v>16</v>
      </c>
      <c r="H7002" t="s">
        <v>11</v>
      </c>
    </row>
    <row r="7003" spans="1:8" x14ac:dyDescent="0.25">
      <c r="A7003" s="1">
        <v>45664.708333333336</v>
      </c>
      <c r="B7003" t="s">
        <v>36</v>
      </c>
      <c r="C7003">
        <v>353.05</v>
      </c>
      <c r="D7003">
        <v>81.180000000000007</v>
      </c>
      <c r="E7003" t="s">
        <v>9</v>
      </c>
      <c r="F7003">
        <v>82.49</v>
      </c>
      <c r="G7003" t="s">
        <v>16</v>
      </c>
      <c r="H7003" t="s">
        <v>11</v>
      </c>
    </row>
    <row r="7004" spans="1:8" x14ac:dyDescent="0.25">
      <c r="A7004" s="1">
        <v>45664.75</v>
      </c>
      <c r="B7004" t="s">
        <v>36</v>
      </c>
      <c r="C7004">
        <v>359.37</v>
      </c>
      <c r="D7004">
        <v>18.59</v>
      </c>
      <c r="E7004" t="s">
        <v>9</v>
      </c>
      <c r="F7004">
        <v>36.590000000000003</v>
      </c>
      <c r="G7004" t="s">
        <v>16</v>
      </c>
      <c r="H7004" t="s">
        <v>12</v>
      </c>
    </row>
    <row r="7005" spans="1:8" x14ac:dyDescent="0.25">
      <c r="A7005" s="1">
        <v>45664.791666666664</v>
      </c>
      <c r="B7005" t="s">
        <v>36</v>
      </c>
      <c r="C7005">
        <v>430.78</v>
      </c>
      <c r="D7005">
        <v>19.649999999999999</v>
      </c>
      <c r="E7005" t="s">
        <v>9</v>
      </c>
      <c r="F7005">
        <v>62.31</v>
      </c>
      <c r="G7005" t="s">
        <v>16</v>
      </c>
      <c r="H7005" t="s">
        <v>13</v>
      </c>
    </row>
    <row r="7006" spans="1:8" x14ac:dyDescent="0.25">
      <c r="A7006" s="1">
        <v>45664.833333333336</v>
      </c>
      <c r="B7006" t="s">
        <v>36</v>
      </c>
      <c r="C7006">
        <v>398.94</v>
      </c>
      <c r="D7006">
        <v>35.200000000000003</v>
      </c>
      <c r="E7006" t="s">
        <v>9</v>
      </c>
      <c r="F7006">
        <v>56.94</v>
      </c>
      <c r="G7006" t="s">
        <v>16</v>
      </c>
      <c r="H7006" t="s">
        <v>13</v>
      </c>
    </row>
    <row r="7007" spans="1:8" x14ac:dyDescent="0.25">
      <c r="A7007" s="1">
        <v>45664.875</v>
      </c>
      <c r="B7007" t="s">
        <v>36</v>
      </c>
      <c r="C7007">
        <v>355.07</v>
      </c>
      <c r="D7007">
        <v>72.989999999999995</v>
      </c>
      <c r="E7007" t="s">
        <v>9</v>
      </c>
      <c r="F7007">
        <v>51.7</v>
      </c>
      <c r="G7007" t="s">
        <v>16</v>
      </c>
      <c r="H7007" t="s">
        <v>11</v>
      </c>
    </row>
    <row r="7008" spans="1:8" x14ac:dyDescent="0.25">
      <c r="A7008" s="1">
        <v>45664.916666666664</v>
      </c>
      <c r="B7008" t="s">
        <v>36</v>
      </c>
      <c r="C7008">
        <v>388.88</v>
      </c>
      <c r="D7008">
        <v>43.61</v>
      </c>
      <c r="E7008" t="s">
        <v>9</v>
      </c>
      <c r="F7008">
        <v>68.319999999999993</v>
      </c>
      <c r="G7008" t="s">
        <v>16</v>
      </c>
      <c r="H7008" t="s">
        <v>12</v>
      </c>
    </row>
    <row r="7009" spans="1:8" x14ac:dyDescent="0.25">
      <c r="A7009" s="1">
        <v>45664.958333333336</v>
      </c>
      <c r="B7009" t="s">
        <v>36</v>
      </c>
      <c r="C7009">
        <v>154.54</v>
      </c>
      <c r="D7009">
        <v>21.6</v>
      </c>
      <c r="E7009" t="s">
        <v>9</v>
      </c>
      <c r="F7009">
        <v>45.78</v>
      </c>
      <c r="G7009" t="s">
        <v>16</v>
      </c>
      <c r="H7009" t="s">
        <v>11</v>
      </c>
    </row>
    <row r="7010" spans="1:8" x14ac:dyDescent="0.25">
      <c r="A7010" s="1">
        <v>45665</v>
      </c>
      <c r="B7010" t="s">
        <v>36</v>
      </c>
      <c r="C7010">
        <v>126.36</v>
      </c>
      <c r="D7010">
        <v>41.07</v>
      </c>
      <c r="E7010" t="s">
        <v>9</v>
      </c>
      <c r="F7010">
        <v>54.84</v>
      </c>
      <c r="G7010" t="s">
        <v>16</v>
      </c>
      <c r="H7010" t="s">
        <v>13</v>
      </c>
    </row>
    <row r="7011" spans="1:8" x14ac:dyDescent="0.25">
      <c r="A7011" s="1">
        <v>45665.041666666664</v>
      </c>
      <c r="B7011" t="s">
        <v>36</v>
      </c>
      <c r="C7011">
        <v>138.03</v>
      </c>
      <c r="D7011">
        <v>92.71</v>
      </c>
      <c r="E7011" t="s">
        <v>14</v>
      </c>
      <c r="F7011">
        <v>78.61</v>
      </c>
      <c r="G7011" t="s">
        <v>16</v>
      </c>
      <c r="H7011" t="s">
        <v>13</v>
      </c>
    </row>
    <row r="7012" spans="1:8" x14ac:dyDescent="0.25">
      <c r="A7012" s="1">
        <v>45665.083333333336</v>
      </c>
      <c r="B7012" t="s">
        <v>36</v>
      </c>
      <c r="C7012">
        <v>161.82</v>
      </c>
      <c r="D7012">
        <v>63.1</v>
      </c>
      <c r="E7012" t="s">
        <v>9</v>
      </c>
      <c r="F7012">
        <v>36.979999999999997</v>
      </c>
      <c r="G7012" t="s">
        <v>16</v>
      </c>
      <c r="H7012" t="s">
        <v>11</v>
      </c>
    </row>
    <row r="7013" spans="1:8" x14ac:dyDescent="0.25">
      <c r="A7013" s="1">
        <v>45665.125</v>
      </c>
      <c r="B7013" t="s">
        <v>36</v>
      </c>
      <c r="C7013">
        <v>247.02</v>
      </c>
      <c r="D7013">
        <v>55.35</v>
      </c>
      <c r="E7013" t="s">
        <v>9</v>
      </c>
      <c r="F7013">
        <v>85.95</v>
      </c>
      <c r="G7013" t="s">
        <v>16</v>
      </c>
      <c r="H7013" t="s">
        <v>13</v>
      </c>
    </row>
    <row r="7014" spans="1:8" x14ac:dyDescent="0.25">
      <c r="A7014" s="1">
        <v>45665.166666666664</v>
      </c>
      <c r="B7014" t="s">
        <v>36</v>
      </c>
      <c r="C7014">
        <v>73.02</v>
      </c>
      <c r="D7014">
        <v>82.27</v>
      </c>
      <c r="E7014" t="s">
        <v>9</v>
      </c>
      <c r="F7014">
        <v>68.430000000000007</v>
      </c>
      <c r="G7014" t="s">
        <v>16</v>
      </c>
      <c r="H7014" t="s">
        <v>13</v>
      </c>
    </row>
    <row r="7015" spans="1:8" x14ac:dyDescent="0.25">
      <c r="A7015" s="1">
        <v>45665.208333333336</v>
      </c>
      <c r="B7015" t="s">
        <v>36</v>
      </c>
      <c r="C7015">
        <v>416.69</v>
      </c>
      <c r="D7015">
        <v>20.12</v>
      </c>
      <c r="E7015" t="s">
        <v>9</v>
      </c>
      <c r="F7015">
        <v>67.27</v>
      </c>
      <c r="G7015" t="s">
        <v>16</v>
      </c>
      <c r="H7015" t="s">
        <v>12</v>
      </c>
    </row>
    <row r="7016" spans="1:8" x14ac:dyDescent="0.25">
      <c r="A7016" s="1">
        <v>45665.25</v>
      </c>
      <c r="B7016" t="s">
        <v>36</v>
      </c>
      <c r="C7016">
        <v>274.25</v>
      </c>
      <c r="D7016">
        <v>56.68</v>
      </c>
      <c r="E7016" t="s">
        <v>9</v>
      </c>
      <c r="F7016">
        <v>53.81</v>
      </c>
      <c r="G7016" t="s">
        <v>16</v>
      </c>
      <c r="H7016" t="s">
        <v>12</v>
      </c>
    </row>
    <row r="7017" spans="1:8" x14ac:dyDescent="0.25">
      <c r="A7017" s="1">
        <v>45665.291666666664</v>
      </c>
      <c r="B7017" t="s">
        <v>36</v>
      </c>
      <c r="C7017">
        <v>61.29</v>
      </c>
      <c r="D7017">
        <v>33.04</v>
      </c>
      <c r="E7017" t="s">
        <v>9</v>
      </c>
      <c r="F7017">
        <v>49.98</v>
      </c>
      <c r="G7017" t="s">
        <v>16</v>
      </c>
      <c r="H7017" t="s">
        <v>12</v>
      </c>
    </row>
    <row r="7018" spans="1:8" x14ac:dyDescent="0.25">
      <c r="A7018" s="1">
        <v>45665.333333333336</v>
      </c>
      <c r="B7018" t="s">
        <v>36</v>
      </c>
      <c r="C7018">
        <v>175.65</v>
      </c>
      <c r="D7018">
        <v>28.54</v>
      </c>
      <c r="E7018" t="s">
        <v>9</v>
      </c>
      <c r="F7018">
        <v>34.380000000000003</v>
      </c>
      <c r="G7018" t="s">
        <v>16</v>
      </c>
      <c r="H7018" t="s">
        <v>13</v>
      </c>
    </row>
    <row r="7019" spans="1:8" x14ac:dyDescent="0.25">
      <c r="A7019" s="1">
        <v>45665.375</v>
      </c>
      <c r="B7019" t="s">
        <v>36</v>
      </c>
      <c r="C7019">
        <v>306.01</v>
      </c>
      <c r="D7019">
        <v>57.2</v>
      </c>
      <c r="E7019" t="s">
        <v>9</v>
      </c>
      <c r="F7019">
        <v>89.14</v>
      </c>
      <c r="G7019" t="s">
        <v>16</v>
      </c>
      <c r="H7019" t="s">
        <v>12</v>
      </c>
    </row>
    <row r="7020" spans="1:8" x14ac:dyDescent="0.25">
      <c r="A7020" s="1">
        <v>45665.416666666664</v>
      </c>
      <c r="B7020" t="s">
        <v>36</v>
      </c>
      <c r="C7020">
        <v>460.89</v>
      </c>
      <c r="D7020">
        <v>84.31</v>
      </c>
      <c r="E7020" t="s">
        <v>9</v>
      </c>
      <c r="F7020">
        <v>83.71</v>
      </c>
      <c r="G7020" t="s">
        <v>16</v>
      </c>
      <c r="H7020" t="s">
        <v>13</v>
      </c>
    </row>
    <row r="7021" spans="1:8" x14ac:dyDescent="0.25">
      <c r="A7021" s="1">
        <v>45665.458333333336</v>
      </c>
      <c r="B7021" t="s">
        <v>36</v>
      </c>
      <c r="C7021">
        <v>173.95</v>
      </c>
      <c r="D7021">
        <v>60.66</v>
      </c>
      <c r="E7021" t="s">
        <v>9</v>
      </c>
      <c r="F7021">
        <v>49.85</v>
      </c>
      <c r="G7021" t="s">
        <v>16</v>
      </c>
      <c r="H7021" t="s">
        <v>11</v>
      </c>
    </row>
    <row r="7022" spans="1:8" x14ac:dyDescent="0.25">
      <c r="A7022" s="1">
        <v>45665.5</v>
      </c>
      <c r="B7022" t="s">
        <v>36</v>
      </c>
      <c r="C7022">
        <v>190.21</v>
      </c>
      <c r="D7022">
        <v>87.85</v>
      </c>
      <c r="E7022" t="s">
        <v>14</v>
      </c>
      <c r="F7022">
        <v>54.16</v>
      </c>
      <c r="G7022" t="s">
        <v>16</v>
      </c>
      <c r="H7022" t="s">
        <v>13</v>
      </c>
    </row>
    <row r="7023" spans="1:8" x14ac:dyDescent="0.25">
      <c r="A7023" s="1">
        <v>45665.541666666664</v>
      </c>
      <c r="B7023" t="s">
        <v>36</v>
      </c>
      <c r="C7023">
        <v>102.55</v>
      </c>
      <c r="D7023">
        <v>51.67</v>
      </c>
      <c r="E7023" t="s">
        <v>9</v>
      </c>
      <c r="F7023">
        <v>73.59</v>
      </c>
      <c r="G7023" t="s">
        <v>16</v>
      </c>
      <c r="H7023" t="s">
        <v>13</v>
      </c>
    </row>
    <row r="7024" spans="1:8" x14ac:dyDescent="0.25">
      <c r="A7024" s="1">
        <v>45665.583333333336</v>
      </c>
      <c r="B7024" t="s">
        <v>36</v>
      </c>
      <c r="C7024">
        <v>210.17</v>
      </c>
      <c r="D7024">
        <v>78.209999999999994</v>
      </c>
      <c r="E7024" t="s">
        <v>9</v>
      </c>
      <c r="F7024">
        <v>68.02</v>
      </c>
      <c r="G7024" t="s">
        <v>16</v>
      </c>
      <c r="H7024" t="s">
        <v>12</v>
      </c>
    </row>
    <row r="7025" spans="1:8" x14ac:dyDescent="0.25">
      <c r="A7025" s="1">
        <v>45665.625</v>
      </c>
      <c r="B7025" t="s">
        <v>36</v>
      </c>
      <c r="C7025">
        <v>134.9</v>
      </c>
      <c r="D7025">
        <v>92.95</v>
      </c>
      <c r="E7025" t="s">
        <v>14</v>
      </c>
      <c r="F7025">
        <v>50.7</v>
      </c>
      <c r="G7025" t="s">
        <v>16</v>
      </c>
      <c r="H7025" t="s">
        <v>13</v>
      </c>
    </row>
    <row r="7026" spans="1:8" x14ac:dyDescent="0.25">
      <c r="A7026" s="1">
        <v>45665.666666666664</v>
      </c>
      <c r="B7026" t="s">
        <v>36</v>
      </c>
      <c r="C7026">
        <v>138.74</v>
      </c>
      <c r="D7026">
        <v>74.790000000000006</v>
      </c>
      <c r="E7026" t="s">
        <v>9</v>
      </c>
      <c r="F7026">
        <v>40.42</v>
      </c>
      <c r="G7026" t="s">
        <v>16</v>
      </c>
      <c r="H7026" t="s">
        <v>11</v>
      </c>
    </row>
    <row r="7027" spans="1:8" x14ac:dyDescent="0.25">
      <c r="A7027" s="1">
        <v>45665.708333333336</v>
      </c>
      <c r="B7027" t="s">
        <v>36</v>
      </c>
      <c r="C7027">
        <v>396.88</v>
      </c>
      <c r="D7027">
        <v>32.58</v>
      </c>
      <c r="E7027" t="s">
        <v>9</v>
      </c>
      <c r="F7027">
        <v>61.27</v>
      </c>
      <c r="G7027" t="s">
        <v>16</v>
      </c>
      <c r="H7027" t="s">
        <v>12</v>
      </c>
    </row>
    <row r="7028" spans="1:8" x14ac:dyDescent="0.25">
      <c r="A7028" s="1">
        <v>45665.75</v>
      </c>
      <c r="B7028" t="s">
        <v>36</v>
      </c>
      <c r="C7028">
        <v>206.77</v>
      </c>
      <c r="D7028">
        <v>90.61</v>
      </c>
      <c r="E7028" t="s">
        <v>14</v>
      </c>
      <c r="F7028">
        <v>47.1</v>
      </c>
      <c r="G7028" t="s">
        <v>16</v>
      </c>
      <c r="H7028" t="s">
        <v>12</v>
      </c>
    </row>
    <row r="7029" spans="1:8" x14ac:dyDescent="0.25">
      <c r="A7029" s="1">
        <v>45665.791666666664</v>
      </c>
      <c r="B7029" t="s">
        <v>36</v>
      </c>
      <c r="C7029">
        <v>349.38</v>
      </c>
      <c r="D7029">
        <v>94.3</v>
      </c>
      <c r="E7029" t="s">
        <v>14</v>
      </c>
      <c r="F7029">
        <v>45.29</v>
      </c>
      <c r="G7029" t="s">
        <v>16</v>
      </c>
      <c r="H7029" t="s">
        <v>13</v>
      </c>
    </row>
    <row r="7030" spans="1:8" x14ac:dyDescent="0.25">
      <c r="A7030" s="1">
        <v>45665.833333333336</v>
      </c>
      <c r="B7030" t="s">
        <v>36</v>
      </c>
      <c r="C7030">
        <v>154.19999999999999</v>
      </c>
      <c r="D7030">
        <v>58.57</v>
      </c>
      <c r="E7030" t="s">
        <v>9</v>
      </c>
      <c r="F7030">
        <v>53.18</v>
      </c>
      <c r="G7030" t="s">
        <v>16</v>
      </c>
      <c r="H7030" t="s">
        <v>11</v>
      </c>
    </row>
    <row r="7031" spans="1:8" x14ac:dyDescent="0.25">
      <c r="A7031" s="1">
        <v>45665.875</v>
      </c>
      <c r="B7031" t="s">
        <v>36</v>
      </c>
      <c r="C7031">
        <v>376.12</v>
      </c>
      <c r="D7031">
        <v>25.92</v>
      </c>
      <c r="E7031" t="s">
        <v>9</v>
      </c>
      <c r="F7031">
        <v>75.430000000000007</v>
      </c>
      <c r="G7031" t="s">
        <v>16</v>
      </c>
      <c r="H7031" t="s">
        <v>13</v>
      </c>
    </row>
    <row r="7032" spans="1:8" x14ac:dyDescent="0.25">
      <c r="A7032" s="1">
        <v>45665.916666666664</v>
      </c>
      <c r="B7032" t="s">
        <v>36</v>
      </c>
      <c r="C7032">
        <v>495.16</v>
      </c>
      <c r="D7032">
        <v>22.23</v>
      </c>
      <c r="E7032" t="s">
        <v>9</v>
      </c>
      <c r="F7032">
        <v>80.06</v>
      </c>
      <c r="G7032" t="s">
        <v>16</v>
      </c>
      <c r="H7032" t="s">
        <v>11</v>
      </c>
    </row>
    <row r="7033" spans="1:8" x14ac:dyDescent="0.25">
      <c r="A7033" s="1">
        <v>45665.958333333336</v>
      </c>
      <c r="B7033" t="s">
        <v>36</v>
      </c>
      <c r="C7033">
        <v>356.51</v>
      </c>
      <c r="D7033">
        <v>54.18</v>
      </c>
      <c r="E7033" t="s">
        <v>9</v>
      </c>
      <c r="F7033">
        <v>32.89</v>
      </c>
      <c r="G7033" t="s">
        <v>16</v>
      </c>
      <c r="H7033" t="s">
        <v>12</v>
      </c>
    </row>
    <row r="7034" spans="1:8" x14ac:dyDescent="0.25">
      <c r="A7034" s="1">
        <v>45666</v>
      </c>
      <c r="B7034" t="s">
        <v>36</v>
      </c>
      <c r="C7034">
        <v>300.02</v>
      </c>
      <c r="D7034">
        <v>72.72</v>
      </c>
      <c r="E7034" t="s">
        <v>9</v>
      </c>
      <c r="F7034">
        <v>37.56</v>
      </c>
      <c r="G7034" t="s">
        <v>16</v>
      </c>
      <c r="H7034" t="s">
        <v>13</v>
      </c>
    </row>
    <row r="7035" spans="1:8" x14ac:dyDescent="0.25">
      <c r="A7035" s="1">
        <v>45666.041666666664</v>
      </c>
      <c r="B7035" t="s">
        <v>36</v>
      </c>
      <c r="C7035">
        <v>487.9</v>
      </c>
      <c r="D7035">
        <v>71.87</v>
      </c>
      <c r="E7035" t="s">
        <v>9</v>
      </c>
      <c r="F7035">
        <v>58.86</v>
      </c>
      <c r="G7035" t="s">
        <v>16</v>
      </c>
      <c r="H7035" t="s">
        <v>13</v>
      </c>
    </row>
    <row r="7036" spans="1:8" x14ac:dyDescent="0.25">
      <c r="A7036" s="1">
        <v>45666.083333333336</v>
      </c>
      <c r="B7036" t="s">
        <v>36</v>
      </c>
      <c r="C7036">
        <v>140.86000000000001</v>
      </c>
      <c r="D7036">
        <v>80.099999999999994</v>
      </c>
      <c r="E7036" t="s">
        <v>9</v>
      </c>
      <c r="F7036">
        <v>63.61</v>
      </c>
      <c r="G7036" t="s">
        <v>16</v>
      </c>
      <c r="H7036" t="s">
        <v>12</v>
      </c>
    </row>
    <row r="7037" spans="1:8" x14ac:dyDescent="0.25">
      <c r="A7037" s="1">
        <v>45666.125</v>
      </c>
      <c r="B7037" t="s">
        <v>36</v>
      </c>
      <c r="C7037">
        <v>131.44</v>
      </c>
      <c r="D7037">
        <v>76.17</v>
      </c>
      <c r="E7037" t="s">
        <v>9</v>
      </c>
      <c r="F7037">
        <v>88.03</v>
      </c>
      <c r="G7037" t="s">
        <v>16</v>
      </c>
      <c r="H7037" t="s">
        <v>11</v>
      </c>
    </row>
    <row r="7038" spans="1:8" x14ac:dyDescent="0.25">
      <c r="A7038" s="1">
        <v>45666.166666666664</v>
      </c>
      <c r="B7038" t="s">
        <v>36</v>
      </c>
      <c r="C7038">
        <v>336.91</v>
      </c>
      <c r="D7038">
        <v>73.69</v>
      </c>
      <c r="E7038" t="s">
        <v>9</v>
      </c>
      <c r="F7038">
        <v>38.35</v>
      </c>
      <c r="G7038" t="s">
        <v>16</v>
      </c>
      <c r="H7038" t="s">
        <v>11</v>
      </c>
    </row>
    <row r="7039" spans="1:8" x14ac:dyDescent="0.25">
      <c r="A7039" s="1">
        <v>45666.208333333336</v>
      </c>
      <c r="B7039" t="s">
        <v>36</v>
      </c>
      <c r="C7039">
        <v>407.38</v>
      </c>
      <c r="D7039">
        <v>64.040000000000006</v>
      </c>
      <c r="E7039" t="s">
        <v>9</v>
      </c>
      <c r="F7039">
        <v>33.840000000000003</v>
      </c>
      <c r="G7039" t="s">
        <v>16</v>
      </c>
      <c r="H7039" t="s">
        <v>13</v>
      </c>
    </row>
    <row r="7040" spans="1:8" x14ac:dyDescent="0.25">
      <c r="A7040" s="1">
        <v>45666.25</v>
      </c>
      <c r="B7040" t="s">
        <v>36</v>
      </c>
      <c r="C7040">
        <v>283.47000000000003</v>
      </c>
      <c r="D7040">
        <v>39.99</v>
      </c>
      <c r="E7040" t="s">
        <v>9</v>
      </c>
      <c r="F7040">
        <v>47.59</v>
      </c>
      <c r="G7040" t="s">
        <v>16</v>
      </c>
      <c r="H7040" t="s">
        <v>11</v>
      </c>
    </row>
    <row r="7041" spans="1:8" x14ac:dyDescent="0.25">
      <c r="A7041" s="1">
        <v>45666.291666666664</v>
      </c>
      <c r="B7041" t="s">
        <v>36</v>
      </c>
      <c r="C7041">
        <v>80.11</v>
      </c>
      <c r="D7041">
        <v>39.340000000000003</v>
      </c>
      <c r="E7041" t="s">
        <v>9</v>
      </c>
      <c r="F7041">
        <v>69.22</v>
      </c>
      <c r="G7041" t="s">
        <v>16</v>
      </c>
      <c r="H7041" t="s">
        <v>13</v>
      </c>
    </row>
    <row r="7042" spans="1:8" x14ac:dyDescent="0.25">
      <c r="A7042" s="1">
        <v>45666.333333333336</v>
      </c>
      <c r="B7042" t="s">
        <v>36</v>
      </c>
      <c r="C7042">
        <v>264.74</v>
      </c>
      <c r="D7042">
        <v>87.28</v>
      </c>
      <c r="E7042" t="s">
        <v>14</v>
      </c>
      <c r="F7042">
        <v>64.510000000000005</v>
      </c>
      <c r="G7042" t="s">
        <v>16</v>
      </c>
      <c r="H7042" t="s">
        <v>13</v>
      </c>
    </row>
    <row r="7043" spans="1:8" x14ac:dyDescent="0.25">
      <c r="A7043" s="1">
        <v>45666.375</v>
      </c>
      <c r="B7043" t="s">
        <v>36</v>
      </c>
      <c r="C7043">
        <v>207.5</v>
      </c>
      <c r="D7043">
        <v>32.590000000000003</v>
      </c>
      <c r="E7043" t="s">
        <v>9</v>
      </c>
      <c r="F7043">
        <v>61.81</v>
      </c>
      <c r="G7043" t="s">
        <v>16</v>
      </c>
      <c r="H7043" t="s">
        <v>13</v>
      </c>
    </row>
    <row r="7044" spans="1:8" x14ac:dyDescent="0.25">
      <c r="A7044" s="1">
        <v>45666.416666666664</v>
      </c>
      <c r="B7044" t="s">
        <v>36</v>
      </c>
      <c r="C7044">
        <v>425.71</v>
      </c>
      <c r="D7044">
        <v>31.95</v>
      </c>
      <c r="E7044" t="s">
        <v>9</v>
      </c>
      <c r="F7044">
        <v>81.7</v>
      </c>
      <c r="G7044" t="s">
        <v>16</v>
      </c>
      <c r="H7044" t="s">
        <v>12</v>
      </c>
    </row>
    <row r="7045" spans="1:8" x14ac:dyDescent="0.25">
      <c r="A7045" s="1">
        <v>45666.458333333336</v>
      </c>
      <c r="B7045" t="s">
        <v>36</v>
      </c>
      <c r="C7045">
        <v>376.48</v>
      </c>
      <c r="D7045">
        <v>20.46</v>
      </c>
      <c r="E7045" t="s">
        <v>9</v>
      </c>
      <c r="F7045">
        <v>75.97</v>
      </c>
      <c r="G7045" t="s">
        <v>16</v>
      </c>
      <c r="H7045" t="s">
        <v>13</v>
      </c>
    </row>
    <row r="7046" spans="1:8" x14ac:dyDescent="0.25">
      <c r="A7046" s="1">
        <v>45666.5</v>
      </c>
      <c r="B7046" t="s">
        <v>36</v>
      </c>
      <c r="C7046">
        <v>150.81</v>
      </c>
      <c r="D7046">
        <v>71.599999999999994</v>
      </c>
      <c r="E7046" t="s">
        <v>9</v>
      </c>
      <c r="F7046">
        <v>83.79</v>
      </c>
      <c r="G7046" t="s">
        <v>16</v>
      </c>
      <c r="H7046" t="s">
        <v>13</v>
      </c>
    </row>
    <row r="7047" spans="1:8" x14ac:dyDescent="0.25">
      <c r="A7047" s="1">
        <v>45666.541666666664</v>
      </c>
      <c r="B7047" t="s">
        <v>36</v>
      </c>
      <c r="C7047">
        <v>478.74</v>
      </c>
      <c r="D7047">
        <v>75.97</v>
      </c>
      <c r="E7047" t="s">
        <v>9</v>
      </c>
      <c r="F7047">
        <v>89.14</v>
      </c>
      <c r="G7047" t="s">
        <v>16</v>
      </c>
      <c r="H7047" t="s">
        <v>12</v>
      </c>
    </row>
    <row r="7048" spans="1:8" x14ac:dyDescent="0.25">
      <c r="A7048" s="1">
        <v>45666.583333333336</v>
      </c>
      <c r="B7048" t="s">
        <v>36</v>
      </c>
      <c r="C7048">
        <v>342.15</v>
      </c>
      <c r="D7048">
        <v>63.54</v>
      </c>
      <c r="E7048" t="s">
        <v>9</v>
      </c>
      <c r="F7048">
        <v>71.25</v>
      </c>
      <c r="G7048" t="s">
        <v>16</v>
      </c>
      <c r="H7048" t="s">
        <v>12</v>
      </c>
    </row>
    <row r="7049" spans="1:8" x14ac:dyDescent="0.25">
      <c r="A7049" s="1">
        <v>45666.625</v>
      </c>
      <c r="B7049" t="s">
        <v>36</v>
      </c>
      <c r="C7049">
        <v>181.27</v>
      </c>
      <c r="D7049">
        <v>87.66</v>
      </c>
      <c r="E7049" t="s">
        <v>14</v>
      </c>
      <c r="F7049">
        <v>55.43</v>
      </c>
      <c r="G7049" t="s">
        <v>16</v>
      </c>
      <c r="H7049" t="s">
        <v>11</v>
      </c>
    </row>
    <row r="7050" spans="1:8" x14ac:dyDescent="0.25">
      <c r="A7050" s="1">
        <v>45666.666666666664</v>
      </c>
      <c r="B7050" t="s">
        <v>36</v>
      </c>
      <c r="C7050">
        <v>60.75</v>
      </c>
      <c r="D7050">
        <v>75</v>
      </c>
      <c r="E7050" t="s">
        <v>9</v>
      </c>
      <c r="F7050">
        <v>64.400000000000006</v>
      </c>
      <c r="G7050" t="s">
        <v>16</v>
      </c>
      <c r="H7050" t="s">
        <v>12</v>
      </c>
    </row>
    <row r="7051" spans="1:8" x14ac:dyDescent="0.25">
      <c r="A7051" s="1">
        <v>45666.708333333336</v>
      </c>
      <c r="B7051" t="s">
        <v>36</v>
      </c>
      <c r="C7051">
        <v>228.59</v>
      </c>
      <c r="D7051">
        <v>87.48</v>
      </c>
      <c r="E7051" t="s">
        <v>14</v>
      </c>
      <c r="F7051">
        <v>62.73</v>
      </c>
      <c r="G7051" t="s">
        <v>16</v>
      </c>
      <c r="H7051" t="s">
        <v>12</v>
      </c>
    </row>
    <row r="7052" spans="1:8" x14ac:dyDescent="0.25">
      <c r="A7052" s="1">
        <v>45666.75</v>
      </c>
      <c r="B7052" t="s">
        <v>36</v>
      </c>
      <c r="C7052">
        <v>92.66</v>
      </c>
      <c r="D7052">
        <v>65.17</v>
      </c>
      <c r="E7052" t="s">
        <v>9</v>
      </c>
      <c r="F7052">
        <v>82.74</v>
      </c>
      <c r="G7052" t="s">
        <v>16</v>
      </c>
      <c r="H7052" t="s">
        <v>12</v>
      </c>
    </row>
    <row r="7053" spans="1:8" x14ac:dyDescent="0.25">
      <c r="A7053" s="1">
        <v>45666.791666666664</v>
      </c>
      <c r="B7053" t="s">
        <v>36</v>
      </c>
      <c r="C7053">
        <v>424.24</v>
      </c>
      <c r="D7053">
        <v>81.5</v>
      </c>
      <c r="E7053" t="s">
        <v>9</v>
      </c>
      <c r="F7053">
        <v>39.700000000000003</v>
      </c>
      <c r="G7053" t="s">
        <v>16</v>
      </c>
      <c r="H7053" t="s">
        <v>13</v>
      </c>
    </row>
    <row r="7054" spans="1:8" x14ac:dyDescent="0.25">
      <c r="A7054" s="1">
        <v>45666.833333333336</v>
      </c>
      <c r="B7054" t="s">
        <v>36</v>
      </c>
      <c r="C7054">
        <v>492.31</v>
      </c>
      <c r="D7054">
        <v>42.69</v>
      </c>
      <c r="E7054" t="s">
        <v>9</v>
      </c>
      <c r="F7054">
        <v>36.42</v>
      </c>
      <c r="G7054" t="s">
        <v>16</v>
      </c>
      <c r="H7054" t="s">
        <v>13</v>
      </c>
    </row>
    <row r="7055" spans="1:8" x14ac:dyDescent="0.25">
      <c r="A7055" s="1">
        <v>45666.875</v>
      </c>
      <c r="B7055" t="s">
        <v>36</v>
      </c>
      <c r="C7055">
        <v>432.21</v>
      </c>
      <c r="D7055">
        <v>71.099999999999994</v>
      </c>
      <c r="E7055" t="s">
        <v>9</v>
      </c>
      <c r="F7055">
        <v>58.01</v>
      </c>
      <c r="G7055" t="s">
        <v>16</v>
      </c>
      <c r="H7055" t="s">
        <v>12</v>
      </c>
    </row>
    <row r="7056" spans="1:8" x14ac:dyDescent="0.25">
      <c r="A7056" s="1">
        <v>45666.916666666664</v>
      </c>
      <c r="B7056" t="s">
        <v>36</v>
      </c>
      <c r="C7056">
        <v>263</v>
      </c>
      <c r="D7056">
        <v>15.48</v>
      </c>
      <c r="E7056" t="s">
        <v>9</v>
      </c>
      <c r="F7056">
        <v>33.1</v>
      </c>
      <c r="G7056" t="s">
        <v>16</v>
      </c>
      <c r="H7056" t="s">
        <v>13</v>
      </c>
    </row>
    <row r="7057" spans="1:8" x14ac:dyDescent="0.25">
      <c r="A7057" s="1">
        <v>45666.958333333336</v>
      </c>
      <c r="B7057" t="s">
        <v>36</v>
      </c>
      <c r="C7057">
        <v>252.62</v>
      </c>
      <c r="D7057">
        <v>89.35</v>
      </c>
      <c r="E7057" t="s">
        <v>14</v>
      </c>
      <c r="F7057">
        <v>82.76</v>
      </c>
      <c r="G7057" t="s">
        <v>16</v>
      </c>
      <c r="H7057" t="s">
        <v>12</v>
      </c>
    </row>
    <row r="7058" spans="1:8" x14ac:dyDescent="0.25">
      <c r="A7058" s="1">
        <v>45667</v>
      </c>
      <c r="B7058" t="s">
        <v>36</v>
      </c>
      <c r="C7058">
        <v>340.99</v>
      </c>
      <c r="D7058">
        <v>85.62</v>
      </c>
      <c r="E7058" t="s">
        <v>14</v>
      </c>
      <c r="F7058">
        <v>46.64</v>
      </c>
      <c r="G7058" t="s">
        <v>16</v>
      </c>
      <c r="H7058" t="s">
        <v>13</v>
      </c>
    </row>
    <row r="7059" spans="1:8" x14ac:dyDescent="0.25">
      <c r="A7059" s="1">
        <v>45667.041666666664</v>
      </c>
      <c r="B7059" t="s">
        <v>36</v>
      </c>
      <c r="C7059">
        <v>321.61</v>
      </c>
      <c r="D7059">
        <v>15.1</v>
      </c>
      <c r="E7059" t="s">
        <v>9</v>
      </c>
      <c r="F7059">
        <v>32.56</v>
      </c>
      <c r="G7059" t="s">
        <v>16</v>
      </c>
      <c r="H7059" t="s">
        <v>13</v>
      </c>
    </row>
    <row r="7060" spans="1:8" x14ac:dyDescent="0.25">
      <c r="A7060" s="1">
        <v>45667.083333333336</v>
      </c>
      <c r="B7060" t="s">
        <v>36</v>
      </c>
      <c r="C7060">
        <v>449.69</v>
      </c>
      <c r="D7060">
        <v>83.26</v>
      </c>
      <c r="E7060" t="s">
        <v>9</v>
      </c>
      <c r="F7060">
        <v>40.090000000000003</v>
      </c>
      <c r="G7060" t="s">
        <v>16</v>
      </c>
      <c r="H7060" t="s">
        <v>12</v>
      </c>
    </row>
    <row r="7061" spans="1:8" x14ac:dyDescent="0.25">
      <c r="A7061" s="1">
        <v>45667.125</v>
      </c>
      <c r="B7061" t="s">
        <v>36</v>
      </c>
      <c r="C7061">
        <v>358.04</v>
      </c>
      <c r="D7061">
        <v>44.2</v>
      </c>
      <c r="E7061" t="s">
        <v>9</v>
      </c>
      <c r="F7061">
        <v>35.82</v>
      </c>
      <c r="G7061" t="s">
        <v>16</v>
      </c>
      <c r="H7061" t="s">
        <v>11</v>
      </c>
    </row>
    <row r="7062" spans="1:8" x14ac:dyDescent="0.25">
      <c r="A7062" s="1">
        <v>45667.166666666664</v>
      </c>
      <c r="B7062" t="s">
        <v>36</v>
      </c>
      <c r="C7062">
        <v>372.2</v>
      </c>
      <c r="D7062">
        <v>71.489999999999995</v>
      </c>
      <c r="E7062" t="s">
        <v>9</v>
      </c>
      <c r="F7062">
        <v>65.680000000000007</v>
      </c>
      <c r="G7062" t="s">
        <v>16</v>
      </c>
      <c r="H7062" t="s">
        <v>11</v>
      </c>
    </row>
    <row r="7063" spans="1:8" x14ac:dyDescent="0.25">
      <c r="A7063" s="1">
        <v>45667.208333333336</v>
      </c>
      <c r="B7063" t="s">
        <v>36</v>
      </c>
      <c r="C7063">
        <v>376.78</v>
      </c>
      <c r="D7063">
        <v>30.31</v>
      </c>
      <c r="E7063" t="s">
        <v>9</v>
      </c>
      <c r="F7063">
        <v>65.7</v>
      </c>
      <c r="G7063" t="s">
        <v>16</v>
      </c>
      <c r="H7063" t="s">
        <v>11</v>
      </c>
    </row>
    <row r="7064" spans="1:8" x14ac:dyDescent="0.25">
      <c r="A7064" s="1">
        <v>45667.25</v>
      </c>
      <c r="B7064" t="s">
        <v>36</v>
      </c>
      <c r="C7064">
        <v>159.34</v>
      </c>
      <c r="D7064">
        <v>50.11</v>
      </c>
      <c r="E7064" t="s">
        <v>9</v>
      </c>
      <c r="F7064">
        <v>50.54</v>
      </c>
      <c r="G7064" t="s">
        <v>16</v>
      </c>
      <c r="H7064" t="s">
        <v>13</v>
      </c>
    </row>
    <row r="7065" spans="1:8" x14ac:dyDescent="0.25">
      <c r="A7065" s="1">
        <v>45667.291666666664</v>
      </c>
      <c r="B7065" t="s">
        <v>36</v>
      </c>
      <c r="C7065">
        <v>426.02</v>
      </c>
      <c r="D7065">
        <v>93.07</v>
      </c>
      <c r="E7065" t="s">
        <v>14</v>
      </c>
      <c r="F7065">
        <v>66.430000000000007</v>
      </c>
      <c r="G7065" t="s">
        <v>16</v>
      </c>
      <c r="H7065" t="s">
        <v>12</v>
      </c>
    </row>
    <row r="7066" spans="1:8" x14ac:dyDescent="0.25">
      <c r="A7066" s="1">
        <v>45667.333333333336</v>
      </c>
      <c r="B7066" t="s">
        <v>36</v>
      </c>
      <c r="C7066">
        <v>354.8</v>
      </c>
      <c r="D7066">
        <v>31.69</v>
      </c>
      <c r="E7066" t="s">
        <v>9</v>
      </c>
      <c r="F7066">
        <v>52.27</v>
      </c>
      <c r="G7066" t="s">
        <v>16</v>
      </c>
      <c r="H7066" t="s">
        <v>11</v>
      </c>
    </row>
    <row r="7067" spans="1:8" x14ac:dyDescent="0.25">
      <c r="A7067" s="1">
        <v>45667.375</v>
      </c>
      <c r="B7067" t="s">
        <v>36</v>
      </c>
      <c r="C7067">
        <v>419.71</v>
      </c>
      <c r="D7067">
        <v>65.03</v>
      </c>
      <c r="E7067" t="s">
        <v>9</v>
      </c>
      <c r="F7067">
        <v>77.17</v>
      </c>
      <c r="G7067" t="s">
        <v>16</v>
      </c>
      <c r="H7067" t="s">
        <v>12</v>
      </c>
    </row>
    <row r="7068" spans="1:8" x14ac:dyDescent="0.25">
      <c r="A7068" s="1">
        <v>45667.416666666664</v>
      </c>
      <c r="B7068" t="s">
        <v>36</v>
      </c>
      <c r="C7068">
        <v>381.76</v>
      </c>
      <c r="D7068">
        <v>52.83</v>
      </c>
      <c r="E7068" t="s">
        <v>9</v>
      </c>
      <c r="F7068">
        <v>35.630000000000003</v>
      </c>
      <c r="G7068" t="s">
        <v>16</v>
      </c>
      <c r="H7068" t="s">
        <v>13</v>
      </c>
    </row>
    <row r="7069" spans="1:8" x14ac:dyDescent="0.25">
      <c r="A7069" s="1">
        <v>45667.458333333336</v>
      </c>
      <c r="B7069" t="s">
        <v>36</v>
      </c>
      <c r="C7069">
        <v>217.49</v>
      </c>
      <c r="D7069">
        <v>90.91</v>
      </c>
      <c r="E7069" t="s">
        <v>14</v>
      </c>
      <c r="F7069">
        <v>60.79</v>
      </c>
      <c r="G7069" t="s">
        <v>16</v>
      </c>
      <c r="H7069" t="s">
        <v>11</v>
      </c>
    </row>
    <row r="7070" spans="1:8" x14ac:dyDescent="0.25">
      <c r="A7070" s="1">
        <v>45667.5</v>
      </c>
      <c r="B7070" t="s">
        <v>36</v>
      </c>
      <c r="C7070">
        <v>308.5</v>
      </c>
      <c r="D7070">
        <v>82.29</v>
      </c>
      <c r="E7070" t="s">
        <v>9</v>
      </c>
      <c r="F7070">
        <v>45.69</v>
      </c>
      <c r="G7070" t="s">
        <v>16</v>
      </c>
      <c r="H7070" t="s">
        <v>11</v>
      </c>
    </row>
    <row r="7071" spans="1:8" x14ac:dyDescent="0.25">
      <c r="A7071" s="1">
        <v>45667.541666666664</v>
      </c>
      <c r="B7071" t="s">
        <v>36</v>
      </c>
      <c r="C7071">
        <v>252.08</v>
      </c>
      <c r="D7071">
        <v>74.19</v>
      </c>
      <c r="E7071" t="s">
        <v>9</v>
      </c>
      <c r="F7071">
        <v>31.23</v>
      </c>
      <c r="G7071" t="s">
        <v>16</v>
      </c>
      <c r="H7071" t="s">
        <v>11</v>
      </c>
    </row>
    <row r="7072" spans="1:8" x14ac:dyDescent="0.25">
      <c r="A7072" s="1">
        <v>45667.583333333336</v>
      </c>
      <c r="B7072" t="s">
        <v>36</v>
      </c>
      <c r="C7072">
        <v>145.77000000000001</v>
      </c>
      <c r="D7072">
        <v>68.5</v>
      </c>
      <c r="E7072" t="s">
        <v>9</v>
      </c>
      <c r="F7072">
        <v>37.07</v>
      </c>
      <c r="G7072" t="s">
        <v>16</v>
      </c>
      <c r="H7072" t="s">
        <v>12</v>
      </c>
    </row>
    <row r="7073" spans="1:8" x14ac:dyDescent="0.25">
      <c r="A7073" s="1">
        <v>45667.625</v>
      </c>
      <c r="B7073" t="s">
        <v>36</v>
      </c>
      <c r="C7073">
        <v>229.82</v>
      </c>
      <c r="D7073">
        <v>45.57</v>
      </c>
      <c r="E7073" t="s">
        <v>9</v>
      </c>
      <c r="F7073">
        <v>63.14</v>
      </c>
      <c r="G7073" t="s">
        <v>16</v>
      </c>
      <c r="H7073" t="s">
        <v>11</v>
      </c>
    </row>
    <row r="7074" spans="1:8" x14ac:dyDescent="0.25">
      <c r="A7074" s="1">
        <v>45667.666666666664</v>
      </c>
      <c r="B7074" t="s">
        <v>36</v>
      </c>
      <c r="C7074">
        <v>166.08</v>
      </c>
      <c r="D7074">
        <v>41.43</v>
      </c>
      <c r="E7074" t="s">
        <v>9</v>
      </c>
      <c r="F7074">
        <v>39.799999999999997</v>
      </c>
      <c r="G7074" t="s">
        <v>16</v>
      </c>
      <c r="H7074" t="s">
        <v>11</v>
      </c>
    </row>
    <row r="7075" spans="1:8" x14ac:dyDescent="0.25">
      <c r="A7075" s="1">
        <v>45667.708333333336</v>
      </c>
      <c r="B7075" t="s">
        <v>36</v>
      </c>
      <c r="C7075">
        <v>457.07</v>
      </c>
      <c r="D7075">
        <v>32.18</v>
      </c>
      <c r="E7075" t="s">
        <v>9</v>
      </c>
      <c r="F7075">
        <v>71.069999999999993</v>
      </c>
      <c r="G7075" t="s">
        <v>16</v>
      </c>
      <c r="H7075" t="s">
        <v>11</v>
      </c>
    </row>
    <row r="7076" spans="1:8" x14ac:dyDescent="0.25">
      <c r="A7076" s="1">
        <v>45667.75</v>
      </c>
      <c r="B7076" t="s">
        <v>36</v>
      </c>
      <c r="C7076">
        <v>433.04</v>
      </c>
      <c r="D7076">
        <v>94.91</v>
      </c>
      <c r="E7076" t="s">
        <v>14</v>
      </c>
      <c r="F7076">
        <v>50.14</v>
      </c>
      <c r="G7076" t="s">
        <v>16</v>
      </c>
      <c r="H7076" t="s">
        <v>13</v>
      </c>
    </row>
    <row r="7077" spans="1:8" x14ac:dyDescent="0.25">
      <c r="A7077" s="1">
        <v>45667.791666666664</v>
      </c>
      <c r="B7077" t="s">
        <v>36</v>
      </c>
      <c r="C7077">
        <v>119.52</v>
      </c>
      <c r="D7077">
        <v>33.1</v>
      </c>
      <c r="E7077" t="s">
        <v>9</v>
      </c>
      <c r="F7077">
        <v>55.48</v>
      </c>
      <c r="G7077" t="s">
        <v>16</v>
      </c>
      <c r="H7077" t="s">
        <v>11</v>
      </c>
    </row>
    <row r="7078" spans="1:8" x14ac:dyDescent="0.25">
      <c r="A7078" s="1">
        <v>45667.833333333336</v>
      </c>
      <c r="B7078" t="s">
        <v>36</v>
      </c>
      <c r="C7078">
        <v>472.79</v>
      </c>
      <c r="D7078">
        <v>42.01</v>
      </c>
      <c r="E7078" t="s">
        <v>9</v>
      </c>
      <c r="F7078">
        <v>32.69</v>
      </c>
      <c r="G7078" t="s">
        <v>16</v>
      </c>
      <c r="H7078" t="s">
        <v>12</v>
      </c>
    </row>
    <row r="7079" spans="1:8" x14ac:dyDescent="0.25">
      <c r="A7079" s="1">
        <v>45667.875</v>
      </c>
      <c r="B7079" t="s">
        <v>36</v>
      </c>
      <c r="C7079">
        <v>376.04</v>
      </c>
      <c r="D7079">
        <v>24.37</v>
      </c>
      <c r="E7079" t="s">
        <v>9</v>
      </c>
      <c r="F7079">
        <v>37.4</v>
      </c>
      <c r="G7079" t="s">
        <v>16</v>
      </c>
      <c r="H7079" t="s">
        <v>11</v>
      </c>
    </row>
    <row r="7080" spans="1:8" x14ac:dyDescent="0.25">
      <c r="A7080" s="1">
        <v>45667.916666666664</v>
      </c>
      <c r="B7080" t="s">
        <v>36</v>
      </c>
      <c r="C7080">
        <v>418.78</v>
      </c>
      <c r="D7080">
        <v>51.91</v>
      </c>
      <c r="E7080" t="s">
        <v>9</v>
      </c>
      <c r="F7080">
        <v>37.82</v>
      </c>
      <c r="G7080" t="s">
        <v>16</v>
      </c>
      <c r="H7080" t="s">
        <v>12</v>
      </c>
    </row>
    <row r="7081" spans="1:8" x14ac:dyDescent="0.25">
      <c r="A7081" s="1">
        <v>45667.958333333336</v>
      </c>
      <c r="B7081" t="s">
        <v>36</v>
      </c>
      <c r="C7081">
        <v>126.73</v>
      </c>
      <c r="D7081">
        <v>67.41</v>
      </c>
      <c r="E7081" t="s">
        <v>9</v>
      </c>
      <c r="F7081">
        <v>72.95</v>
      </c>
      <c r="G7081" t="s">
        <v>16</v>
      </c>
      <c r="H7081" t="s">
        <v>12</v>
      </c>
    </row>
    <row r="7082" spans="1:8" x14ac:dyDescent="0.25">
      <c r="A7082" s="1">
        <v>45668</v>
      </c>
      <c r="B7082" t="s">
        <v>36</v>
      </c>
      <c r="C7082">
        <v>118.66</v>
      </c>
      <c r="D7082">
        <v>34</v>
      </c>
      <c r="E7082" t="s">
        <v>9</v>
      </c>
      <c r="F7082">
        <v>40.090000000000003</v>
      </c>
      <c r="G7082" t="s">
        <v>16</v>
      </c>
      <c r="H7082" t="s">
        <v>13</v>
      </c>
    </row>
    <row r="7083" spans="1:8" x14ac:dyDescent="0.25">
      <c r="A7083" s="1">
        <v>45668.041666666664</v>
      </c>
      <c r="B7083" t="s">
        <v>36</v>
      </c>
      <c r="C7083">
        <v>391.71</v>
      </c>
      <c r="D7083">
        <v>52.16</v>
      </c>
      <c r="E7083" t="s">
        <v>9</v>
      </c>
      <c r="F7083">
        <v>87.2</v>
      </c>
      <c r="G7083" t="s">
        <v>16</v>
      </c>
      <c r="H7083" t="s">
        <v>11</v>
      </c>
    </row>
    <row r="7084" spans="1:8" x14ac:dyDescent="0.25">
      <c r="A7084" s="1">
        <v>45668.083333333336</v>
      </c>
      <c r="B7084" t="s">
        <v>36</v>
      </c>
      <c r="C7084">
        <v>437.56</v>
      </c>
      <c r="D7084">
        <v>27.82</v>
      </c>
      <c r="E7084" t="s">
        <v>9</v>
      </c>
      <c r="F7084">
        <v>51.61</v>
      </c>
      <c r="G7084" t="s">
        <v>16</v>
      </c>
      <c r="H7084" t="s">
        <v>13</v>
      </c>
    </row>
    <row r="7085" spans="1:8" x14ac:dyDescent="0.25">
      <c r="A7085" s="1">
        <v>45668.125</v>
      </c>
      <c r="B7085" t="s">
        <v>36</v>
      </c>
      <c r="C7085">
        <v>381.72</v>
      </c>
      <c r="D7085">
        <v>73.81</v>
      </c>
      <c r="E7085" t="s">
        <v>9</v>
      </c>
      <c r="F7085">
        <v>36.64</v>
      </c>
      <c r="G7085" t="s">
        <v>16</v>
      </c>
      <c r="H7085" t="s">
        <v>13</v>
      </c>
    </row>
    <row r="7086" spans="1:8" x14ac:dyDescent="0.25">
      <c r="A7086" s="1">
        <v>45668.166666666664</v>
      </c>
      <c r="B7086" t="s">
        <v>36</v>
      </c>
      <c r="C7086">
        <v>354.63</v>
      </c>
      <c r="D7086">
        <v>58.73</v>
      </c>
      <c r="E7086" t="s">
        <v>9</v>
      </c>
      <c r="F7086">
        <v>87.15</v>
      </c>
      <c r="G7086" t="s">
        <v>16</v>
      </c>
      <c r="H7086" t="s">
        <v>12</v>
      </c>
    </row>
    <row r="7087" spans="1:8" x14ac:dyDescent="0.25">
      <c r="A7087" s="1">
        <v>45668.208333333336</v>
      </c>
      <c r="B7087" t="s">
        <v>36</v>
      </c>
      <c r="C7087">
        <v>145.33000000000001</v>
      </c>
      <c r="D7087">
        <v>55.15</v>
      </c>
      <c r="E7087" t="s">
        <v>9</v>
      </c>
      <c r="F7087">
        <v>54.42</v>
      </c>
      <c r="G7087" t="s">
        <v>16</v>
      </c>
      <c r="H7087" t="s">
        <v>11</v>
      </c>
    </row>
    <row r="7088" spans="1:8" x14ac:dyDescent="0.25">
      <c r="A7088" s="1">
        <v>45668.25</v>
      </c>
      <c r="B7088" t="s">
        <v>36</v>
      </c>
      <c r="C7088">
        <v>296.67</v>
      </c>
      <c r="D7088">
        <v>39.51</v>
      </c>
      <c r="E7088" t="s">
        <v>9</v>
      </c>
      <c r="F7088">
        <v>61.44</v>
      </c>
      <c r="G7088" t="s">
        <v>16</v>
      </c>
      <c r="H7088" t="s">
        <v>12</v>
      </c>
    </row>
    <row r="7089" spans="1:8" x14ac:dyDescent="0.25">
      <c r="A7089" s="1">
        <v>45668.291666666664</v>
      </c>
      <c r="B7089" t="s">
        <v>36</v>
      </c>
      <c r="C7089">
        <v>221.71</v>
      </c>
      <c r="D7089">
        <v>73.56</v>
      </c>
      <c r="E7089" t="s">
        <v>9</v>
      </c>
      <c r="F7089">
        <v>40.1</v>
      </c>
      <c r="G7089" t="s">
        <v>16</v>
      </c>
      <c r="H7089" t="s">
        <v>12</v>
      </c>
    </row>
    <row r="7090" spans="1:8" x14ac:dyDescent="0.25">
      <c r="A7090" s="1">
        <v>45668.333333333336</v>
      </c>
      <c r="B7090" t="s">
        <v>36</v>
      </c>
      <c r="C7090">
        <v>442.84</v>
      </c>
      <c r="D7090">
        <v>94.68</v>
      </c>
      <c r="E7090" t="s">
        <v>14</v>
      </c>
      <c r="F7090">
        <v>50.56</v>
      </c>
      <c r="G7090" t="s">
        <v>16</v>
      </c>
      <c r="H7090" t="s">
        <v>13</v>
      </c>
    </row>
    <row r="7091" spans="1:8" x14ac:dyDescent="0.25">
      <c r="A7091" s="1">
        <v>45668.375</v>
      </c>
      <c r="B7091" t="s">
        <v>36</v>
      </c>
      <c r="C7091">
        <v>112.22</v>
      </c>
      <c r="D7091">
        <v>63.79</v>
      </c>
      <c r="E7091" t="s">
        <v>9</v>
      </c>
      <c r="F7091">
        <v>75.41</v>
      </c>
      <c r="G7091" t="s">
        <v>16</v>
      </c>
      <c r="H7091" t="s">
        <v>13</v>
      </c>
    </row>
    <row r="7092" spans="1:8" x14ac:dyDescent="0.25">
      <c r="A7092" s="1">
        <v>45668.416666666664</v>
      </c>
      <c r="B7092" t="s">
        <v>36</v>
      </c>
      <c r="C7092">
        <v>383.5</v>
      </c>
      <c r="D7092">
        <v>30.78</v>
      </c>
      <c r="E7092" t="s">
        <v>9</v>
      </c>
      <c r="F7092">
        <v>80.92</v>
      </c>
      <c r="G7092" t="s">
        <v>16</v>
      </c>
      <c r="H7092" t="s">
        <v>13</v>
      </c>
    </row>
    <row r="7093" spans="1:8" x14ac:dyDescent="0.25">
      <c r="A7093" s="1">
        <v>45668.458333333336</v>
      </c>
      <c r="B7093" t="s">
        <v>36</v>
      </c>
      <c r="C7093">
        <v>344.22</v>
      </c>
      <c r="D7093">
        <v>20.39</v>
      </c>
      <c r="E7093" t="s">
        <v>9</v>
      </c>
      <c r="F7093">
        <v>33.04</v>
      </c>
      <c r="G7093" t="s">
        <v>16</v>
      </c>
      <c r="H7093" t="s">
        <v>11</v>
      </c>
    </row>
    <row r="7094" spans="1:8" x14ac:dyDescent="0.25">
      <c r="A7094" s="1">
        <v>45668.5</v>
      </c>
      <c r="B7094" t="s">
        <v>36</v>
      </c>
      <c r="C7094">
        <v>62.01</v>
      </c>
      <c r="D7094">
        <v>87.24</v>
      </c>
      <c r="E7094" t="s">
        <v>14</v>
      </c>
      <c r="F7094">
        <v>31.21</v>
      </c>
      <c r="G7094" t="s">
        <v>16</v>
      </c>
      <c r="H7094" t="s">
        <v>12</v>
      </c>
    </row>
    <row r="7095" spans="1:8" x14ac:dyDescent="0.25">
      <c r="A7095" s="1">
        <v>45668.541666666664</v>
      </c>
      <c r="B7095" t="s">
        <v>36</v>
      </c>
      <c r="C7095">
        <v>84.32</v>
      </c>
      <c r="D7095">
        <v>22.19</v>
      </c>
      <c r="E7095" t="s">
        <v>9</v>
      </c>
      <c r="F7095">
        <v>52.98</v>
      </c>
      <c r="G7095" t="s">
        <v>16</v>
      </c>
      <c r="H7095" t="s">
        <v>13</v>
      </c>
    </row>
    <row r="7096" spans="1:8" x14ac:dyDescent="0.25">
      <c r="A7096" s="1">
        <v>45668.583333333336</v>
      </c>
      <c r="B7096" t="s">
        <v>36</v>
      </c>
      <c r="C7096">
        <v>346.77</v>
      </c>
      <c r="D7096">
        <v>86.38</v>
      </c>
      <c r="E7096" t="s">
        <v>14</v>
      </c>
      <c r="F7096">
        <v>57.3</v>
      </c>
      <c r="G7096" t="s">
        <v>16</v>
      </c>
      <c r="H7096" t="s">
        <v>11</v>
      </c>
    </row>
    <row r="7097" spans="1:8" x14ac:dyDescent="0.25">
      <c r="A7097" s="1">
        <v>45668.625</v>
      </c>
      <c r="B7097" t="s">
        <v>36</v>
      </c>
      <c r="C7097">
        <v>408.41</v>
      </c>
      <c r="D7097">
        <v>44.1</v>
      </c>
      <c r="E7097" t="s">
        <v>9</v>
      </c>
      <c r="F7097">
        <v>54.61</v>
      </c>
      <c r="G7097" t="s">
        <v>16</v>
      </c>
      <c r="H7097" t="s">
        <v>11</v>
      </c>
    </row>
    <row r="7098" spans="1:8" x14ac:dyDescent="0.25">
      <c r="A7098" s="1">
        <v>45668.666666666664</v>
      </c>
      <c r="B7098" t="s">
        <v>36</v>
      </c>
      <c r="C7098">
        <v>396.77</v>
      </c>
      <c r="D7098">
        <v>44.47</v>
      </c>
      <c r="E7098" t="s">
        <v>9</v>
      </c>
      <c r="F7098">
        <v>58.36</v>
      </c>
      <c r="G7098" t="s">
        <v>16</v>
      </c>
      <c r="H7098" t="s">
        <v>13</v>
      </c>
    </row>
    <row r="7099" spans="1:8" x14ac:dyDescent="0.25">
      <c r="A7099" s="1">
        <v>45668.708333333336</v>
      </c>
      <c r="B7099" t="s">
        <v>36</v>
      </c>
      <c r="C7099">
        <v>455.06</v>
      </c>
      <c r="D7099">
        <v>52.05</v>
      </c>
      <c r="E7099" t="s">
        <v>9</v>
      </c>
      <c r="F7099">
        <v>44.38</v>
      </c>
      <c r="G7099" t="s">
        <v>16</v>
      </c>
      <c r="H7099" t="s">
        <v>13</v>
      </c>
    </row>
    <row r="7100" spans="1:8" x14ac:dyDescent="0.25">
      <c r="A7100" s="1">
        <v>45668.75</v>
      </c>
      <c r="B7100" t="s">
        <v>36</v>
      </c>
      <c r="C7100">
        <v>78.19</v>
      </c>
      <c r="D7100">
        <v>67.66</v>
      </c>
      <c r="E7100" t="s">
        <v>9</v>
      </c>
      <c r="F7100">
        <v>37.28</v>
      </c>
      <c r="G7100" t="s">
        <v>16</v>
      </c>
      <c r="H7100" t="s">
        <v>13</v>
      </c>
    </row>
    <row r="7101" spans="1:8" x14ac:dyDescent="0.25">
      <c r="A7101" s="1">
        <v>45668.791666666664</v>
      </c>
      <c r="B7101" t="s">
        <v>36</v>
      </c>
      <c r="C7101">
        <v>84.19</v>
      </c>
      <c r="D7101">
        <v>19.47</v>
      </c>
      <c r="E7101" t="s">
        <v>9</v>
      </c>
      <c r="F7101">
        <v>39.19</v>
      </c>
      <c r="G7101" t="s">
        <v>16</v>
      </c>
      <c r="H7101" t="s">
        <v>11</v>
      </c>
    </row>
    <row r="7102" spans="1:8" x14ac:dyDescent="0.25">
      <c r="A7102" s="1">
        <v>45668.833333333336</v>
      </c>
      <c r="B7102" t="s">
        <v>36</v>
      </c>
      <c r="C7102">
        <v>428.57</v>
      </c>
      <c r="D7102">
        <v>44.04</v>
      </c>
      <c r="E7102" t="s">
        <v>9</v>
      </c>
      <c r="F7102">
        <v>48.14</v>
      </c>
      <c r="G7102" t="s">
        <v>16</v>
      </c>
      <c r="H7102" t="s">
        <v>12</v>
      </c>
    </row>
    <row r="7103" spans="1:8" x14ac:dyDescent="0.25">
      <c r="A7103" s="1">
        <v>45668.875</v>
      </c>
      <c r="B7103" t="s">
        <v>36</v>
      </c>
      <c r="C7103">
        <v>215.72</v>
      </c>
      <c r="D7103">
        <v>19.63</v>
      </c>
      <c r="E7103" t="s">
        <v>9</v>
      </c>
      <c r="F7103">
        <v>65.459999999999994</v>
      </c>
      <c r="G7103" t="s">
        <v>16</v>
      </c>
      <c r="H7103" t="s">
        <v>11</v>
      </c>
    </row>
    <row r="7104" spans="1:8" x14ac:dyDescent="0.25">
      <c r="A7104" s="1">
        <v>45668.916666666664</v>
      </c>
      <c r="B7104" t="s">
        <v>36</v>
      </c>
      <c r="C7104">
        <v>237.79</v>
      </c>
      <c r="D7104">
        <v>47.43</v>
      </c>
      <c r="E7104" t="s">
        <v>9</v>
      </c>
      <c r="F7104">
        <v>82.71</v>
      </c>
      <c r="G7104" t="s">
        <v>16</v>
      </c>
      <c r="H7104" t="s">
        <v>13</v>
      </c>
    </row>
    <row r="7105" spans="1:8" x14ac:dyDescent="0.25">
      <c r="A7105" s="1">
        <v>45668.958333333336</v>
      </c>
      <c r="B7105" t="s">
        <v>36</v>
      </c>
      <c r="C7105">
        <v>117.32</v>
      </c>
      <c r="D7105">
        <v>77.739999999999995</v>
      </c>
      <c r="E7105" t="s">
        <v>9</v>
      </c>
      <c r="F7105">
        <v>48.47</v>
      </c>
      <c r="G7105" t="s">
        <v>16</v>
      </c>
      <c r="H7105" t="s">
        <v>11</v>
      </c>
    </row>
    <row r="7106" spans="1:8" x14ac:dyDescent="0.25">
      <c r="A7106" s="1">
        <v>45669</v>
      </c>
      <c r="B7106" t="s">
        <v>36</v>
      </c>
      <c r="C7106">
        <v>478.59</v>
      </c>
      <c r="D7106">
        <v>34.479999999999997</v>
      </c>
      <c r="E7106" t="s">
        <v>9</v>
      </c>
      <c r="F7106">
        <v>45.97</v>
      </c>
      <c r="G7106" t="s">
        <v>16</v>
      </c>
      <c r="H7106" t="s">
        <v>12</v>
      </c>
    </row>
    <row r="7107" spans="1:8" x14ac:dyDescent="0.25">
      <c r="A7107" s="1">
        <v>45669.041666666664</v>
      </c>
      <c r="B7107" t="s">
        <v>36</v>
      </c>
      <c r="C7107">
        <v>466.79</v>
      </c>
      <c r="D7107">
        <v>30.09</v>
      </c>
      <c r="E7107" t="s">
        <v>9</v>
      </c>
      <c r="F7107">
        <v>85.3</v>
      </c>
      <c r="G7107" t="s">
        <v>16</v>
      </c>
      <c r="H7107" t="s">
        <v>12</v>
      </c>
    </row>
    <row r="7108" spans="1:8" x14ac:dyDescent="0.25">
      <c r="A7108" s="1">
        <v>45669.083333333336</v>
      </c>
      <c r="B7108" t="s">
        <v>36</v>
      </c>
      <c r="C7108">
        <v>135.77000000000001</v>
      </c>
      <c r="D7108">
        <v>39.65</v>
      </c>
      <c r="E7108" t="s">
        <v>9</v>
      </c>
      <c r="F7108">
        <v>38.18</v>
      </c>
      <c r="G7108" t="s">
        <v>16</v>
      </c>
      <c r="H7108" t="s">
        <v>12</v>
      </c>
    </row>
    <row r="7109" spans="1:8" x14ac:dyDescent="0.25">
      <c r="A7109" s="1">
        <v>45669.125</v>
      </c>
      <c r="B7109" t="s">
        <v>36</v>
      </c>
      <c r="C7109">
        <v>416.71</v>
      </c>
      <c r="D7109">
        <v>28.18</v>
      </c>
      <c r="E7109" t="s">
        <v>9</v>
      </c>
      <c r="F7109">
        <v>86.76</v>
      </c>
      <c r="G7109" t="s">
        <v>16</v>
      </c>
      <c r="H7109" t="s">
        <v>11</v>
      </c>
    </row>
    <row r="7110" spans="1:8" x14ac:dyDescent="0.25">
      <c r="A7110" s="1">
        <v>45669.166666666664</v>
      </c>
      <c r="B7110" t="s">
        <v>36</v>
      </c>
      <c r="C7110">
        <v>375.99</v>
      </c>
      <c r="D7110">
        <v>70.290000000000006</v>
      </c>
      <c r="E7110" t="s">
        <v>9</v>
      </c>
      <c r="F7110">
        <v>71.650000000000006</v>
      </c>
      <c r="G7110" t="s">
        <v>16</v>
      </c>
      <c r="H7110" t="s">
        <v>11</v>
      </c>
    </row>
    <row r="7111" spans="1:8" x14ac:dyDescent="0.25">
      <c r="A7111" s="1">
        <v>45669.208333333336</v>
      </c>
      <c r="B7111" t="s">
        <v>36</v>
      </c>
      <c r="C7111">
        <v>407.77</v>
      </c>
      <c r="D7111">
        <v>33.17</v>
      </c>
      <c r="E7111" t="s">
        <v>9</v>
      </c>
      <c r="F7111">
        <v>35.200000000000003</v>
      </c>
      <c r="G7111" t="s">
        <v>16</v>
      </c>
      <c r="H7111" t="s">
        <v>11</v>
      </c>
    </row>
    <row r="7112" spans="1:8" x14ac:dyDescent="0.25">
      <c r="A7112" s="1">
        <v>45669.25</v>
      </c>
      <c r="B7112" t="s">
        <v>36</v>
      </c>
      <c r="C7112">
        <v>152.91999999999999</v>
      </c>
      <c r="D7112">
        <v>87.87</v>
      </c>
      <c r="E7112" t="s">
        <v>14</v>
      </c>
      <c r="F7112">
        <v>62.09</v>
      </c>
      <c r="G7112" t="s">
        <v>16</v>
      </c>
      <c r="H7112" t="s">
        <v>13</v>
      </c>
    </row>
    <row r="7113" spans="1:8" x14ac:dyDescent="0.25">
      <c r="A7113" s="1">
        <v>45669.291666666664</v>
      </c>
      <c r="B7113" t="s">
        <v>36</v>
      </c>
      <c r="C7113">
        <v>484.15</v>
      </c>
      <c r="D7113">
        <v>35.380000000000003</v>
      </c>
      <c r="E7113" t="s">
        <v>9</v>
      </c>
      <c r="F7113">
        <v>50.96</v>
      </c>
      <c r="G7113" t="s">
        <v>16</v>
      </c>
      <c r="H7113" t="s">
        <v>13</v>
      </c>
    </row>
    <row r="7114" spans="1:8" x14ac:dyDescent="0.25">
      <c r="A7114" s="1">
        <v>45669.333333333336</v>
      </c>
      <c r="B7114" t="s">
        <v>36</v>
      </c>
      <c r="C7114">
        <v>336.04</v>
      </c>
      <c r="D7114">
        <v>54.99</v>
      </c>
      <c r="E7114" t="s">
        <v>9</v>
      </c>
      <c r="F7114">
        <v>79.650000000000006</v>
      </c>
      <c r="G7114" t="s">
        <v>16</v>
      </c>
      <c r="H7114" t="s">
        <v>13</v>
      </c>
    </row>
    <row r="7115" spans="1:8" x14ac:dyDescent="0.25">
      <c r="A7115" s="1">
        <v>45669.375</v>
      </c>
      <c r="B7115" t="s">
        <v>36</v>
      </c>
      <c r="C7115">
        <v>168.6</v>
      </c>
      <c r="D7115">
        <v>59.14</v>
      </c>
      <c r="E7115" t="s">
        <v>9</v>
      </c>
      <c r="F7115">
        <v>33.85</v>
      </c>
      <c r="G7115" t="s">
        <v>16</v>
      </c>
      <c r="H7115" t="s">
        <v>13</v>
      </c>
    </row>
    <row r="7116" spans="1:8" x14ac:dyDescent="0.25">
      <c r="A7116" s="1">
        <v>45669.416666666664</v>
      </c>
      <c r="B7116" t="s">
        <v>36</v>
      </c>
      <c r="C7116">
        <v>278.14</v>
      </c>
      <c r="D7116">
        <v>85.66</v>
      </c>
      <c r="E7116" t="s">
        <v>14</v>
      </c>
      <c r="F7116">
        <v>32.54</v>
      </c>
      <c r="G7116" t="s">
        <v>16</v>
      </c>
      <c r="H7116" t="s">
        <v>11</v>
      </c>
    </row>
    <row r="7117" spans="1:8" x14ac:dyDescent="0.25">
      <c r="A7117" s="1">
        <v>45669.458333333336</v>
      </c>
      <c r="B7117" t="s">
        <v>36</v>
      </c>
      <c r="C7117">
        <v>454.14</v>
      </c>
      <c r="D7117">
        <v>61.47</v>
      </c>
      <c r="E7117" t="s">
        <v>9</v>
      </c>
      <c r="F7117">
        <v>84.2</v>
      </c>
      <c r="G7117" t="s">
        <v>16</v>
      </c>
      <c r="H7117" t="s">
        <v>11</v>
      </c>
    </row>
    <row r="7118" spans="1:8" x14ac:dyDescent="0.25">
      <c r="A7118" s="1">
        <v>45669.5</v>
      </c>
      <c r="B7118" t="s">
        <v>36</v>
      </c>
      <c r="C7118">
        <v>403.28</v>
      </c>
      <c r="D7118">
        <v>24.51</v>
      </c>
      <c r="E7118" t="s">
        <v>9</v>
      </c>
      <c r="F7118">
        <v>53.83</v>
      </c>
      <c r="G7118" t="s">
        <v>16</v>
      </c>
      <c r="H7118" t="s">
        <v>13</v>
      </c>
    </row>
    <row r="7119" spans="1:8" x14ac:dyDescent="0.25">
      <c r="A7119" s="1">
        <v>45669.541666666664</v>
      </c>
      <c r="B7119" t="s">
        <v>36</v>
      </c>
      <c r="C7119">
        <v>187.43</v>
      </c>
      <c r="D7119">
        <v>22.59</v>
      </c>
      <c r="E7119" t="s">
        <v>9</v>
      </c>
      <c r="F7119">
        <v>79.98</v>
      </c>
      <c r="G7119" t="s">
        <v>16</v>
      </c>
      <c r="H7119" t="s">
        <v>13</v>
      </c>
    </row>
    <row r="7120" spans="1:8" x14ac:dyDescent="0.25">
      <c r="A7120" s="1">
        <v>45669.583333333336</v>
      </c>
      <c r="B7120" t="s">
        <v>36</v>
      </c>
      <c r="C7120">
        <v>478.08</v>
      </c>
      <c r="D7120">
        <v>50.45</v>
      </c>
      <c r="E7120" t="s">
        <v>9</v>
      </c>
      <c r="F7120">
        <v>38.21</v>
      </c>
      <c r="G7120" t="s">
        <v>16</v>
      </c>
      <c r="H7120" t="s">
        <v>13</v>
      </c>
    </row>
    <row r="7121" spans="1:8" x14ac:dyDescent="0.25">
      <c r="A7121" s="1">
        <v>45669.625</v>
      </c>
      <c r="B7121" t="s">
        <v>36</v>
      </c>
      <c r="C7121">
        <v>148.97</v>
      </c>
      <c r="D7121">
        <v>14.92</v>
      </c>
      <c r="E7121" t="s">
        <v>9</v>
      </c>
      <c r="F7121">
        <v>81.99</v>
      </c>
      <c r="G7121" t="s">
        <v>16</v>
      </c>
      <c r="H7121" t="s">
        <v>13</v>
      </c>
    </row>
    <row r="7122" spans="1:8" x14ac:dyDescent="0.25">
      <c r="A7122" s="1">
        <v>45669.666666666664</v>
      </c>
      <c r="B7122" t="s">
        <v>36</v>
      </c>
      <c r="C7122">
        <v>93.41</v>
      </c>
      <c r="D7122">
        <v>27.68</v>
      </c>
      <c r="E7122" t="s">
        <v>9</v>
      </c>
      <c r="F7122">
        <v>88.96</v>
      </c>
      <c r="G7122" t="s">
        <v>16</v>
      </c>
      <c r="H7122" t="s">
        <v>11</v>
      </c>
    </row>
    <row r="7123" spans="1:8" x14ac:dyDescent="0.25">
      <c r="A7123" s="1">
        <v>45669.708333333336</v>
      </c>
      <c r="B7123" t="s">
        <v>36</v>
      </c>
      <c r="C7123">
        <v>280.49</v>
      </c>
      <c r="D7123">
        <v>38.53</v>
      </c>
      <c r="E7123" t="s">
        <v>9</v>
      </c>
      <c r="F7123">
        <v>79.52</v>
      </c>
      <c r="G7123" t="s">
        <v>16</v>
      </c>
      <c r="H7123" t="s">
        <v>13</v>
      </c>
    </row>
    <row r="7124" spans="1:8" x14ac:dyDescent="0.25">
      <c r="A7124" s="1">
        <v>45669.75</v>
      </c>
      <c r="B7124" t="s">
        <v>36</v>
      </c>
      <c r="C7124">
        <v>377.28</v>
      </c>
      <c r="D7124">
        <v>50.23</v>
      </c>
      <c r="E7124" t="s">
        <v>9</v>
      </c>
      <c r="F7124">
        <v>74.38</v>
      </c>
      <c r="G7124" t="s">
        <v>16</v>
      </c>
      <c r="H7124" t="s">
        <v>13</v>
      </c>
    </row>
    <row r="7125" spans="1:8" x14ac:dyDescent="0.25">
      <c r="A7125" s="1">
        <v>45669.791666666664</v>
      </c>
      <c r="B7125" t="s">
        <v>36</v>
      </c>
      <c r="C7125">
        <v>65.63</v>
      </c>
      <c r="D7125">
        <v>82.18</v>
      </c>
      <c r="E7125" t="s">
        <v>9</v>
      </c>
      <c r="F7125">
        <v>44.13</v>
      </c>
      <c r="G7125" t="s">
        <v>16</v>
      </c>
      <c r="H7125" t="s">
        <v>12</v>
      </c>
    </row>
    <row r="7126" spans="1:8" x14ac:dyDescent="0.25">
      <c r="A7126" s="1">
        <v>45669.833333333336</v>
      </c>
      <c r="B7126" t="s">
        <v>36</v>
      </c>
      <c r="C7126">
        <v>217.72</v>
      </c>
      <c r="D7126">
        <v>86.81</v>
      </c>
      <c r="E7126" t="s">
        <v>14</v>
      </c>
      <c r="F7126">
        <v>60.27</v>
      </c>
      <c r="G7126" t="s">
        <v>16</v>
      </c>
      <c r="H7126" t="s">
        <v>11</v>
      </c>
    </row>
    <row r="7127" spans="1:8" x14ac:dyDescent="0.25">
      <c r="A7127" s="1">
        <v>45669.875</v>
      </c>
      <c r="B7127" t="s">
        <v>36</v>
      </c>
      <c r="C7127">
        <v>409.52</v>
      </c>
      <c r="D7127">
        <v>58.96</v>
      </c>
      <c r="E7127" t="s">
        <v>9</v>
      </c>
      <c r="F7127">
        <v>56.96</v>
      </c>
      <c r="G7127" t="s">
        <v>16</v>
      </c>
      <c r="H7127" t="s">
        <v>12</v>
      </c>
    </row>
    <row r="7128" spans="1:8" x14ac:dyDescent="0.25">
      <c r="A7128" s="1">
        <v>45669.916666666664</v>
      </c>
      <c r="B7128" t="s">
        <v>36</v>
      </c>
      <c r="C7128">
        <v>59.76</v>
      </c>
      <c r="D7128">
        <v>69.73</v>
      </c>
      <c r="E7128" t="s">
        <v>9</v>
      </c>
      <c r="F7128">
        <v>61.54</v>
      </c>
      <c r="G7128" t="s">
        <v>16</v>
      </c>
      <c r="H7128" t="s">
        <v>12</v>
      </c>
    </row>
    <row r="7129" spans="1:8" x14ac:dyDescent="0.25">
      <c r="A7129" s="1">
        <v>45669.958333333336</v>
      </c>
      <c r="B7129" t="s">
        <v>36</v>
      </c>
      <c r="C7129">
        <v>235.3</v>
      </c>
      <c r="D7129">
        <v>60.19</v>
      </c>
      <c r="E7129" t="s">
        <v>9</v>
      </c>
      <c r="F7129">
        <v>34.92</v>
      </c>
      <c r="G7129" t="s">
        <v>16</v>
      </c>
      <c r="H7129" t="s">
        <v>13</v>
      </c>
    </row>
    <row r="7130" spans="1:8" x14ac:dyDescent="0.25">
      <c r="A7130" s="1">
        <v>45670</v>
      </c>
      <c r="B7130" t="s">
        <v>36</v>
      </c>
      <c r="C7130">
        <v>182.45</v>
      </c>
      <c r="D7130">
        <v>89.8</v>
      </c>
      <c r="E7130" t="s">
        <v>14</v>
      </c>
      <c r="F7130">
        <v>45.03</v>
      </c>
      <c r="G7130" t="s">
        <v>16</v>
      </c>
      <c r="H7130" t="s">
        <v>11</v>
      </c>
    </row>
    <row r="7131" spans="1:8" x14ac:dyDescent="0.25">
      <c r="A7131" s="1">
        <v>45670.041666666664</v>
      </c>
      <c r="B7131" t="s">
        <v>36</v>
      </c>
      <c r="C7131">
        <v>485.12</v>
      </c>
      <c r="D7131">
        <v>38.979999999999997</v>
      </c>
      <c r="E7131" t="s">
        <v>9</v>
      </c>
      <c r="F7131">
        <v>51.82</v>
      </c>
      <c r="G7131" t="s">
        <v>16</v>
      </c>
      <c r="H7131" t="s">
        <v>12</v>
      </c>
    </row>
    <row r="7132" spans="1:8" x14ac:dyDescent="0.25">
      <c r="A7132" s="1">
        <v>45670.083333333336</v>
      </c>
      <c r="B7132" t="s">
        <v>36</v>
      </c>
      <c r="C7132">
        <v>273.20999999999998</v>
      </c>
      <c r="D7132">
        <v>31.42</v>
      </c>
      <c r="E7132" t="s">
        <v>9</v>
      </c>
      <c r="F7132">
        <v>30.56</v>
      </c>
      <c r="G7132" t="s">
        <v>16</v>
      </c>
      <c r="H7132" t="s">
        <v>12</v>
      </c>
    </row>
    <row r="7133" spans="1:8" x14ac:dyDescent="0.25">
      <c r="A7133" s="1">
        <v>45670.125</v>
      </c>
      <c r="B7133" t="s">
        <v>36</v>
      </c>
      <c r="C7133">
        <v>264.82</v>
      </c>
      <c r="D7133">
        <v>45.93</v>
      </c>
      <c r="E7133" t="s">
        <v>9</v>
      </c>
      <c r="F7133">
        <v>38.130000000000003</v>
      </c>
      <c r="G7133" t="s">
        <v>16</v>
      </c>
      <c r="H7133" t="s">
        <v>12</v>
      </c>
    </row>
    <row r="7134" spans="1:8" x14ac:dyDescent="0.25">
      <c r="A7134" s="1">
        <v>45670.166666666664</v>
      </c>
      <c r="B7134" t="s">
        <v>36</v>
      </c>
      <c r="C7134">
        <v>216.68</v>
      </c>
      <c r="D7134">
        <v>29.82</v>
      </c>
      <c r="E7134" t="s">
        <v>9</v>
      </c>
      <c r="F7134">
        <v>61.23</v>
      </c>
      <c r="G7134" t="s">
        <v>16</v>
      </c>
      <c r="H7134" t="s">
        <v>12</v>
      </c>
    </row>
    <row r="7135" spans="1:8" x14ac:dyDescent="0.25">
      <c r="A7135" s="1">
        <v>45670.208333333336</v>
      </c>
      <c r="B7135" t="s">
        <v>36</v>
      </c>
      <c r="C7135">
        <v>111.92</v>
      </c>
      <c r="D7135">
        <v>54.46</v>
      </c>
      <c r="E7135" t="s">
        <v>9</v>
      </c>
      <c r="F7135">
        <v>83.43</v>
      </c>
      <c r="G7135" t="s">
        <v>16</v>
      </c>
      <c r="H7135" t="s">
        <v>11</v>
      </c>
    </row>
    <row r="7136" spans="1:8" x14ac:dyDescent="0.25">
      <c r="A7136" s="1">
        <v>45670.25</v>
      </c>
      <c r="B7136" t="s">
        <v>36</v>
      </c>
      <c r="C7136">
        <v>430.96</v>
      </c>
      <c r="D7136">
        <v>87.62</v>
      </c>
      <c r="E7136" t="s">
        <v>14</v>
      </c>
      <c r="F7136">
        <v>85.45</v>
      </c>
      <c r="G7136" t="s">
        <v>16</v>
      </c>
      <c r="H7136" t="s">
        <v>13</v>
      </c>
    </row>
    <row r="7137" spans="1:8" x14ac:dyDescent="0.25">
      <c r="A7137" s="1">
        <v>45670.291666666664</v>
      </c>
      <c r="B7137" t="s">
        <v>36</v>
      </c>
      <c r="C7137">
        <v>384.35</v>
      </c>
      <c r="D7137">
        <v>39.340000000000003</v>
      </c>
      <c r="E7137" t="s">
        <v>9</v>
      </c>
      <c r="F7137">
        <v>47.72</v>
      </c>
      <c r="G7137" t="s">
        <v>16</v>
      </c>
      <c r="H7137" t="s">
        <v>12</v>
      </c>
    </row>
    <row r="7138" spans="1:8" x14ac:dyDescent="0.25">
      <c r="A7138" s="1">
        <v>45670.333333333336</v>
      </c>
      <c r="B7138" t="s">
        <v>36</v>
      </c>
      <c r="C7138">
        <v>129.91</v>
      </c>
      <c r="D7138">
        <v>57.34</v>
      </c>
      <c r="E7138" t="s">
        <v>9</v>
      </c>
      <c r="F7138">
        <v>72.81</v>
      </c>
      <c r="G7138" t="s">
        <v>16</v>
      </c>
      <c r="H7138" t="s">
        <v>11</v>
      </c>
    </row>
    <row r="7139" spans="1:8" x14ac:dyDescent="0.25">
      <c r="A7139" s="1">
        <v>45670.375</v>
      </c>
      <c r="B7139" t="s">
        <v>36</v>
      </c>
      <c r="C7139">
        <v>248.88</v>
      </c>
      <c r="D7139">
        <v>75.400000000000006</v>
      </c>
      <c r="E7139" t="s">
        <v>9</v>
      </c>
      <c r="F7139">
        <v>60.56</v>
      </c>
      <c r="G7139" t="s">
        <v>16</v>
      </c>
      <c r="H7139" t="s">
        <v>11</v>
      </c>
    </row>
    <row r="7140" spans="1:8" x14ac:dyDescent="0.25">
      <c r="A7140" s="1">
        <v>45670.416666666664</v>
      </c>
      <c r="B7140" t="s">
        <v>36</v>
      </c>
      <c r="C7140">
        <v>285.39999999999998</v>
      </c>
      <c r="D7140">
        <v>80.040000000000006</v>
      </c>
      <c r="E7140" t="s">
        <v>9</v>
      </c>
      <c r="F7140">
        <v>63.34</v>
      </c>
      <c r="G7140" t="s">
        <v>16</v>
      </c>
      <c r="H7140" t="s">
        <v>13</v>
      </c>
    </row>
    <row r="7141" spans="1:8" x14ac:dyDescent="0.25">
      <c r="A7141" s="1">
        <v>45670.458333333336</v>
      </c>
      <c r="B7141" t="s">
        <v>36</v>
      </c>
      <c r="C7141">
        <v>459.11</v>
      </c>
      <c r="D7141">
        <v>53.11</v>
      </c>
      <c r="E7141" t="s">
        <v>9</v>
      </c>
      <c r="F7141">
        <v>49.1</v>
      </c>
      <c r="G7141" t="s">
        <v>16</v>
      </c>
      <c r="H7141" t="s">
        <v>12</v>
      </c>
    </row>
    <row r="7142" spans="1:8" x14ac:dyDescent="0.25">
      <c r="A7142" s="1">
        <v>45670.5</v>
      </c>
      <c r="B7142" t="s">
        <v>36</v>
      </c>
      <c r="C7142">
        <v>340.72</v>
      </c>
      <c r="D7142">
        <v>37.4</v>
      </c>
      <c r="E7142" t="s">
        <v>9</v>
      </c>
      <c r="F7142">
        <v>43.55</v>
      </c>
      <c r="G7142" t="s">
        <v>16</v>
      </c>
      <c r="H7142" t="s">
        <v>11</v>
      </c>
    </row>
    <row r="7143" spans="1:8" x14ac:dyDescent="0.25">
      <c r="A7143" s="1">
        <v>45670.541666666664</v>
      </c>
      <c r="B7143" t="s">
        <v>36</v>
      </c>
      <c r="C7143">
        <v>105.21</v>
      </c>
      <c r="D7143">
        <v>33.33</v>
      </c>
      <c r="E7143" t="s">
        <v>9</v>
      </c>
      <c r="F7143">
        <v>86.79</v>
      </c>
      <c r="G7143" t="s">
        <v>16</v>
      </c>
      <c r="H7143" t="s">
        <v>11</v>
      </c>
    </row>
    <row r="7144" spans="1:8" x14ac:dyDescent="0.25">
      <c r="A7144" s="1">
        <v>45670.583333333336</v>
      </c>
      <c r="B7144" t="s">
        <v>36</v>
      </c>
      <c r="C7144">
        <v>483.68</v>
      </c>
      <c r="D7144">
        <v>64.69</v>
      </c>
      <c r="E7144" t="s">
        <v>9</v>
      </c>
      <c r="F7144">
        <v>86.94</v>
      </c>
      <c r="G7144" t="s">
        <v>16</v>
      </c>
      <c r="H7144" t="s">
        <v>11</v>
      </c>
    </row>
    <row r="7145" spans="1:8" x14ac:dyDescent="0.25">
      <c r="A7145" s="1">
        <v>45670.625</v>
      </c>
      <c r="B7145" t="s">
        <v>36</v>
      </c>
      <c r="C7145">
        <v>376.1</v>
      </c>
      <c r="D7145">
        <v>61.93</v>
      </c>
      <c r="E7145" t="s">
        <v>9</v>
      </c>
      <c r="F7145">
        <v>38.53</v>
      </c>
      <c r="G7145" t="s">
        <v>16</v>
      </c>
      <c r="H7145" t="s">
        <v>13</v>
      </c>
    </row>
    <row r="7146" spans="1:8" x14ac:dyDescent="0.25">
      <c r="A7146" s="1">
        <v>45670.666666666664</v>
      </c>
      <c r="B7146" t="s">
        <v>36</v>
      </c>
      <c r="C7146">
        <v>199.35</v>
      </c>
      <c r="D7146">
        <v>44.29</v>
      </c>
      <c r="E7146" t="s">
        <v>9</v>
      </c>
      <c r="F7146">
        <v>45.66</v>
      </c>
      <c r="G7146" t="s">
        <v>16</v>
      </c>
      <c r="H7146" t="s">
        <v>11</v>
      </c>
    </row>
    <row r="7147" spans="1:8" x14ac:dyDescent="0.25">
      <c r="A7147" s="1">
        <v>45670.708333333336</v>
      </c>
      <c r="B7147" t="s">
        <v>36</v>
      </c>
      <c r="C7147">
        <v>153.81</v>
      </c>
      <c r="D7147">
        <v>64.53</v>
      </c>
      <c r="E7147" t="s">
        <v>9</v>
      </c>
      <c r="F7147">
        <v>60.66</v>
      </c>
      <c r="G7147" t="s">
        <v>16</v>
      </c>
      <c r="H7147" t="s">
        <v>13</v>
      </c>
    </row>
    <row r="7148" spans="1:8" x14ac:dyDescent="0.25">
      <c r="A7148" s="1">
        <v>45670.75</v>
      </c>
      <c r="B7148" t="s">
        <v>36</v>
      </c>
      <c r="C7148">
        <v>276.44</v>
      </c>
      <c r="D7148">
        <v>93.78</v>
      </c>
      <c r="E7148" t="s">
        <v>14</v>
      </c>
      <c r="F7148">
        <v>87.75</v>
      </c>
      <c r="G7148" t="s">
        <v>16</v>
      </c>
      <c r="H7148" t="s">
        <v>12</v>
      </c>
    </row>
    <row r="7149" spans="1:8" x14ac:dyDescent="0.25">
      <c r="A7149" s="1">
        <v>45670.791666666664</v>
      </c>
      <c r="B7149" t="s">
        <v>36</v>
      </c>
      <c r="C7149">
        <v>115.71</v>
      </c>
      <c r="D7149">
        <v>51.69</v>
      </c>
      <c r="E7149" t="s">
        <v>9</v>
      </c>
      <c r="F7149">
        <v>45.19</v>
      </c>
      <c r="G7149" t="s">
        <v>16</v>
      </c>
      <c r="H7149" t="s">
        <v>13</v>
      </c>
    </row>
    <row r="7150" spans="1:8" x14ac:dyDescent="0.25">
      <c r="A7150" s="1">
        <v>45670.833333333336</v>
      </c>
      <c r="B7150" t="s">
        <v>36</v>
      </c>
      <c r="C7150">
        <v>459.81</v>
      </c>
      <c r="D7150">
        <v>66.87</v>
      </c>
      <c r="E7150" t="s">
        <v>9</v>
      </c>
      <c r="F7150">
        <v>58.51</v>
      </c>
      <c r="G7150" t="s">
        <v>16</v>
      </c>
      <c r="H7150" t="s">
        <v>11</v>
      </c>
    </row>
    <row r="7151" spans="1:8" x14ac:dyDescent="0.25">
      <c r="A7151" s="1">
        <v>45670.875</v>
      </c>
      <c r="B7151" t="s">
        <v>36</v>
      </c>
      <c r="C7151">
        <v>486.65</v>
      </c>
      <c r="D7151">
        <v>78.39</v>
      </c>
      <c r="E7151" t="s">
        <v>9</v>
      </c>
      <c r="F7151">
        <v>45.26</v>
      </c>
      <c r="G7151" t="s">
        <v>16</v>
      </c>
      <c r="H7151" t="s">
        <v>12</v>
      </c>
    </row>
    <row r="7152" spans="1:8" x14ac:dyDescent="0.25">
      <c r="A7152" s="1">
        <v>45670.916666666664</v>
      </c>
      <c r="B7152" t="s">
        <v>36</v>
      </c>
      <c r="C7152">
        <v>73.36</v>
      </c>
      <c r="D7152">
        <v>61</v>
      </c>
      <c r="E7152" t="s">
        <v>9</v>
      </c>
      <c r="F7152">
        <v>61.2</v>
      </c>
      <c r="G7152" t="s">
        <v>16</v>
      </c>
      <c r="H7152" t="s">
        <v>13</v>
      </c>
    </row>
    <row r="7153" spans="1:8" x14ac:dyDescent="0.25">
      <c r="A7153" s="1">
        <v>45670.958333333336</v>
      </c>
      <c r="B7153" t="s">
        <v>36</v>
      </c>
      <c r="C7153">
        <v>290.69</v>
      </c>
      <c r="D7153">
        <v>46.51</v>
      </c>
      <c r="E7153" t="s">
        <v>9</v>
      </c>
      <c r="F7153">
        <v>68.37</v>
      </c>
      <c r="G7153" t="s">
        <v>16</v>
      </c>
      <c r="H7153" t="s">
        <v>11</v>
      </c>
    </row>
    <row r="7154" spans="1:8" x14ac:dyDescent="0.25">
      <c r="A7154" s="1">
        <v>45671</v>
      </c>
      <c r="B7154" t="s">
        <v>36</v>
      </c>
      <c r="C7154">
        <v>59.55</v>
      </c>
      <c r="D7154">
        <v>79.97</v>
      </c>
      <c r="E7154" t="s">
        <v>9</v>
      </c>
      <c r="F7154">
        <v>36.79</v>
      </c>
      <c r="G7154" t="s">
        <v>16</v>
      </c>
      <c r="H7154" t="s">
        <v>11</v>
      </c>
    </row>
    <row r="7155" spans="1:8" x14ac:dyDescent="0.25">
      <c r="A7155" s="1">
        <v>45671.041666666664</v>
      </c>
      <c r="B7155" t="s">
        <v>36</v>
      </c>
      <c r="C7155">
        <v>310.95999999999998</v>
      </c>
      <c r="D7155">
        <v>71.150000000000006</v>
      </c>
      <c r="E7155" t="s">
        <v>9</v>
      </c>
      <c r="F7155">
        <v>54.65</v>
      </c>
      <c r="G7155" t="s">
        <v>16</v>
      </c>
      <c r="H7155" t="s">
        <v>11</v>
      </c>
    </row>
    <row r="7156" spans="1:8" x14ac:dyDescent="0.25">
      <c r="A7156" s="1">
        <v>45671.083333333336</v>
      </c>
      <c r="B7156" t="s">
        <v>36</v>
      </c>
      <c r="C7156">
        <v>393.38</v>
      </c>
      <c r="D7156">
        <v>90.43</v>
      </c>
      <c r="E7156" t="s">
        <v>14</v>
      </c>
      <c r="F7156">
        <v>81.64</v>
      </c>
      <c r="G7156" t="s">
        <v>16</v>
      </c>
      <c r="H7156" t="s">
        <v>13</v>
      </c>
    </row>
    <row r="7157" spans="1:8" x14ac:dyDescent="0.25">
      <c r="A7157" s="1">
        <v>45671.125</v>
      </c>
      <c r="B7157" t="s">
        <v>36</v>
      </c>
      <c r="C7157">
        <v>450.25</v>
      </c>
      <c r="D7157">
        <v>60.94</v>
      </c>
      <c r="E7157" t="s">
        <v>9</v>
      </c>
      <c r="F7157">
        <v>48.77</v>
      </c>
      <c r="G7157" t="s">
        <v>16</v>
      </c>
      <c r="H7157" t="s">
        <v>11</v>
      </c>
    </row>
    <row r="7158" spans="1:8" x14ac:dyDescent="0.25">
      <c r="A7158" s="1">
        <v>45671.166666666664</v>
      </c>
      <c r="B7158" t="s">
        <v>36</v>
      </c>
      <c r="C7158">
        <v>365.78</v>
      </c>
      <c r="D7158">
        <v>57.99</v>
      </c>
      <c r="E7158" t="s">
        <v>9</v>
      </c>
      <c r="F7158">
        <v>66.11</v>
      </c>
      <c r="G7158" t="s">
        <v>16</v>
      </c>
      <c r="H7158" t="s">
        <v>12</v>
      </c>
    </row>
    <row r="7159" spans="1:8" x14ac:dyDescent="0.25">
      <c r="A7159" s="1">
        <v>45671.208333333336</v>
      </c>
      <c r="B7159" t="s">
        <v>36</v>
      </c>
      <c r="C7159">
        <v>453.71</v>
      </c>
      <c r="D7159">
        <v>16.66</v>
      </c>
      <c r="E7159" t="s">
        <v>9</v>
      </c>
      <c r="F7159">
        <v>63.72</v>
      </c>
      <c r="G7159" t="s">
        <v>16</v>
      </c>
      <c r="H7159" t="s">
        <v>13</v>
      </c>
    </row>
    <row r="7160" spans="1:8" x14ac:dyDescent="0.25">
      <c r="A7160" s="1">
        <v>45671.25</v>
      </c>
      <c r="B7160" t="s">
        <v>36</v>
      </c>
      <c r="C7160">
        <v>282.8</v>
      </c>
      <c r="D7160">
        <v>40.869999999999997</v>
      </c>
      <c r="E7160" t="s">
        <v>9</v>
      </c>
      <c r="F7160">
        <v>31.17</v>
      </c>
      <c r="G7160" t="s">
        <v>16</v>
      </c>
      <c r="H7160" t="s">
        <v>12</v>
      </c>
    </row>
    <row r="7161" spans="1:8" x14ac:dyDescent="0.25">
      <c r="A7161" s="1">
        <v>45671.291666666664</v>
      </c>
      <c r="B7161" t="s">
        <v>36</v>
      </c>
      <c r="C7161">
        <v>138.44999999999999</v>
      </c>
      <c r="D7161">
        <v>63.79</v>
      </c>
      <c r="E7161" t="s">
        <v>9</v>
      </c>
      <c r="F7161">
        <v>89.62</v>
      </c>
      <c r="G7161" t="s">
        <v>16</v>
      </c>
      <c r="H7161" t="s">
        <v>12</v>
      </c>
    </row>
    <row r="7162" spans="1:8" x14ac:dyDescent="0.25">
      <c r="A7162" s="1">
        <v>45671.333333333336</v>
      </c>
      <c r="B7162" t="s">
        <v>36</v>
      </c>
      <c r="C7162">
        <v>113.95</v>
      </c>
      <c r="D7162">
        <v>53.22</v>
      </c>
      <c r="E7162" t="s">
        <v>9</v>
      </c>
      <c r="F7162">
        <v>58.88</v>
      </c>
      <c r="G7162" t="s">
        <v>16</v>
      </c>
      <c r="H7162" t="s">
        <v>12</v>
      </c>
    </row>
    <row r="7163" spans="1:8" x14ac:dyDescent="0.25">
      <c r="A7163" s="1">
        <v>45671.375</v>
      </c>
      <c r="B7163" t="s">
        <v>36</v>
      </c>
      <c r="C7163">
        <v>439.07</v>
      </c>
      <c r="D7163">
        <v>28.47</v>
      </c>
      <c r="E7163" t="s">
        <v>9</v>
      </c>
      <c r="F7163">
        <v>84</v>
      </c>
      <c r="G7163" t="s">
        <v>16</v>
      </c>
      <c r="H7163" t="s">
        <v>11</v>
      </c>
    </row>
    <row r="7164" spans="1:8" x14ac:dyDescent="0.25">
      <c r="A7164" s="1">
        <v>45671.416666666664</v>
      </c>
      <c r="B7164" t="s">
        <v>36</v>
      </c>
      <c r="C7164">
        <v>293.60000000000002</v>
      </c>
      <c r="D7164">
        <v>66.81</v>
      </c>
      <c r="E7164" t="s">
        <v>9</v>
      </c>
      <c r="F7164">
        <v>48.94</v>
      </c>
      <c r="G7164" t="s">
        <v>16</v>
      </c>
      <c r="H7164" t="s">
        <v>12</v>
      </c>
    </row>
    <row r="7165" spans="1:8" x14ac:dyDescent="0.25">
      <c r="A7165" s="1">
        <v>45671.458333333336</v>
      </c>
      <c r="B7165" t="s">
        <v>36</v>
      </c>
      <c r="C7165">
        <v>343.66</v>
      </c>
      <c r="D7165">
        <v>18.28</v>
      </c>
      <c r="E7165" t="s">
        <v>9</v>
      </c>
      <c r="F7165">
        <v>47.58</v>
      </c>
      <c r="G7165" t="s">
        <v>16</v>
      </c>
      <c r="H7165" t="s">
        <v>12</v>
      </c>
    </row>
    <row r="7166" spans="1:8" x14ac:dyDescent="0.25">
      <c r="A7166" s="1">
        <v>45671.5</v>
      </c>
      <c r="B7166" t="s">
        <v>36</v>
      </c>
      <c r="C7166">
        <v>169.96</v>
      </c>
      <c r="D7166">
        <v>17.96</v>
      </c>
      <c r="E7166" t="s">
        <v>9</v>
      </c>
      <c r="F7166">
        <v>35.200000000000003</v>
      </c>
      <c r="G7166" t="s">
        <v>16</v>
      </c>
      <c r="H7166" t="s">
        <v>12</v>
      </c>
    </row>
    <row r="7167" spans="1:8" x14ac:dyDescent="0.25">
      <c r="A7167" s="1">
        <v>45671.541666666664</v>
      </c>
      <c r="B7167" t="s">
        <v>36</v>
      </c>
      <c r="C7167">
        <v>217.84</v>
      </c>
      <c r="D7167">
        <v>26.22</v>
      </c>
      <c r="E7167" t="s">
        <v>9</v>
      </c>
      <c r="F7167">
        <v>88.69</v>
      </c>
      <c r="G7167" t="s">
        <v>16</v>
      </c>
      <c r="H7167" t="s">
        <v>12</v>
      </c>
    </row>
    <row r="7168" spans="1:8" x14ac:dyDescent="0.25">
      <c r="A7168" s="1">
        <v>45671.583333333336</v>
      </c>
      <c r="B7168" t="s">
        <v>36</v>
      </c>
      <c r="C7168">
        <v>184.82</v>
      </c>
      <c r="D7168">
        <v>83.26</v>
      </c>
      <c r="E7168" t="s">
        <v>9</v>
      </c>
      <c r="F7168">
        <v>60.36</v>
      </c>
      <c r="G7168" t="s">
        <v>16</v>
      </c>
      <c r="H7168" t="s">
        <v>13</v>
      </c>
    </row>
    <row r="7169" spans="1:8" x14ac:dyDescent="0.25">
      <c r="A7169" s="1">
        <v>45671.625</v>
      </c>
      <c r="B7169" t="s">
        <v>36</v>
      </c>
      <c r="C7169">
        <v>156.29</v>
      </c>
      <c r="D7169">
        <v>21.4</v>
      </c>
      <c r="E7169" t="s">
        <v>9</v>
      </c>
      <c r="F7169">
        <v>36.229999999999997</v>
      </c>
      <c r="G7169" t="s">
        <v>16</v>
      </c>
      <c r="H7169" t="s">
        <v>12</v>
      </c>
    </row>
    <row r="7170" spans="1:8" x14ac:dyDescent="0.25">
      <c r="A7170" s="1">
        <v>45671.666666666664</v>
      </c>
      <c r="B7170" t="s">
        <v>36</v>
      </c>
      <c r="C7170">
        <v>359.15</v>
      </c>
      <c r="D7170">
        <v>77.86</v>
      </c>
      <c r="E7170" t="s">
        <v>9</v>
      </c>
      <c r="F7170">
        <v>71.7</v>
      </c>
      <c r="G7170" t="s">
        <v>16</v>
      </c>
      <c r="H7170" t="s">
        <v>12</v>
      </c>
    </row>
    <row r="7171" spans="1:8" x14ac:dyDescent="0.25">
      <c r="A7171" s="1">
        <v>45671.708333333336</v>
      </c>
      <c r="B7171" t="s">
        <v>36</v>
      </c>
      <c r="C7171">
        <v>375.18</v>
      </c>
      <c r="D7171">
        <v>64.180000000000007</v>
      </c>
      <c r="E7171" t="s">
        <v>9</v>
      </c>
      <c r="F7171">
        <v>55.02</v>
      </c>
      <c r="G7171" t="s">
        <v>16</v>
      </c>
      <c r="H7171" t="s">
        <v>11</v>
      </c>
    </row>
    <row r="7172" spans="1:8" x14ac:dyDescent="0.25">
      <c r="A7172" s="1">
        <v>45671.75</v>
      </c>
      <c r="B7172" t="s">
        <v>36</v>
      </c>
      <c r="C7172">
        <v>163.58000000000001</v>
      </c>
      <c r="D7172">
        <v>56.07</v>
      </c>
      <c r="E7172" t="s">
        <v>9</v>
      </c>
      <c r="F7172">
        <v>47.84</v>
      </c>
      <c r="G7172" t="s">
        <v>16</v>
      </c>
      <c r="H7172" t="s">
        <v>11</v>
      </c>
    </row>
    <row r="7173" spans="1:8" x14ac:dyDescent="0.25">
      <c r="A7173" s="1">
        <v>45671.791666666664</v>
      </c>
      <c r="B7173" t="s">
        <v>36</v>
      </c>
      <c r="C7173">
        <v>439.69</v>
      </c>
      <c r="D7173">
        <v>66.900000000000006</v>
      </c>
      <c r="E7173" t="s">
        <v>9</v>
      </c>
      <c r="F7173">
        <v>78.05</v>
      </c>
      <c r="G7173" t="s">
        <v>16</v>
      </c>
      <c r="H7173" t="s">
        <v>13</v>
      </c>
    </row>
    <row r="7174" spans="1:8" x14ac:dyDescent="0.25">
      <c r="A7174" s="1">
        <v>45671.833333333336</v>
      </c>
      <c r="B7174" t="s">
        <v>36</v>
      </c>
      <c r="C7174">
        <v>400.9</v>
      </c>
      <c r="D7174">
        <v>29.16</v>
      </c>
      <c r="E7174" t="s">
        <v>9</v>
      </c>
      <c r="F7174">
        <v>62.86</v>
      </c>
      <c r="G7174" t="s">
        <v>16</v>
      </c>
      <c r="H7174" t="s">
        <v>12</v>
      </c>
    </row>
    <row r="7175" spans="1:8" x14ac:dyDescent="0.25">
      <c r="A7175" s="1">
        <v>45671.875</v>
      </c>
      <c r="B7175" t="s">
        <v>36</v>
      </c>
      <c r="C7175">
        <v>270.8</v>
      </c>
      <c r="D7175">
        <v>23.47</v>
      </c>
      <c r="E7175" t="s">
        <v>9</v>
      </c>
      <c r="F7175">
        <v>74.05</v>
      </c>
      <c r="G7175" t="s">
        <v>16</v>
      </c>
      <c r="H7175" t="s">
        <v>11</v>
      </c>
    </row>
    <row r="7176" spans="1:8" x14ac:dyDescent="0.25">
      <c r="A7176" s="1">
        <v>45671.916666666664</v>
      </c>
      <c r="B7176" t="s">
        <v>36</v>
      </c>
      <c r="C7176">
        <v>300.54000000000002</v>
      </c>
      <c r="D7176">
        <v>71.47</v>
      </c>
      <c r="E7176" t="s">
        <v>9</v>
      </c>
      <c r="F7176">
        <v>48.19</v>
      </c>
      <c r="G7176" t="s">
        <v>16</v>
      </c>
      <c r="H7176" t="s">
        <v>12</v>
      </c>
    </row>
    <row r="7177" spans="1:8" x14ac:dyDescent="0.25">
      <c r="A7177" s="1">
        <v>45671.958333333336</v>
      </c>
      <c r="B7177" t="s">
        <v>36</v>
      </c>
      <c r="C7177">
        <v>185.72</v>
      </c>
      <c r="D7177">
        <v>16.989999999999998</v>
      </c>
      <c r="E7177" t="s">
        <v>9</v>
      </c>
      <c r="F7177">
        <v>80.349999999999994</v>
      </c>
      <c r="G7177" t="s">
        <v>16</v>
      </c>
      <c r="H7177" t="s">
        <v>13</v>
      </c>
    </row>
    <row r="7178" spans="1:8" x14ac:dyDescent="0.25">
      <c r="A7178" s="1">
        <v>45672</v>
      </c>
      <c r="B7178" t="s">
        <v>36</v>
      </c>
      <c r="C7178">
        <v>460.81</v>
      </c>
      <c r="D7178">
        <v>44.69</v>
      </c>
      <c r="E7178" t="s">
        <v>9</v>
      </c>
      <c r="F7178">
        <v>52.35</v>
      </c>
      <c r="G7178" t="s">
        <v>16</v>
      </c>
      <c r="H7178" t="s">
        <v>12</v>
      </c>
    </row>
    <row r="7179" spans="1:8" x14ac:dyDescent="0.25">
      <c r="A7179" s="1">
        <v>45672.041666666664</v>
      </c>
      <c r="B7179" t="s">
        <v>36</v>
      </c>
      <c r="C7179">
        <v>371.51</v>
      </c>
      <c r="D7179">
        <v>25.88</v>
      </c>
      <c r="E7179" t="s">
        <v>9</v>
      </c>
      <c r="F7179">
        <v>33.659999999999997</v>
      </c>
      <c r="G7179" t="s">
        <v>16</v>
      </c>
      <c r="H7179" t="s">
        <v>13</v>
      </c>
    </row>
    <row r="7180" spans="1:8" x14ac:dyDescent="0.25">
      <c r="A7180" s="1">
        <v>45672.083333333336</v>
      </c>
      <c r="B7180" t="s">
        <v>36</v>
      </c>
      <c r="C7180">
        <v>59.15</v>
      </c>
      <c r="D7180">
        <v>49.57</v>
      </c>
      <c r="E7180" t="s">
        <v>9</v>
      </c>
      <c r="F7180">
        <v>43.45</v>
      </c>
      <c r="G7180" t="s">
        <v>16</v>
      </c>
      <c r="H7180" t="s">
        <v>11</v>
      </c>
    </row>
    <row r="7181" spans="1:8" x14ac:dyDescent="0.25">
      <c r="A7181" s="1">
        <v>45672.125</v>
      </c>
      <c r="B7181" t="s">
        <v>36</v>
      </c>
      <c r="C7181">
        <v>312.64</v>
      </c>
      <c r="D7181">
        <v>30.18</v>
      </c>
      <c r="E7181" t="s">
        <v>9</v>
      </c>
      <c r="F7181">
        <v>30.41</v>
      </c>
      <c r="G7181" t="s">
        <v>16</v>
      </c>
      <c r="H7181" t="s">
        <v>12</v>
      </c>
    </row>
    <row r="7182" spans="1:8" x14ac:dyDescent="0.25">
      <c r="A7182" s="1">
        <v>45672.166666666664</v>
      </c>
      <c r="B7182" t="s">
        <v>36</v>
      </c>
      <c r="C7182">
        <v>174.99</v>
      </c>
      <c r="D7182">
        <v>62.91</v>
      </c>
      <c r="E7182" t="s">
        <v>9</v>
      </c>
      <c r="F7182">
        <v>89.45</v>
      </c>
      <c r="G7182" t="s">
        <v>16</v>
      </c>
      <c r="H7182" t="s">
        <v>13</v>
      </c>
    </row>
    <row r="7183" spans="1:8" x14ac:dyDescent="0.25">
      <c r="A7183" s="1">
        <v>45672.208333333336</v>
      </c>
      <c r="B7183" t="s">
        <v>36</v>
      </c>
      <c r="C7183">
        <v>89.15</v>
      </c>
      <c r="D7183">
        <v>31.64</v>
      </c>
      <c r="E7183" t="s">
        <v>9</v>
      </c>
      <c r="F7183">
        <v>66.650000000000006</v>
      </c>
      <c r="G7183" t="s">
        <v>16</v>
      </c>
      <c r="H7183" t="s">
        <v>11</v>
      </c>
    </row>
    <row r="7184" spans="1:8" x14ac:dyDescent="0.25">
      <c r="A7184" s="1">
        <v>45672.25</v>
      </c>
      <c r="B7184" t="s">
        <v>36</v>
      </c>
      <c r="C7184">
        <v>231.26</v>
      </c>
      <c r="D7184">
        <v>66.25</v>
      </c>
      <c r="E7184" t="s">
        <v>9</v>
      </c>
      <c r="F7184">
        <v>30.28</v>
      </c>
      <c r="G7184" t="s">
        <v>16</v>
      </c>
      <c r="H7184" t="s">
        <v>12</v>
      </c>
    </row>
    <row r="7185" spans="1:8" x14ac:dyDescent="0.25">
      <c r="A7185" s="1">
        <v>45672.291666666664</v>
      </c>
      <c r="B7185" t="s">
        <v>36</v>
      </c>
      <c r="C7185">
        <v>139.71</v>
      </c>
      <c r="D7185">
        <v>28.36</v>
      </c>
      <c r="E7185" t="s">
        <v>9</v>
      </c>
      <c r="F7185">
        <v>77.959999999999994</v>
      </c>
      <c r="G7185" t="s">
        <v>16</v>
      </c>
      <c r="H7185" t="s">
        <v>13</v>
      </c>
    </row>
    <row r="7186" spans="1:8" x14ac:dyDescent="0.25">
      <c r="A7186" s="1">
        <v>45672.333333333336</v>
      </c>
      <c r="B7186" t="s">
        <v>36</v>
      </c>
      <c r="C7186">
        <v>495.55</v>
      </c>
      <c r="D7186">
        <v>79.569999999999993</v>
      </c>
      <c r="E7186" t="s">
        <v>9</v>
      </c>
      <c r="F7186">
        <v>38.51</v>
      </c>
      <c r="G7186" t="s">
        <v>16</v>
      </c>
      <c r="H7186" t="s">
        <v>13</v>
      </c>
    </row>
    <row r="7187" spans="1:8" x14ac:dyDescent="0.25">
      <c r="A7187" s="1">
        <v>45672.375</v>
      </c>
      <c r="B7187" t="s">
        <v>36</v>
      </c>
      <c r="C7187">
        <v>108.57</v>
      </c>
      <c r="D7187">
        <v>69.040000000000006</v>
      </c>
      <c r="E7187" t="s">
        <v>9</v>
      </c>
      <c r="F7187">
        <v>79.03</v>
      </c>
      <c r="G7187" t="s">
        <v>16</v>
      </c>
      <c r="H7187" t="s">
        <v>13</v>
      </c>
    </row>
    <row r="7188" spans="1:8" x14ac:dyDescent="0.25">
      <c r="A7188" s="1">
        <v>45672.416666666664</v>
      </c>
      <c r="B7188" t="s">
        <v>36</v>
      </c>
      <c r="C7188">
        <v>197.06</v>
      </c>
      <c r="D7188">
        <v>88.32</v>
      </c>
      <c r="E7188" t="s">
        <v>14</v>
      </c>
      <c r="F7188">
        <v>30.79</v>
      </c>
      <c r="G7188" t="s">
        <v>16</v>
      </c>
      <c r="H7188" t="s">
        <v>13</v>
      </c>
    </row>
    <row r="7189" spans="1:8" x14ac:dyDescent="0.25">
      <c r="A7189" s="1">
        <v>45672.458333333336</v>
      </c>
      <c r="B7189" t="s">
        <v>36</v>
      </c>
      <c r="C7189">
        <v>122.46</v>
      </c>
      <c r="D7189">
        <v>29.23</v>
      </c>
      <c r="E7189" t="s">
        <v>9</v>
      </c>
      <c r="F7189">
        <v>73.5</v>
      </c>
      <c r="G7189" t="s">
        <v>16</v>
      </c>
      <c r="H7189" t="s">
        <v>11</v>
      </c>
    </row>
    <row r="7190" spans="1:8" x14ac:dyDescent="0.25">
      <c r="A7190" s="1">
        <v>45672.5</v>
      </c>
      <c r="B7190" t="s">
        <v>36</v>
      </c>
      <c r="C7190">
        <v>351.24</v>
      </c>
      <c r="D7190">
        <v>85.28</v>
      </c>
      <c r="E7190" t="s">
        <v>14</v>
      </c>
      <c r="F7190">
        <v>37.26</v>
      </c>
      <c r="G7190" t="s">
        <v>16</v>
      </c>
      <c r="H7190" t="s">
        <v>13</v>
      </c>
    </row>
    <row r="7191" spans="1:8" x14ac:dyDescent="0.25">
      <c r="A7191" s="1">
        <v>45672.541666666664</v>
      </c>
      <c r="B7191" t="s">
        <v>36</v>
      </c>
      <c r="C7191">
        <v>281.8</v>
      </c>
      <c r="D7191">
        <v>25.83</v>
      </c>
      <c r="E7191" t="s">
        <v>9</v>
      </c>
      <c r="F7191">
        <v>38.89</v>
      </c>
      <c r="G7191" t="s">
        <v>16</v>
      </c>
      <c r="H7191" t="s">
        <v>11</v>
      </c>
    </row>
    <row r="7192" spans="1:8" x14ac:dyDescent="0.25">
      <c r="A7192" s="1">
        <v>45672.583333333336</v>
      </c>
      <c r="B7192" t="s">
        <v>36</v>
      </c>
      <c r="C7192">
        <v>57.7</v>
      </c>
      <c r="D7192">
        <v>18.899999999999999</v>
      </c>
      <c r="E7192" t="s">
        <v>9</v>
      </c>
      <c r="F7192">
        <v>37.14</v>
      </c>
      <c r="G7192" t="s">
        <v>16</v>
      </c>
      <c r="H7192" t="s">
        <v>13</v>
      </c>
    </row>
    <row r="7193" spans="1:8" x14ac:dyDescent="0.25">
      <c r="A7193" s="1">
        <v>45672.625</v>
      </c>
      <c r="B7193" t="s">
        <v>36</v>
      </c>
      <c r="C7193">
        <v>127.45</v>
      </c>
      <c r="D7193">
        <v>22.78</v>
      </c>
      <c r="E7193" t="s">
        <v>9</v>
      </c>
      <c r="F7193">
        <v>30.01</v>
      </c>
      <c r="G7193" t="s">
        <v>16</v>
      </c>
      <c r="H7193" t="s">
        <v>12</v>
      </c>
    </row>
    <row r="7194" spans="1:8" x14ac:dyDescent="0.25">
      <c r="A7194" s="1">
        <v>45672.666666666664</v>
      </c>
      <c r="B7194" t="s">
        <v>36</v>
      </c>
      <c r="C7194">
        <v>400.62</v>
      </c>
      <c r="D7194">
        <v>84.6</v>
      </c>
      <c r="E7194" t="s">
        <v>9</v>
      </c>
      <c r="F7194">
        <v>53.38</v>
      </c>
      <c r="G7194" t="s">
        <v>16</v>
      </c>
      <c r="H7194" t="s">
        <v>13</v>
      </c>
    </row>
    <row r="7195" spans="1:8" x14ac:dyDescent="0.25">
      <c r="A7195" s="1">
        <v>45672.708333333336</v>
      </c>
      <c r="B7195" t="s">
        <v>36</v>
      </c>
      <c r="C7195">
        <v>407.7</v>
      </c>
      <c r="D7195">
        <v>30.11</v>
      </c>
      <c r="E7195" t="s">
        <v>9</v>
      </c>
      <c r="F7195">
        <v>44.96</v>
      </c>
      <c r="G7195" t="s">
        <v>16</v>
      </c>
      <c r="H7195" t="s">
        <v>12</v>
      </c>
    </row>
    <row r="7196" spans="1:8" x14ac:dyDescent="0.25">
      <c r="A7196" s="1">
        <v>45672.75</v>
      </c>
      <c r="B7196" t="s">
        <v>36</v>
      </c>
      <c r="C7196">
        <v>113.96</v>
      </c>
      <c r="D7196">
        <v>83.84</v>
      </c>
      <c r="E7196" t="s">
        <v>9</v>
      </c>
      <c r="F7196">
        <v>59.83</v>
      </c>
      <c r="G7196" t="s">
        <v>16</v>
      </c>
      <c r="H7196" t="s">
        <v>13</v>
      </c>
    </row>
    <row r="7197" spans="1:8" x14ac:dyDescent="0.25">
      <c r="A7197" s="1">
        <v>45672.791666666664</v>
      </c>
      <c r="B7197" t="s">
        <v>36</v>
      </c>
      <c r="C7197">
        <v>232.46</v>
      </c>
      <c r="D7197">
        <v>39.07</v>
      </c>
      <c r="E7197" t="s">
        <v>9</v>
      </c>
      <c r="F7197">
        <v>60.88</v>
      </c>
      <c r="G7197" t="s">
        <v>16</v>
      </c>
      <c r="H7197" t="s">
        <v>13</v>
      </c>
    </row>
    <row r="7198" spans="1:8" x14ac:dyDescent="0.25">
      <c r="A7198" s="1">
        <v>45672.833333333336</v>
      </c>
      <c r="B7198" t="s">
        <v>36</v>
      </c>
      <c r="C7198">
        <v>479.36</v>
      </c>
      <c r="D7198">
        <v>25.43</v>
      </c>
      <c r="E7198" t="s">
        <v>9</v>
      </c>
      <c r="F7198">
        <v>70.81</v>
      </c>
      <c r="G7198" t="s">
        <v>16</v>
      </c>
      <c r="H7198" t="s">
        <v>13</v>
      </c>
    </row>
    <row r="7199" spans="1:8" x14ac:dyDescent="0.25">
      <c r="A7199" s="1">
        <v>45672.875</v>
      </c>
      <c r="B7199" t="s">
        <v>36</v>
      </c>
      <c r="C7199">
        <v>300.83999999999997</v>
      </c>
      <c r="D7199">
        <v>68.95</v>
      </c>
      <c r="E7199" t="s">
        <v>9</v>
      </c>
      <c r="F7199">
        <v>40</v>
      </c>
      <c r="G7199" t="s">
        <v>16</v>
      </c>
      <c r="H7199" t="s">
        <v>11</v>
      </c>
    </row>
    <row r="7200" spans="1:8" x14ac:dyDescent="0.25">
      <c r="A7200" s="1">
        <v>45672.916666666664</v>
      </c>
      <c r="B7200" t="s">
        <v>36</v>
      </c>
      <c r="C7200">
        <v>156.19</v>
      </c>
      <c r="D7200">
        <v>25.81</v>
      </c>
      <c r="E7200" t="s">
        <v>9</v>
      </c>
      <c r="F7200">
        <v>32.51</v>
      </c>
      <c r="G7200" t="s">
        <v>16</v>
      </c>
      <c r="H7200" t="s">
        <v>13</v>
      </c>
    </row>
    <row r="7201" spans="1:8" x14ac:dyDescent="0.25">
      <c r="A7201" s="1">
        <v>45672.958333333336</v>
      </c>
      <c r="B7201" t="s">
        <v>36</v>
      </c>
      <c r="C7201">
        <v>137.5</v>
      </c>
      <c r="D7201">
        <v>82.22</v>
      </c>
      <c r="E7201" t="s">
        <v>9</v>
      </c>
      <c r="F7201">
        <v>46.03</v>
      </c>
      <c r="G7201" t="s">
        <v>16</v>
      </c>
      <c r="H72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9704-5C61-4F97-A5CD-2B45EB8EBF07}">
  <dimension ref="A1:H52"/>
  <sheetViews>
    <sheetView showGridLines="0" workbookViewId="0">
      <selection sqref="A1:H1"/>
    </sheetView>
  </sheetViews>
  <sheetFormatPr defaultRowHeight="15" x14ac:dyDescent="0.25"/>
  <cols>
    <col min="1" max="1" width="19" bestFit="1" customWidth="1"/>
    <col min="2" max="2" width="69.42578125" bestFit="1" customWidth="1"/>
    <col min="3" max="3" width="18.140625" bestFit="1" customWidth="1"/>
    <col min="5" max="6" width="0" hidden="1" customWidth="1"/>
  </cols>
  <sheetData>
    <row r="1" spans="1:8" ht="24" x14ac:dyDescent="0.4">
      <c r="A1" s="33" t="s">
        <v>37</v>
      </c>
      <c r="B1" s="33"/>
      <c r="C1" s="33"/>
      <c r="D1" s="33"/>
      <c r="E1" s="33"/>
      <c r="F1" s="33"/>
      <c r="G1" s="33"/>
      <c r="H1" s="33"/>
    </row>
    <row r="3" spans="1:8" ht="15.75" x14ac:dyDescent="0.25">
      <c r="A3" s="3" t="s">
        <v>38</v>
      </c>
    </row>
    <row r="4" spans="1:8" x14ac:dyDescent="0.25">
      <c r="A4" t="s">
        <v>39</v>
      </c>
      <c r="B4">
        <v>7200</v>
      </c>
    </row>
    <row r="5" spans="1:8" x14ac:dyDescent="0.25">
      <c r="A5" t="s">
        <v>40</v>
      </c>
      <c r="B5">
        <v>20</v>
      </c>
    </row>
    <row r="6" spans="1:8" x14ac:dyDescent="0.25">
      <c r="A6" t="s">
        <v>41</v>
      </c>
      <c r="B6">
        <v>4</v>
      </c>
    </row>
    <row r="7" spans="1:8" x14ac:dyDescent="0.25">
      <c r="A7" t="s">
        <v>42</v>
      </c>
      <c r="B7" t="s">
        <v>43</v>
      </c>
    </row>
    <row r="8" spans="1:8" x14ac:dyDescent="0.25">
      <c r="A8" t="s">
        <v>44</v>
      </c>
      <c r="B8" t="s">
        <v>45</v>
      </c>
    </row>
    <row r="10" spans="1:8" x14ac:dyDescent="0.25">
      <c r="A10" s="34" t="s">
        <v>46</v>
      </c>
      <c r="B10" s="34"/>
      <c r="C10" s="34"/>
      <c r="D10" s="34"/>
      <c r="E10" s="34"/>
      <c r="F10" s="34"/>
    </row>
    <row r="11" spans="1:8" x14ac:dyDescent="0.25">
      <c r="A11" s="4" t="s">
        <v>47</v>
      </c>
      <c r="B11" s="4" t="s">
        <v>48</v>
      </c>
      <c r="C11" s="4" t="s">
        <v>49</v>
      </c>
    </row>
    <row r="12" spans="1:8" x14ac:dyDescent="0.25">
      <c r="A12" t="s">
        <v>10</v>
      </c>
      <c r="B12" s="5">
        <f>AVERAGEIF(building_energy_data!G:G,A12,building_energy_data!C:C)</f>
        <v>272.72319907407456</v>
      </c>
      <c r="C12" s="5">
        <f>SUMIF(building_energy_data!G:G,A12,building_energy_data!C:C)</f>
        <v>589082.11000000103</v>
      </c>
    </row>
    <row r="13" spans="1:8" x14ac:dyDescent="0.25">
      <c r="A13" t="s">
        <v>16</v>
      </c>
      <c r="B13" s="5">
        <f>AVERAGEIF(building_energy_data!G:G,A13,building_energy_data!C:C)</f>
        <v>285.54943055555589</v>
      </c>
      <c r="C13" s="5">
        <f>SUMIF(building_energy_data!G:G,A13,building_energy_data!C:C)</f>
        <v>411191.18000000046</v>
      </c>
    </row>
    <row r="14" spans="1:8" x14ac:dyDescent="0.25">
      <c r="A14" t="s">
        <v>20</v>
      </c>
      <c r="B14" s="5">
        <f>AVERAGEIF(building_energy_data!G:G,A14,building_energy_data!C:C)</f>
        <v>279.02611111111128</v>
      </c>
      <c r="C14" s="5">
        <f>SUMIF(building_energy_data!G:G,A14,building_energy_data!C:C)</f>
        <v>502247.00000000035</v>
      </c>
    </row>
    <row r="15" spans="1:8" x14ac:dyDescent="0.25">
      <c r="A15" t="s">
        <v>22</v>
      </c>
      <c r="B15" s="5">
        <f>AVERAGEIF(building_energy_data!G:G,A15,building_energy_data!C:C)</f>
        <v>276.74290000000047</v>
      </c>
      <c r="C15" s="5">
        <f>SUMIF(building_energy_data!G:G,A15,building_energy_data!C:C)</f>
        <v>498137.22000000085</v>
      </c>
    </row>
    <row r="17" spans="1:6" x14ac:dyDescent="0.25">
      <c r="A17" s="34" t="s">
        <v>50</v>
      </c>
      <c r="B17" s="34"/>
      <c r="C17" s="34"/>
      <c r="D17" s="34"/>
      <c r="E17" s="34"/>
      <c r="F17" s="34"/>
    </row>
    <row r="18" spans="1:6" x14ac:dyDescent="0.25">
      <c r="A18" s="6" t="s">
        <v>51</v>
      </c>
      <c r="B18" s="6" t="s">
        <v>52</v>
      </c>
      <c r="C18" s="6" t="s">
        <v>53</v>
      </c>
    </row>
    <row r="19" spans="1:6" x14ac:dyDescent="0.25">
      <c r="A19" t="s">
        <v>54</v>
      </c>
      <c r="B19">
        <f>COUNTIF(building_energy_data!E:E,"Normal")</f>
        <v>6300</v>
      </c>
      <c r="C19" s="8">
        <f>B19/B21</f>
        <v>0.875</v>
      </c>
    </row>
    <row r="20" spans="1:6" x14ac:dyDescent="0.25">
      <c r="A20" t="s">
        <v>55</v>
      </c>
      <c r="B20">
        <f>COUNTIF(building_energy_data!E:E,"*High Demand*")</f>
        <v>900</v>
      </c>
      <c r="C20" s="8">
        <f>B20/B21</f>
        <v>0.125</v>
      </c>
    </row>
    <row r="21" spans="1:6" x14ac:dyDescent="0.25">
      <c r="A21" t="s">
        <v>56</v>
      </c>
      <c r="B21">
        <f>B19+B20</f>
        <v>7200</v>
      </c>
      <c r="C21" s="7">
        <v>1</v>
      </c>
    </row>
    <row r="23" spans="1:6" x14ac:dyDescent="0.25">
      <c r="A23" s="34" t="s">
        <v>57</v>
      </c>
      <c r="B23" s="34"/>
      <c r="C23" s="34"/>
      <c r="D23" s="34"/>
      <c r="E23" s="34"/>
      <c r="F23" s="34"/>
    </row>
    <row r="24" spans="1:6" x14ac:dyDescent="0.25">
      <c r="A24" s="9" t="s">
        <v>58</v>
      </c>
      <c r="B24" s="9" t="s">
        <v>48</v>
      </c>
    </row>
    <row r="25" spans="1:6" x14ac:dyDescent="0.25">
      <c r="A25" t="s">
        <v>11</v>
      </c>
      <c r="B25" s="5">
        <f>AVERAGEIF(building_energy_data!H:H,A25,building_energy_data!C:C)</f>
        <v>279.60759457236821</v>
      </c>
    </row>
    <row r="26" spans="1:6" x14ac:dyDescent="0.25">
      <c r="A26" t="s">
        <v>13</v>
      </c>
      <c r="B26" s="5">
        <f>AVERAGEIF(building_energy_data!H:H,A26,building_energy_data!C:C)</f>
        <v>275.92576465590525</v>
      </c>
    </row>
    <row r="27" spans="1:6" x14ac:dyDescent="0.25">
      <c r="A27" t="s">
        <v>12</v>
      </c>
      <c r="B27" s="5">
        <f>AVERAGEIF(building_energy_data!H:H,A27,building_energy_data!C:C)</f>
        <v>278.01267191383602</v>
      </c>
    </row>
    <row r="29" spans="1:6" x14ac:dyDescent="0.25">
      <c r="A29" s="34" t="s">
        <v>59</v>
      </c>
      <c r="B29" s="34"/>
      <c r="C29" s="34"/>
      <c r="D29" s="34"/>
      <c r="E29" s="34"/>
      <c r="F29" s="34"/>
    </row>
    <row r="30" spans="1:6" x14ac:dyDescent="0.25">
      <c r="A30" s="10" t="s">
        <v>60</v>
      </c>
      <c r="B30" s="10" t="s">
        <v>61</v>
      </c>
      <c r="C30" s="10" t="s">
        <v>49</v>
      </c>
      <c r="E30" s="10" t="s">
        <v>62</v>
      </c>
      <c r="F30" s="10" t="s">
        <v>63</v>
      </c>
    </row>
    <row r="31" spans="1:6" x14ac:dyDescent="0.25">
      <c r="A31">
        <v>1</v>
      </c>
      <c r="B31" t="str">
        <f>INDEX($E$31:$E$50,MATCH(C31,$F$31:$F$50,0))</f>
        <v>B014</v>
      </c>
      <c r="C31" s="5">
        <f>LARGE($F$31:$F$50,1)</f>
        <v>103663.54000000005</v>
      </c>
      <c r="E31" t="s">
        <v>8</v>
      </c>
      <c r="F31" s="5">
        <f>SUMIF(building_energy_data!B:B,E31,building_energy_data!C:C)</f>
        <v>95560.949999999866</v>
      </c>
    </row>
    <row r="32" spans="1:6" x14ac:dyDescent="0.25">
      <c r="A32">
        <v>2</v>
      </c>
      <c r="B32" t="str">
        <f>INDEX($E$31:$E$50,MATCH(C32,$F$31:$F$50,0))</f>
        <v>B008</v>
      </c>
      <c r="C32" s="5">
        <f>LARGE($F$31:$F$50,2)</f>
        <v>103135.37000000001</v>
      </c>
      <c r="E32" t="s">
        <v>15</v>
      </c>
      <c r="F32" s="5">
        <f>SUMIF(building_energy_data!B:B,E32,building_energy_data!C:C)</f>
        <v>102672.52000000006</v>
      </c>
    </row>
    <row r="33" spans="1:6" x14ac:dyDescent="0.25">
      <c r="A33">
        <v>3</v>
      </c>
      <c r="B33" t="str">
        <f>INDEX($E$31:$E$50,MATCH(C33,$F$31:$F$50,0))</f>
        <v>B002</v>
      </c>
      <c r="C33" s="5">
        <f>LARGE($F$31:$F$50,3)</f>
        <v>102672.52000000006</v>
      </c>
      <c r="E33" t="s">
        <v>17</v>
      </c>
      <c r="F33" s="5">
        <f>SUMIF(building_energy_data!B:B,E33,building_energy_data!C:C)</f>
        <v>98027.940000000061</v>
      </c>
    </row>
    <row r="34" spans="1:6" x14ac:dyDescent="0.25">
      <c r="A34">
        <v>4</v>
      </c>
      <c r="B34" t="str">
        <f>INDEX($E$31:$E$50,MATCH(C34,$F$31:$F$50,0))</f>
        <v>B009</v>
      </c>
      <c r="C34" s="5">
        <f>LARGE($F$31:$F$50,4)</f>
        <v>102214.56999999995</v>
      </c>
      <c r="E34" t="s">
        <v>18</v>
      </c>
      <c r="F34" s="5">
        <f>SUMIF(building_energy_data!B:B,E34,building_energy_data!C:C)</f>
        <v>97043.779999999955</v>
      </c>
    </row>
    <row r="35" spans="1:6" x14ac:dyDescent="0.25">
      <c r="A35">
        <v>5</v>
      </c>
      <c r="B35" t="str">
        <f>INDEX($E$31:$E$50,MATCH(C35,$F$31:$F$50,0))</f>
        <v>B015</v>
      </c>
      <c r="C35" s="5">
        <f>LARGE($F$31:$F$50,5)</f>
        <v>102083.78000000001</v>
      </c>
      <c r="E35" t="s">
        <v>19</v>
      </c>
      <c r="F35" s="5">
        <f>SUMIF(building_energy_data!B:B,E35,building_energy_data!C:C)</f>
        <v>98938.540000000023</v>
      </c>
    </row>
    <row r="36" spans="1:6" x14ac:dyDescent="0.25">
      <c r="E36" t="s">
        <v>21</v>
      </c>
      <c r="F36" s="5">
        <f>SUMIF(building_energy_data!B:B,E36,building_energy_data!C:C)</f>
        <v>97068.870000000054</v>
      </c>
    </row>
    <row r="37" spans="1:6" x14ac:dyDescent="0.25">
      <c r="A37" s="34" t="s">
        <v>64</v>
      </c>
      <c r="B37" s="34"/>
      <c r="C37" s="34"/>
      <c r="D37" s="34"/>
      <c r="E37" s="34"/>
      <c r="F37" s="34"/>
    </row>
    <row r="38" spans="1:6" x14ac:dyDescent="0.25">
      <c r="A38" s="11" t="s">
        <v>65</v>
      </c>
      <c r="B38" s="11" t="s">
        <v>48</v>
      </c>
      <c r="C38" s="11" t="s">
        <v>66</v>
      </c>
      <c r="E38" t="s">
        <v>24</v>
      </c>
      <c r="F38" s="5">
        <f>SUMIF(building_energy_data!B:B,E38,building_energy_data!C:C)</f>
        <v>103135.37000000001</v>
      </c>
    </row>
    <row r="39" spans="1:6" x14ac:dyDescent="0.25">
      <c r="A39" t="s">
        <v>67</v>
      </c>
      <c r="B39" s="5">
        <f>AVERAGEIFS(building_energy_data!C:C,building_energy_data!D:D,"&lt;40")</f>
        <v>276.23524604193403</v>
      </c>
      <c r="C39" s="12">
        <f>COUNTIFS(building_energy_data!D:D,"&lt;40")</f>
        <v>2337</v>
      </c>
      <c r="E39" t="s">
        <v>25</v>
      </c>
      <c r="F39" s="5">
        <f>SUMIF(building_energy_data!B:B,E39,building_energy_data!C:C)</f>
        <v>102214.56999999995</v>
      </c>
    </row>
    <row r="40" spans="1:6" x14ac:dyDescent="0.25">
      <c r="A40" t="s">
        <v>68</v>
      </c>
      <c r="B40" s="5">
        <f>AVERAGEIFS(building_energy_data!C:C,building_energy_data!D:D,"&gt;=40",building_energy_data!D:D,"&lt;60")</f>
        <v>278.6570898550728</v>
      </c>
      <c r="C40" s="12">
        <f>COUNTIFS(building_energy_data!D:D,"&gt;=40",building_energy_data!D:D,"&lt;60")</f>
        <v>1725</v>
      </c>
      <c r="E40" t="s">
        <v>26</v>
      </c>
      <c r="F40" s="5">
        <f>SUMIF(building_energy_data!B:B,E40,building_energy_data!C:C)</f>
        <v>101476.33</v>
      </c>
    </row>
    <row r="41" spans="1:6" x14ac:dyDescent="0.25">
      <c r="A41" t="s">
        <v>69</v>
      </c>
      <c r="B41" s="5">
        <f>AVERAGEIFS(building_energy_data!C:C,building_energy_data!D:D,"&gt;=60",building_energy_data!D:D,"&lt;75")</f>
        <v>277.45759053954214</v>
      </c>
      <c r="C41" s="12">
        <f>COUNTIFS(building_energy_data!D:D,"&gt;=60",building_energy_data!D:D,"&lt;75")</f>
        <v>1353</v>
      </c>
      <c r="E41" t="s">
        <v>27</v>
      </c>
      <c r="F41" s="5">
        <f>SUMIF(building_energy_data!B:B,E41,building_energy_data!C:C)</f>
        <v>99359.189999999973</v>
      </c>
    </row>
    <row r="42" spans="1:6" x14ac:dyDescent="0.25">
      <c r="A42" t="s">
        <v>70</v>
      </c>
      <c r="B42" s="5">
        <f>AVERAGEIFS(building_energy_data!C:C,building_energy_data!D:D,"&gt;=75",building_energy_data!D:D,"&lt;85")</f>
        <v>274.5843728813561</v>
      </c>
      <c r="C42" s="12">
        <f>COUNTIFS(building_energy_data!D:D,"&gt;=75",building_energy_data!D:D,"&lt;85")</f>
        <v>885</v>
      </c>
      <c r="E42" t="s">
        <v>28</v>
      </c>
      <c r="F42" s="5">
        <f>SUMIF(building_energy_data!B:B,E42,building_energy_data!C:C)</f>
        <v>100411.04999999993</v>
      </c>
    </row>
    <row r="43" spans="1:6" x14ac:dyDescent="0.25">
      <c r="A43" t="s">
        <v>71</v>
      </c>
      <c r="B43" s="5">
        <f>AVERAGEIFS(building_energy_data!C:C,building_energy_data!D:D,"&gt;=85")</f>
        <v>284.44996666666663</v>
      </c>
      <c r="C43" s="12">
        <f>COUNTIFS(building_energy_data!D:D,"&gt;=85")</f>
        <v>900</v>
      </c>
      <c r="E43" t="s">
        <v>29</v>
      </c>
      <c r="F43" s="5">
        <f>SUMIF(building_energy_data!B:B,E43,building_energy_data!C:C)</f>
        <v>101395.10999999996</v>
      </c>
    </row>
    <row r="44" spans="1:6" x14ac:dyDescent="0.25">
      <c r="E44" t="s">
        <v>30</v>
      </c>
      <c r="F44" s="5">
        <f>SUMIF(building_energy_data!B:B,E44,building_energy_data!C:C)</f>
        <v>103663.54000000005</v>
      </c>
    </row>
    <row r="45" spans="1:6" ht="18.75" x14ac:dyDescent="0.3">
      <c r="A45" s="32" t="s">
        <v>72</v>
      </c>
      <c r="B45" s="32"/>
      <c r="C45" s="32"/>
      <c r="D45" s="32"/>
      <c r="E45" t="s">
        <v>31</v>
      </c>
      <c r="F45" s="5">
        <f>SUMIF(building_energy_data!B:B,E45,building_energy_data!C:C)</f>
        <v>102083.78000000001</v>
      </c>
    </row>
    <row r="46" spans="1:6" x14ac:dyDescent="0.25">
      <c r="E46" t="s">
        <v>32</v>
      </c>
      <c r="F46" s="5">
        <f>SUMIF(building_energy_data!B:B,E46,building_energy_data!C:C)</f>
        <v>97550.019999999975</v>
      </c>
    </row>
    <row r="47" spans="1:6" x14ac:dyDescent="0.25">
      <c r="A47" s="2">
        <v>1</v>
      </c>
      <c r="B47" t="s">
        <v>73</v>
      </c>
      <c r="E47" t="s">
        <v>33</v>
      </c>
      <c r="F47" s="5">
        <f>SUMIF(building_energy_data!B:B,E47,building_energy_data!C:C)</f>
        <v>101023.49999999996</v>
      </c>
    </row>
    <row r="48" spans="1:6" x14ac:dyDescent="0.25">
      <c r="A48" s="2">
        <v>2</v>
      </c>
      <c r="B48" t="s">
        <v>74</v>
      </c>
      <c r="E48" t="s">
        <v>34</v>
      </c>
      <c r="F48" s="5">
        <f>SUMIF(building_energy_data!B:B,E48,building_energy_data!C:C)</f>
        <v>97191.749999999971</v>
      </c>
    </row>
    <row r="49" spans="1:6" x14ac:dyDescent="0.25">
      <c r="A49" s="2">
        <v>3</v>
      </c>
      <c r="B49" t="s">
        <v>75</v>
      </c>
      <c r="E49" t="s">
        <v>35</v>
      </c>
      <c r="F49" s="5">
        <f>SUMIF(building_energy_data!B:B,E49,building_energy_data!C:C)</f>
        <v>101077.83000000009</v>
      </c>
    </row>
    <row r="50" spans="1:6" x14ac:dyDescent="0.25">
      <c r="A50" s="2">
        <v>4</v>
      </c>
      <c r="B50" t="s">
        <v>76</v>
      </c>
      <c r="E50" t="s">
        <v>36</v>
      </c>
      <c r="F50" s="5">
        <f>SUMIF(building_energy_data!B:B,E50,building_energy_data!C:C)</f>
        <v>101719.75000000009</v>
      </c>
    </row>
    <row r="51" spans="1:6" x14ac:dyDescent="0.25">
      <c r="A51" s="2">
        <v>5</v>
      </c>
      <c r="B51" t="s">
        <v>77</v>
      </c>
    </row>
    <row r="52" spans="1:6" x14ac:dyDescent="0.25">
      <c r="A52" s="2">
        <v>6</v>
      </c>
      <c r="B52" t="s">
        <v>78</v>
      </c>
    </row>
  </sheetData>
  <mergeCells count="7">
    <mergeCell ref="A45:D45"/>
    <mergeCell ref="A1:H1"/>
    <mergeCell ref="A10:F10"/>
    <mergeCell ref="A17:F17"/>
    <mergeCell ref="A23:F23"/>
    <mergeCell ref="A29:F29"/>
    <mergeCell ref="A37:F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4729-5901-491B-8352-71BE5FDC383B}">
  <dimension ref="A1:F34"/>
  <sheetViews>
    <sheetView showGridLines="0" tabSelected="1" workbookViewId="0">
      <selection activeCell="V12" sqref="V12"/>
    </sheetView>
  </sheetViews>
  <sheetFormatPr defaultRowHeight="15" x14ac:dyDescent="0.25"/>
  <cols>
    <col min="1" max="1" width="28" bestFit="1" customWidth="1"/>
    <col min="2" max="2" width="29" customWidth="1"/>
    <col min="3" max="3" width="16.42578125" bestFit="1" customWidth="1"/>
    <col min="4" max="4" width="12.7109375" bestFit="1" customWidth="1"/>
    <col min="5" max="5" width="5.5703125" bestFit="1" customWidth="1"/>
    <col min="6" max="6" width="6.5703125" bestFit="1" customWidth="1"/>
  </cols>
  <sheetData>
    <row r="1" spans="1:6" ht="30" customHeight="1" x14ac:dyDescent="0.35">
      <c r="A1" s="35" t="s">
        <v>99</v>
      </c>
      <c r="B1" s="35"/>
      <c r="C1" s="35"/>
      <c r="D1" s="35"/>
    </row>
    <row r="3" spans="1:6" x14ac:dyDescent="0.25">
      <c r="A3" s="18" t="s">
        <v>51</v>
      </c>
      <c r="B3" s="18" t="s">
        <v>100</v>
      </c>
      <c r="C3" s="18" t="s">
        <v>101</v>
      </c>
      <c r="D3" s="18" t="s">
        <v>5</v>
      </c>
    </row>
    <row r="4" spans="1:6" x14ac:dyDescent="0.25">
      <c r="A4" s="19" t="s">
        <v>102</v>
      </c>
      <c r="B4" s="20">
        <f>AVERAGE(building_energy_data!C:C)</f>
        <v>277.86909861110991</v>
      </c>
      <c r="C4" s="20">
        <f>AVERAGE(building_energy_data!D:D)</f>
        <v>54.41141805555548</v>
      </c>
      <c r="D4" s="20">
        <f>AVERAGE(building_energy_data!F:F)</f>
        <v>59.826208333333568</v>
      </c>
    </row>
    <row r="5" spans="1:6" x14ac:dyDescent="0.25">
      <c r="A5" s="19" t="s">
        <v>103</v>
      </c>
      <c r="B5" s="20">
        <f>_xlfn.STDEV.S(building_energy_data!C:C)</f>
        <v>129.69385983160137</v>
      </c>
      <c r="C5" s="20">
        <f>_xlfn.STDEV.S(building_energy_data!D:D)</f>
        <v>23.460593117476417</v>
      </c>
      <c r="D5" s="20">
        <f>_xlfn.STDEV.S(building_energy_data!F:F)</f>
        <v>17.2758909574702</v>
      </c>
    </row>
    <row r="6" spans="1:6" x14ac:dyDescent="0.25">
      <c r="A6" s="19" t="s">
        <v>104</v>
      </c>
      <c r="B6" s="20">
        <f>MEDIAN(building_energy_data!C:C)</f>
        <v>279.40999999999997</v>
      </c>
      <c r="C6" s="20">
        <f>MEDIAN(building_energy_data!D:D)</f>
        <v>54.59</v>
      </c>
      <c r="D6" s="20">
        <f>MEDIAN(building_energy_data!F:F)</f>
        <v>59.67</v>
      </c>
    </row>
    <row r="7" spans="1:6" x14ac:dyDescent="0.25">
      <c r="A7" s="19" t="s">
        <v>105</v>
      </c>
      <c r="B7" s="20">
        <f>MIN(building_energy_data!C:C)</f>
        <v>50.05</v>
      </c>
      <c r="C7" s="20">
        <f>MIN(building_energy_data!D:D)</f>
        <v>14.02</v>
      </c>
      <c r="D7" s="20">
        <f>MIN(building_energy_data!F:F)</f>
        <v>30</v>
      </c>
    </row>
    <row r="8" spans="1:6" x14ac:dyDescent="0.25">
      <c r="A8" s="19" t="s">
        <v>106</v>
      </c>
      <c r="B8" s="20">
        <f>MAX(building_energy_data!C:C)</f>
        <v>499.92</v>
      </c>
      <c r="C8" s="20">
        <f>MAX(building_energy_data!D:D)</f>
        <v>95</v>
      </c>
      <c r="D8" s="20">
        <f>MAX(building_energy_data!F:F)</f>
        <v>89.99</v>
      </c>
    </row>
    <row r="10" spans="1:6" ht="15.75" x14ac:dyDescent="0.25">
      <c r="A10" s="21" t="s">
        <v>107</v>
      </c>
    </row>
    <row r="11" spans="1:6" x14ac:dyDescent="0.25">
      <c r="A11" s="17" t="s">
        <v>108</v>
      </c>
      <c r="B11" t="s">
        <v>117</v>
      </c>
    </row>
    <row r="12" spans="1:6" x14ac:dyDescent="0.25">
      <c r="A12" s="17" t="s">
        <v>109</v>
      </c>
      <c r="B12">
        <f>COUNTA(building_energy_data!A:A)-1</f>
        <v>7200</v>
      </c>
    </row>
    <row r="14" spans="1:6" ht="18.75" x14ac:dyDescent="0.3">
      <c r="A14" s="36" t="s">
        <v>110</v>
      </c>
      <c r="B14" s="37"/>
      <c r="C14" s="37"/>
      <c r="D14" s="37"/>
      <c r="E14" s="22"/>
      <c r="F14" s="22"/>
    </row>
    <row r="15" spans="1:6" x14ac:dyDescent="0.25">
      <c r="A15" s="23" t="s">
        <v>111</v>
      </c>
    </row>
    <row r="16" spans="1:6" x14ac:dyDescent="0.25">
      <c r="A16" s="24" t="s">
        <v>47</v>
      </c>
      <c r="B16" s="24" t="s">
        <v>102</v>
      </c>
      <c r="C16" s="24" t="s">
        <v>112</v>
      </c>
      <c r="D16" s="24" t="s">
        <v>104</v>
      </c>
      <c r="E16" s="24" t="s">
        <v>113</v>
      </c>
      <c r="F16" s="24" t="s">
        <v>114</v>
      </c>
    </row>
    <row r="17" spans="1:6" x14ac:dyDescent="0.25">
      <c r="A17" t="s">
        <v>10</v>
      </c>
      <c r="B17" s="25">
        <f>AVERAGEIF(building_energy_data!G:G,"Industrial",building_energy_data!C:C)</f>
        <v>272.72319907407456</v>
      </c>
      <c r="C17" s="25" cm="1">
        <f t="array" ref="C17">_xlfn.STDEV.S(IF(building_energy_data!G:G="Industrial",building_energy_data!C:C))</f>
        <v>129.24211749430222</v>
      </c>
      <c r="D17" s="25" cm="1">
        <f t="array" ref="D17">MEDIAN(IF(building_energy_data!G:G="Industrial",building_energy_data!C:C))</f>
        <v>273.45500000000004</v>
      </c>
      <c r="E17" s="25">
        <f>_xlfn.MINIFS(building_energy_data!C:C,building_energy_data!G:G,"Industrial")</f>
        <v>50.08</v>
      </c>
      <c r="F17" s="25">
        <f>_xlfn.MAXIFS(building_energy_data!C:C,building_energy_data!G:G,"Industrial")</f>
        <v>499.92</v>
      </c>
    </row>
    <row r="18" spans="1:6" x14ac:dyDescent="0.25">
      <c r="A18" t="s">
        <v>16</v>
      </c>
      <c r="B18" s="25">
        <f>AVERAGEIF(building_energy_data!G:G,"Residential",building_energy_data!C:C)</f>
        <v>285.54943055555589</v>
      </c>
      <c r="C18" s="25" cm="1">
        <f t="array" ref="C18">_xlfn.STDEV.S(IF(building_energy_data!G:G="Residential",building_energy_data!C:C))</f>
        <v>130.72465612630904</v>
      </c>
      <c r="D18" s="25" cm="1">
        <f t="array" ref="D18">MEDIAN(IF(building_energy_data!G:G="Residential",building_energy_data!C:C))</f>
        <v>290.065</v>
      </c>
      <c r="E18" s="25">
        <f>_xlfn.MINIFS(building_energy_data!C:C,building_energy_data!G:G,"Residential")</f>
        <v>50.32</v>
      </c>
      <c r="F18" s="25">
        <f>_xlfn.MAXIFS(building_energy_data!C:C,building_energy_data!G:G,"Residential")</f>
        <v>499.52</v>
      </c>
    </row>
    <row r="19" spans="1:6" x14ac:dyDescent="0.25">
      <c r="A19" t="s">
        <v>20</v>
      </c>
      <c r="B19" s="25">
        <f>AVERAGEIF(building_energy_data!G:G,"Commercial",building_energy_data!C:C)</f>
        <v>279.02611111111128</v>
      </c>
      <c r="C19" s="25" cm="1">
        <f t="array" ref="C19">_xlfn.STDEV.S(IF(building_energy_data!G:G="Commercial",building_energy_data!C:C))</f>
        <v>128.68687721655007</v>
      </c>
      <c r="D19" s="25" cm="1">
        <f t="array" ref="D19">MEDIAN(IF(building_energy_data!G:G="Commercial",building_energy_data!C:C))</f>
        <v>278.87</v>
      </c>
      <c r="E19" s="25">
        <f>_xlfn.MINIFS(building_energy_data!C:C,building_energy_data!G:G,"Commercial")</f>
        <v>50.52</v>
      </c>
      <c r="F19" s="25">
        <f>_xlfn.MAXIFS(building_energy_data!C:C,building_energy_data!G:G,"Commercial")</f>
        <v>499.85</v>
      </c>
    </row>
    <row r="20" spans="1:6" x14ac:dyDescent="0.25">
      <c r="A20" t="s">
        <v>22</v>
      </c>
      <c r="B20" s="25">
        <f>AVERAGEIF(building_energy_data!G:G,"Educational",building_energy_data!C:C)</f>
        <v>276.74290000000047</v>
      </c>
      <c r="C20" s="25" cm="1">
        <f t="array" ref="C20">_xlfn.STDEV.S(IF(building_energy_data!G:G="Educational",building_energy_data!C:C))</f>
        <v>130.20281163506911</v>
      </c>
      <c r="D20" s="25" cm="1">
        <f t="array" ref="D20">MEDIAN(IF(building_energy_data!G:G="Educational",building_energy_data!C:C))</f>
        <v>276.28500000000003</v>
      </c>
      <c r="E20" s="25">
        <f>_xlfn.MINIFS(building_energy_data!C:C,building_energy_data!G:G,"Educational")</f>
        <v>50.05</v>
      </c>
      <c r="F20" s="25">
        <f>_xlfn.MAXIFS(building_energy_data!C:C,building_energy_data!G:G,"Educational")</f>
        <v>499.51</v>
      </c>
    </row>
    <row r="22" spans="1:6" x14ac:dyDescent="0.25">
      <c r="A22" s="23" t="s">
        <v>115</v>
      </c>
    </row>
    <row r="23" spans="1:6" x14ac:dyDescent="0.25">
      <c r="A23" s="24" t="s">
        <v>47</v>
      </c>
      <c r="B23" s="24" t="s">
        <v>102</v>
      </c>
      <c r="C23" s="24" t="s">
        <v>112</v>
      </c>
      <c r="D23" s="24" t="s">
        <v>104</v>
      </c>
      <c r="E23" s="24" t="s">
        <v>113</v>
      </c>
      <c r="F23" s="24" t="s">
        <v>114</v>
      </c>
    </row>
    <row r="24" spans="1:6" x14ac:dyDescent="0.25">
      <c r="A24" t="s">
        <v>10</v>
      </c>
      <c r="B24" s="25">
        <f>AVERAGEIF(building_energy_data!G:G,"Industrial",building_energy_data!D:D)</f>
        <v>54.420162037037116</v>
      </c>
      <c r="C24" s="25" cm="1">
        <f t="array" ref="C24">_xlfn.STDEV.S(IF(building_energy_data!G:G="Industrial",building_energy_data!D:D))</f>
        <v>23.732467552671576</v>
      </c>
      <c r="D24" s="25" cm="1">
        <f t="array" ref="D24">MEDIAN(IF(building_energy_data!G:G="Industrial",building_energy_data!D:D))</f>
        <v>54.555</v>
      </c>
      <c r="E24" s="25">
        <f>_xlfn.MINIFS(building_energy_data!D:D,building_energy_data!G:G,"Industrial")</f>
        <v>14.04</v>
      </c>
      <c r="F24" s="25">
        <f>_xlfn.MAXIFS(building_energy_data!D:D,building_energy_data!G:G,"Industrial")</f>
        <v>95</v>
      </c>
    </row>
    <row r="25" spans="1:6" x14ac:dyDescent="0.25">
      <c r="A25" t="s">
        <v>16</v>
      </c>
      <c r="B25" s="25">
        <f>AVERAGEIF(building_energy_data!G:G,"Residential",building_energy_data!D:D)</f>
        <v>54.557701388888873</v>
      </c>
      <c r="C25" s="25" cm="1">
        <f t="array" ref="C25">_xlfn.STDEV.S(IF(building_energy_data!G:G="Residential",building_energy_data!D:D))</f>
        <v>23.015179217656467</v>
      </c>
      <c r="D25" s="25" cm="1">
        <f t="array" ref="D25">MEDIAN(IF(building_energy_data!G:G="Residential",building_energy_data!D:D))</f>
        <v>55.07</v>
      </c>
      <c r="E25" s="25">
        <f>_xlfn.MINIFS(building_energy_data!D:D,building_energy_data!G:G,"Residential")</f>
        <v>14.04</v>
      </c>
      <c r="F25" s="25">
        <f>_xlfn.MAXIFS(building_energy_data!D:D,building_energy_data!G:G,"Residential")</f>
        <v>94.91</v>
      </c>
    </row>
    <row r="26" spans="1:6" x14ac:dyDescent="0.25">
      <c r="A26" t="s">
        <v>20</v>
      </c>
      <c r="B26" s="25">
        <f>AVERAGEIF(building_energy_data!G:G,"Commercial",building_energy_data!D:D)</f>
        <v>54.562766666666597</v>
      </c>
      <c r="C26" s="25" cm="1">
        <f t="array" ref="C26">_xlfn.STDEV.S(IF(building_energy_data!G:G="Commercial",building_energy_data!D:D))</f>
        <v>23.2330452733779</v>
      </c>
      <c r="D26" s="25" cm="1">
        <f t="array" ref="D26">MEDIAN(IF(building_energy_data!G:G="Commercial",building_energy_data!D:D))</f>
        <v>54.04</v>
      </c>
      <c r="E26" s="25">
        <f>_xlfn.MINIFS(building_energy_data!D:D,building_energy_data!G:G,"Commercial")</f>
        <v>14.07</v>
      </c>
      <c r="F26" s="25">
        <f>_xlfn.MAXIFS(building_energy_data!D:D,building_energy_data!G:G,"Commercial")</f>
        <v>94.96</v>
      </c>
    </row>
    <row r="27" spans="1:6" x14ac:dyDescent="0.25">
      <c r="A27" t="s">
        <v>22</v>
      </c>
      <c r="B27" s="25">
        <f>AVERAGEIF(building_energy_data!G:G,"Educational",building_energy_data!D:D)</f>
        <v>54.132549999999959</v>
      </c>
      <c r="C27" s="25" cm="1">
        <f t="array" ref="C27">_xlfn.STDEV.S(IF(building_energy_data!G:G="Educational",building_energy_data!D:D))</f>
        <v>23.727298423803408</v>
      </c>
      <c r="D27" s="25" cm="1">
        <f t="array" ref="D27">MEDIAN(IF(building_energy_data!G:G="Educational",building_energy_data!D:D))</f>
        <v>54.885000000000005</v>
      </c>
      <c r="E27" s="25">
        <f>_xlfn.MINIFS(building_energy_data!D:D,building_energy_data!G:G,"Educational")</f>
        <v>14.02</v>
      </c>
      <c r="F27" s="25">
        <f>_xlfn.MAXIFS(building_energy_data!D:D,building_energy_data!G:G,"Educational")</f>
        <v>94.91</v>
      </c>
    </row>
    <row r="29" spans="1:6" x14ac:dyDescent="0.25">
      <c r="A29" s="23" t="s">
        <v>116</v>
      </c>
    </row>
    <row r="30" spans="1:6" x14ac:dyDescent="0.25">
      <c r="A30" s="24" t="s">
        <v>47</v>
      </c>
      <c r="B30" s="24" t="s">
        <v>102</v>
      </c>
      <c r="C30" s="24" t="s">
        <v>112</v>
      </c>
      <c r="D30" s="24" t="s">
        <v>104</v>
      </c>
      <c r="E30" s="24" t="s">
        <v>113</v>
      </c>
      <c r="F30" s="24" t="s">
        <v>114</v>
      </c>
    </row>
    <row r="31" spans="1:6" x14ac:dyDescent="0.25">
      <c r="A31" t="s">
        <v>10</v>
      </c>
      <c r="B31" s="25">
        <f>AVERAGEIF(building_energy_data!G:G,"Industrial",building_energy_data!F:F)</f>
        <v>59.694555555555546</v>
      </c>
      <c r="C31" s="25" cm="1">
        <f t="array" ref="C31">_xlfn.STDEV.S(IF(building_energy_data!G:G="Industrial",building_energy_data!F:F))</f>
        <v>17.505572168840079</v>
      </c>
      <c r="D31" s="25" cm="1">
        <f t="array" ref="D31">MEDIAN(IF(building_energy_data!G:G="Industrial",building_energy_data!F:F))</f>
        <v>59.84</v>
      </c>
      <c r="E31" s="25">
        <f>_xlfn.MINIFS(building_energy_data!F:F,building_energy_data!G:G,"Industrial")</f>
        <v>30.04</v>
      </c>
      <c r="F31" s="25">
        <f>_xlfn.MAXIFS(building_energy_data!F:F,building_energy_data!G:G,"Industrial")</f>
        <v>89.99</v>
      </c>
    </row>
    <row r="32" spans="1:6" x14ac:dyDescent="0.25">
      <c r="A32" t="s">
        <v>16</v>
      </c>
      <c r="B32" s="25">
        <f>AVERAGEIF(building_energy_data!G:G,"Residential",building_energy_data!F:F)</f>
        <v>59.985951388888871</v>
      </c>
      <c r="C32" s="25" cm="1">
        <f t="array" ref="C32">_xlfn.STDEV.S(IF(building_energy_data!G:G="Residential",building_energy_data!F:F))</f>
        <v>16.982800286084899</v>
      </c>
      <c r="D32" s="25" cm="1">
        <f t="array" ref="D32">MEDIAN(IF(building_energy_data!G:G="Residential",building_energy_data!F:F))</f>
        <v>59.734999999999999</v>
      </c>
      <c r="E32" s="25">
        <f>_xlfn.MINIFS(building_energy_data!F:F,building_energy_data!G:G,"Residential")</f>
        <v>30.01</v>
      </c>
      <c r="F32" s="25">
        <f>_xlfn.MAXIFS(building_energy_data!F:F,building_energy_data!G:G,"Residential")</f>
        <v>89.95</v>
      </c>
    </row>
    <row r="33" spans="1:6" x14ac:dyDescent="0.25">
      <c r="A33" t="s">
        <v>20</v>
      </c>
      <c r="B33" s="25">
        <f>AVERAGEIF(building_energy_data!G:G,"Commercial",building_energy_data!F:F)</f>
        <v>60.045927777777798</v>
      </c>
      <c r="C33" s="25" cm="1">
        <f t="array" ref="C33">_xlfn.STDEV.S(IF(building_energy_data!G:G="Commercial",building_energy_data!F:F))</f>
        <v>17.255235592034996</v>
      </c>
      <c r="D33" s="25" cm="1">
        <f t="array" ref="D33">MEDIAN(IF(building_energy_data!G:G="Commercial",building_energy_data!F:F))</f>
        <v>59.424999999999997</v>
      </c>
      <c r="E33" s="25">
        <f>_xlfn.MINIFS(building_energy_data!F:F,building_energy_data!G:G,"Commercial")</f>
        <v>30</v>
      </c>
      <c r="F33" s="25">
        <f>_xlfn.MAXIFS(building_energy_data!F:F,building_energy_data!G:G,"Commercial")</f>
        <v>89.99</v>
      </c>
    </row>
    <row r="34" spans="1:6" x14ac:dyDescent="0.25">
      <c r="A34" t="s">
        <v>22</v>
      </c>
      <c r="B34" s="25">
        <f>AVERAGEIF(building_energy_data!G:G,"Educational",building_energy_data!F:F)</f>
        <v>59.636677777777749</v>
      </c>
      <c r="C34" s="25" cm="1">
        <f t="array" ref="C34">_xlfn.STDEV.S(IF(building_energy_data!G:G="Educational",building_energy_data!F:F))</f>
        <v>17.262277469102898</v>
      </c>
      <c r="D34" s="25" cm="1">
        <f t="array" ref="D34">MEDIAN(IF(building_energy_data!G:G="Educational",building_energy_data!F:F))</f>
        <v>59.68</v>
      </c>
      <c r="E34" s="25">
        <f>_xlfn.MINIFS(building_energy_data!F:F,building_energy_data!G:G,"Educational")</f>
        <v>30</v>
      </c>
      <c r="F34" s="25">
        <f>_xlfn.MAXIFS(building_energy_data!F:F,building_energy_data!G:G,"Educational")</f>
        <v>89.99</v>
      </c>
    </row>
  </sheetData>
  <mergeCells count="2">
    <mergeCell ref="A1:D1"/>
    <mergeCell ref="A14:D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137A-5A45-406C-B92B-7D3276C7643F}">
  <dimension ref="A1:H34"/>
  <sheetViews>
    <sheetView showGridLines="0" workbookViewId="0">
      <selection activeCell="A33" sqref="A33"/>
    </sheetView>
  </sheetViews>
  <sheetFormatPr defaultRowHeight="15" x14ac:dyDescent="0.25"/>
  <cols>
    <col min="1" max="1" width="76.140625" customWidth="1"/>
    <col min="2" max="2" width="19" customWidth="1"/>
    <col min="3" max="4" width="22.85546875" customWidth="1"/>
    <col min="5" max="5" width="3.85546875" customWidth="1"/>
    <col min="6" max="7" width="11.42578125" customWidth="1"/>
    <col min="8" max="8" width="16.7109375" customWidth="1"/>
  </cols>
  <sheetData>
    <row r="1" spans="1:8" ht="35.1" customHeight="1" x14ac:dyDescent="0.4">
      <c r="A1" s="26" t="s">
        <v>79</v>
      </c>
      <c r="B1" s="27"/>
      <c r="C1" s="27"/>
      <c r="D1" s="27"/>
      <c r="E1" s="27"/>
      <c r="F1" s="27"/>
      <c r="G1" s="27"/>
      <c r="H1" s="27"/>
    </row>
    <row r="3" spans="1:8" ht="15.75" x14ac:dyDescent="0.25">
      <c r="A3" s="28" t="s">
        <v>80</v>
      </c>
      <c r="B3" s="27"/>
      <c r="C3" s="27"/>
      <c r="D3" s="27"/>
    </row>
    <row r="4" spans="1:8" x14ac:dyDescent="0.25">
      <c r="A4" s="13" t="s">
        <v>81</v>
      </c>
      <c r="B4" s="13" t="s">
        <v>52</v>
      </c>
    </row>
    <row r="5" spans="1:8" x14ac:dyDescent="0.25">
      <c r="A5" t="s">
        <v>82</v>
      </c>
      <c r="B5">
        <v>288</v>
      </c>
    </row>
    <row r="6" spans="1:8" x14ac:dyDescent="0.25">
      <c r="A6" t="s">
        <v>83</v>
      </c>
      <c r="B6">
        <v>218</v>
      </c>
    </row>
    <row r="7" spans="1:8" x14ac:dyDescent="0.25">
      <c r="A7" t="s">
        <v>84</v>
      </c>
      <c r="B7">
        <v>149</v>
      </c>
    </row>
    <row r="9" spans="1:8" ht="15.75" x14ac:dyDescent="0.25">
      <c r="A9" s="29" t="s">
        <v>85</v>
      </c>
      <c r="B9" s="27"/>
      <c r="C9" s="27"/>
      <c r="D9" s="27"/>
      <c r="E9" s="27"/>
      <c r="F9" s="30" t="s">
        <v>89</v>
      </c>
      <c r="G9" s="27"/>
      <c r="H9" s="27"/>
    </row>
    <row r="10" spans="1:8" x14ac:dyDescent="0.25">
      <c r="A10" s="14" t="s">
        <v>61</v>
      </c>
      <c r="B10" s="14" t="s">
        <v>86</v>
      </c>
      <c r="C10" s="14" t="s">
        <v>87</v>
      </c>
      <c r="D10" s="14" t="s">
        <v>88</v>
      </c>
      <c r="F10" s="15" t="s">
        <v>90</v>
      </c>
      <c r="G10" s="15" t="s">
        <v>52</v>
      </c>
    </row>
    <row r="11" spans="1:8" x14ac:dyDescent="0.25">
      <c r="A11" t="s">
        <v>24</v>
      </c>
      <c r="B11">
        <v>40</v>
      </c>
      <c r="C11" s="5">
        <v>458</v>
      </c>
      <c r="D11" s="5">
        <v>497.8</v>
      </c>
      <c r="F11" s="16">
        <v>0</v>
      </c>
      <c r="G11">
        <v>66</v>
      </c>
    </row>
    <row r="12" spans="1:8" x14ac:dyDescent="0.25">
      <c r="A12" t="s">
        <v>26</v>
      </c>
      <c r="B12">
        <v>40</v>
      </c>
      <c r="C12" s="5">
        <v>451.9</v>
      </c>
      <c r="D12" s="5">
        <v>497.1</v>
      </c>
      <c r="F12" s="16">
        <v>4.1666666666666664E-2</v>
      </c>
      <c r="G12">
        <v>69</v>
      </c>
    </row>
    <row r="13" spans="1:8" x14ac:dyDescent="0.25">
      <c r="A13" t="s">
        <v>33</v>
      </c>
      <c r="B13">
        <v>37</v>
      </c>
      <c r="C13" s="5">
        <v>448.4</v>
      </c>
      <c r="D13" s="5">
        <v>495.9</v>
      </c>
      <c r="F13" s="16">
        <v>8.3333333333333329E-2</v>
      </c>
      <c r="G13">
        <v>68</v>
      </c>
    </row>
    <row r="14" spans="1:8" x14ac:dyDescent="0.25">
      <c r="A14" t="s">
        <v>15</v>
      </c>
      <c r="B14">
        <v>32</v>
      </c>
      <c r="C14" s="5">
        <v>435.1</v>
      </c>
      <c r="D14" s="5">
        <v>497.6</v>
      </c>
      <c r="F14" s="16">
        <v>0.125</v>
      </c>
      <c r="G14">
        <v>63</v>
      </c>
    </row>
    <row r="15" spans="1:8" x14ac:dyDescent="0.25">
      <c r="A15" t="s">
        <v>21</v>
      </c>
      <c r="B15">
        <v>31</v>
      </c>
      <c r="C15" s="5">
        <v>453.5</v>
      </c>
      <c r="D15" s="5">
        <v>499.2</v>
      </c>
      <c r="F15" s="16">
        <v>0.16666666666666666</v>
      </c>
      <c r="G15">
        <v>65</v>
      </c>
    </row>
    <row r="16" spans="1:8" x14ac:dyDescent="0.25">
      <c r="A16" t="s">
        <v>25</v>
      </c>
      <c r="B16">
        <v>30</v>
      </c>
      <c r="C16" s="5">
        <v>451.4</v>
      </c>
      <c r="D16" s="5">
        <v>494.4</v>
      </c>
      <c r="F16" s="16">
        <v>0.20833333333333334</v>
      </c>
      <c r="G16">
        <v>69</v>
      </c>
    </row>
    <row r="17" spans="1:7" x14ac:dyDescent="0.25">
      <c r="A17" t="s">
        <v>29</v>
      </c>
      <c r="B17">
        <v>30</v>
      </c>
      <c r="C17" s="5">
        <v>454.2</v>
      </c>
      <c r="D17" s="5">
        <v>499.2</v>
      </c>
      <c r="F17" s="16">
        <v>0.25</v>
      </c>
      <c r="G17">
        <v>68</v>
      </c>
    </row>
    <row r="18" spans="1:7" x14ac:dyDescent="0.25">
      <c r="A18" t="s">
        <v>17</v>
      </c>
      <c r="B18">
        <v>29</v>
      </c>
      <c r="C18" s="5">
        <v>444.8</v>
      </c>
      <c r="D18" s="5">
        <v>491.9</v>
      </c>
      <c r="F18" s="16">
        <v>0.29166666666666669</v>
      </c>
      <c r="G18">
        <v>72</v>
      </c>
    </row>
    <row r="19" spans="1:7" x14ac:dyDescent="0.25">
      <c r="A19" t="s">
        <v>32</v>
      </c>
      <c r="B19">
        <v>29</v>
      </c>
      <c r="C19" s="5">
        <v>443.6</v>
      </c>
      <c r="D19" s="5">
        <v>499.5</v>
      </c>
      <c r="F19" s="16">
        <v>0.33333333333333331</v>
      </c>
      <c r="G19">
        <v>61</v>
      </c>
    </row>
    <row r="20" spans="1:7" x14ac:dyDescent="0.25">
      <c r="A20" t="s">
        <v>23</v>
      </c>
      <c r="B20">
        <v>28</v>
      </c>
      <c r="C20" s="5">
        <v>455.4</v>
      </c>
      <c r="D20" s="5">
        <v>499.9</v>
      </c>
      <c r="F20" s="16">
        <v>0.375</v>
      </c>
      <c r="G20">
        <v>63</v>
      </c>
    </row>
    <row r="21" spans="1:7" x14ac:dyDescent="0.25">
      <c r="F21" s="16">
        <v>0.41666666666666669</v>
      </c>
      <c r="G21">
        <v>66</v>
      </c>
    </row>
    <row r="22" spans="1:7" ht="15.75" x14ac:dyDescent="0.25">
      <c r="A22" s="31" t="s">
        <v>91</v>
      </c>
      <c r="B22" s="27"/>
      <c r="C22" s="27"/>
      <c r="D22" s="27"/>
      <c r="E22" s="27"/>
      <c r="F22" s="16">
        <v>0.45833333333333331</v>
      </c>
      <c r="G22">
        <v>69</v>
      </c>
    </row>
    <row r="23" spans="1:7" x14ac:dyDescent="0.25">
      <c r="F23" s="16">
        <v>0.5</v>
      </c>
      <c r="G23">
        <v>66</v>
      </c>
    </row>
    <row r="24" spans="1:7" x14ac:dyDescent="0.25">
      <c r="A24" t="s">
        <v>92</v>
      </c>
      <c r="F24" s="16">
        <v>0.54166666666666663</v>
      </c>
      <c r="G24">
        <v>65</v>
      </c>
    </row>
    <row r="25" spans="1:7" x14ac:dyDescent="0.25">
      <c r="A25" t="s">
        <v>93</v>
      </c>
      <c r="F25" s="16">
        <v>0.58333333333333337</v>
      </c>
      <c r="G25">
        <v>69</v>
      </c>
    </row>
    <row r="26" spans="1:7" x14ac:dyDescent="0.25">
      <c r="A26" t="s">
        <v>94</v>
      </c>
      <c r="F26" s="16">
        <v>0.625</v>
      </c>
      <c r="G26">
        <v>70</v>
      </c>
    </row>
    <row r="27" spans="1:7" x14ac:dyDescent="0.25">
      <c r="A27" t="s">
        <v>95</v>
      </c>
      <c r="F27" s="16">
        <v>0.66666666666666663</v>
      </c>
      <c r="G27">
        <v>68</v>
      </c>
    </row>
    <row r="28" spans="1:7" x14ac:dyDescent="0.25">
      <c r="A28" t="s">
        <v>96</v>
      </c>
      <c r="F28" s="16">
        <v>0.70833333333333337</v>
      </c>
      <c r="G28">
        <v>75</v>
      </c>
    </row>
    <row r="29" spans="1:7" x14ac:dyDescent="0.25">
      <c r="A29" t="s">
        <v>97</v>
      </c>
      <c r="F29" s="16">
        <v>0.75</v>
      </c>
      <c r="G29">
        <v>48</v>
      </c>
    </row>
    <row r="30" spans="1:7" x14ac:dyDescent="0.25">
      <c r="A30" t="s">
        <v>98</v>
      </c>
      <c r="F30" s="16">
        <v>0.79166666666666663</v>
      </c>
      <c r="G30">
        <v>68</v>
      </c>
    </row>
    <row r="31" spans="1:7" x14ac:dyDescent="0.25">
      <c r="F31" s="16">
        <v>0.83333333333333337</v>
      </c>
      <c r="G31">
        <v>75</v>
      </c>
    </row>
    <row r="32" spans="1:7" x14ac:dyDescent="0.25">
      <c r="F32" s="16">
        <v>0.875</v>
      </c>
      <c r="G32">
        <v>70</v>
      </c>
    </row>
    <row r="33" spans="6:7" x14ac:dyDescent="0.25">
      <c r="F33" s="16">
        <v>0.91666666666666663</v>
      </c>
      <c r="G33">
        <v>82</v>
      </c>
    </row>
    <row r="34" spans="6:7" x14ac:dyDescent="0.25">
      <c r="F34" s="16">
        <v>0.95833333333333337</v>
      </c>
      <c r="G34">
        <v>71</v>
      </c>
    </row>
  </sheetData>
  <mergeCells count="5">
    <mergeCell ref="A1:H1"/>
    <mergeCell ref="A3:D3"/>
    <mergeCell ref="A9:E9"/>
    <mergeCell ref="F9:H9"/>
    <mergeCell ref="A22:E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building_energy_data</vt:lpstr>
      <vt:lpstr>Energy Insights Dashboard</vt:lpstr>
      <vt:lpstr>Statistical Report</vt:lpstr>
      <vt:lpstr>Anomaly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Diaz</dc:creator>
  <cp:lastModifiedBy>David Diaz</cp:lastModifiedBy>
  <dcterms:created xsi:type="dcterms:W3CDTF">2026-02-01T05:57:29Z</dcterms:created>
  <dcterms:modified xsi:type="dcterms:W3CDTF">2026-04-22T16:51:15Z</dcterms:modified>
</cp:coreProperties>
</file>